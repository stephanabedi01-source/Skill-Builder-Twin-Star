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600" firstSheet="0" activeTab="1" autoFilterDateGrouping="1"/>
  </bookViews>
  <sheets>
    <sheet xmlns:r="http://schemas.openxmlformats.org/officeDocument/2006/relationships" name="Capital Structure" sheetId="1" state="visible" r:id="rId1"/>
    <sheet xmlns:r="http://schemas.openxmlformats.org/officeDocument/2006/relationships" name="Pricing" sheetId="2" state="visible" r:id="rId2"/>
    <sheet xmlns:r="http://schemas.openxmlformats.org/officeDocument/2006/relationships" name="Maturity Schedule" sheetId="3" state="visible" r:id="rId3"/>
  </sheets>
  <definedNames>
    <definedName name="_xlnm.Print_Area" localSheetId="0">'Capital Structure'!$B$2:$T$48</definedName>
  </definedNames>
  <calcPr calcId="191029" fullCalcOnLoad="1" iterate="1" iterateCount="101"/>
</workbook>
</file>

<file path=xl/styles.xml><?xml version="1.0" encoding="utf-8"?>
<styleSheet xmlns="http://schemas.openxmlformats.org/spreadsheetml/2006/main">
  <numFmts count="40">
    <numFmt numFmtId="164" formatCode="&quot;$&quot;#,##0_);\(&quot;$&quot;#,##0\)"/>
    <numFmt numFmtId="165" formatCode="0.000%"/>
    <numFmt numFmtId="166" formatCode="#,##0.0\x\ ;&quot;NMF&quot;_x"/>
    <numFmt numFmtId="167" formatCode="&quot;SFR+&quot;0"/>
    <numFmt numFmtId="168" formatCode="[$-409]mmm\-yy;@"/>
    <numFmt numFmtId="169" formatCode="0.0"/>
    <numFmt numFmtId="170" formatCode="&quot;$&quot;#,##0"/>
    <numFmt numFmtId="171" formatCode="0.0%"/>
    <numFmt numFmtId="172" formatCode="_(* #,##0_);_(* \(#,##0\);_(* &quot;-&quot;?_);_(@_)"/>
    <numFmt numFmtId="173" formatCode="&quot;$&quot;#,##0.0_);\(&quot;$&quot;#,##0.0\)"/>
    <numFmt numFmtId="174" formatCode="_(&quot;$&quot;* #,##0.00_);_(&quot;$&quot;* \(#,##0.00\);_(&quot;$&quot;* &quot;-&quot;??_);_(@_)"/>
    <numFmt numFmtId="175" formatCode="_(&quot;$&quot;* #,##0.0_);_(&quot;$&quot;* \(#,##0.0\);_(&quot;$&quot;* &quot;-&quot;?_);_(@_)"/>
    <numFmt numFmtId="176" formatCode="[$$-409]#,##0_);\([$$-409]#,##0\)"/>
    <numFmt numFmtId="177" formatCode="_(* #,##0.0_);_(* \(#,##0.0\);_(* &quot;-&quot;?_);_(@_)"/>
    <numFmt numFmtId="178" formatCode="#,##0_);\(#,##0\);\-_)"/>
    <numFmt numFmtId="179" formatCode="#,##0.0_);\(#,##0.0\)"/>
    <numFmt numFmtId="180" formatCode="&quot;$&quot;#,##0_);\(&quot;$&quot;#,##0\);&quot;$&quot;\-_)"/>
    <numFmt numFmtId="181" formatCode="#,##0.0%;\(#,##0.0%\)"/>
    <numFmt numFmtId="182" formatCode="#,##0.000_);\(#,##0.000\)"/>
    <numFmt numFmtId="183" formatCode="&quot;$&quot;\ #,##0.0_);&quot;$&quot;\ \(#,##0.0\)"/>
    <numFmt numFmtId="184" formatCode="#,##0.0%_);\(#,##0.0\)%"/>
    <numFmt numFmtId="185" formatCode="0_);\(0\)"/>
    <numFmt numFmtId="186" formatCode="#,##0.0"/>
    <numFmt numFmtId="187" formatCode="&quot;S + &quot;#"/>
    <numFmt numFmtId="188" formatCode="0.0\x_);\(0.0\x\);0.0\x_);@_)"/>
    <numFmt numFmtId="189" formatCode="[$$-409]#,##0.0_);\([$$-409]#,##0.0\);[$$-409]\ \–?;@_)"/>
    <numFmt numFmtId="190" formatCode="[$$-409]#,##0_);\([$$-409]#,##0\);[$$-409]\ \–?;@_)"/>
    <numFmt numFmtId="191" formatCode="#,##0_);\(#,##0\);\–?;@_)"/>
    <numFmt numFmtId="192" formatCode="0.0\x"/>
    <numFmt numFmtId="193" formatCode="0.0\x;\(0.0\x\)"/>
    <numFmt numFmtId="194" formatCode="&quot;$&quot;#,##0_);\(&quot;$&quot;#,##0\);&quot;$&quot;\ \–?"/>
    <numFmt numFmtId="195" formatCode="#,##0_);\(#,##0\);\–?"/>
    <numFmt numFmtId="196" formatCode="#,##0.000%_);\(#,##0.000%\);#,##0.000%_)"/>
    <numFmt numFmtId="197" formatCode="#,##0.0%_);\(#,##0.0%\);#,##0.0%_)"/>
    <numFmt numFmtId="198" formatCode="&quot;$&quot;#,##0.0_);\(&quot;$&quot;#,##0.0\);&quot;$&quot;\ \–?"/>
    <numFmt numFmtId="199" formatCode="#,##0.0_);\(#,##0.0\);\–?"/>
    <numFmt numFmtId="200" formatCode="#,##0.0_);\(#,##0.0\);\–?;@_)"/>
    <numFmt numFmtId="201" formatCode="&quot;Data as of &quot;mm/dd/yyyy"/>
    <numFmt numFmtId="202" formatCode="&quot;$&quot;#,##0_);(&quot;$&quot;#,##0);&quot;$&quot;\-_)"/>
    <numFmt numFmtId="203" formatCode="#,##0_);(#,##0);\-"/>
  </numFmts>
  <fonts count="62"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family val="2"/>
      <sz val="10"/>
    </font>
    <font>
      <name val="Segoe UI"/>
      <family val="2"/>
      <color theme="1"/>
      <sz val="11"/>
      <scheme val="minor"/>
    </font>
    <font>
      <name val="Arial"/>
      <family val="2"/>
      <color theme="1"/>
      <sz val="11"/>
    </font>
    <font>
      <name val="Calibri"/>
      <family val="2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sz val="11"/>
    </font>
    <font>
      <name val="Arial"/>
      <family val="2"/>
      <sz val="10"/>
    </font>
    <font>
      <name val="Calibri"/>
      <family val="2"/>
      <sz val="11"/>
    </font>
    <font>
      <name val="Arial"/>
      <family val="2"/>
      <sz val="10"/>
    </font>
    <font>
      <name val="Segoe UI"/>
      <family val="2"/>
      <b val="1"/>
      <color theme="2"/>
      <sz val="8"/>
      <scheme val="minor"/>
    </font>
    <font>
      <name val="Segoe UI"/>
      <family val="2"/>
      <b val="1"/>
      <color theme="1"/>
      <sz val="8"/>
      <scheme val="minor"/>
    </font>
    <font>
      <name val="Segoe UI"/>
      <family val="2"/>
      <color rgb="FF0000FF"/>
      <sz val="10"/>
      <scheme val="minor"/>
    </font>
    <font>
      <name val="Segoe UI"/>
      <family val="2"/>
      <color theme="1"/>
      <sz val="8"/>
      <scheme val="minor"/>
    </font>
    <font>
      <name val="Segoe UI"/>
      <family val="2"/>
      <b val="1"/>
      <color rgb="FFC00000"/>
      <sz val="8"/>
      <scheme val="minor"/>
    </font>
    <font>
      <name val="Segoe UI"/>
      <family val="2"/>
      <i val="1"/>
      <color rgb="FF0A0101"/>
      <sz val="8"/>
      <scheme val="minor"/>
    </font>
    <font>
      <name val="Segoe UI"/>
      <family val="2"/>
      <i val="1"/>
      <color theme="1"/>
      <sz val="8"/>
      <scheme val="minor"/>
    </font>
    <font>
      <name val="Segoe UI"/>
      <family val="2"/>
      <b val="1"/>
      <i val="1"/>
      <color theme="1"/>
      <sz val="8"/>
      <scheme val="minor"/>
    </font>
    <font>
      <name val="Segoe UI"/>
      <family val="2"/>
      <color rgb="FF0000FF"/>
      <sz val="8"/>
      <scheme val="minor"/>
    </font>
    <font>
      <name val="Segoe UI"/>
      <family val="2"/>
      <b val="1"/>
      <color theme="1"/>
      <sz val="9"/>
      <scheme val="minor"/>
    </font>
    <font>
      <name val="Segoe UI"/>
      <family val="2"/>
      <color theme="1"/>
      <sz val="9"/>
      <scheme val="minor"/>
    </font>
    <font>
      <name val="Segoe UI"/>
      <family val="2"/>
      <color rgb="FF0000FF"/>
      <sz val="9"/>
      <scheme val="minor"/>
    </font>
    <font>
      <name val="Segoe UI"/>
      <family val="2"/>
      <color theme="8"/>
      <sz val="9"/>
      <scheme val="minor"/>
    </font>
    <font>
      <name val="Segoe UI"/>
      <family val="2"/>
      <b val="1"/>
      <color theme="8"/>
      <sz val="9"/>
      <scheme val="minor"/>
    </font>
    <font>
      <name val="Segoe UI"/>
      <family val="2"/>
      <color rgb="FF008000"/>
      <sz val="9"/>
      <scheme val="minor"/>
    </font>
    <font>
      <name val="Segoe UI"/>
      <family val="2"/>
      <color theme="1"/>
      <sz val="10"/>
      <scheme val="minor"/>
    </font>
    <font>
      <name val="Segoe UI"/>
      <family val="2"/>
      <color rgb="FF474747"/>
      <sz val="9"/>
      <scheme val="minor"/>
    </font>
    <font>
      <name val="Segoe UI"/>
      <family val="2"/>
      <b val="1"/>
      <color theme="1"/>
      <sz val="8"/>
      <u val="single"/>
      <scheme val="minor"/>
    </font>
    <font>
      <name val="Segoe UI"/>
      <family val="2"/>
      <i val="1"/>
      <color theme="1"/>
      <sz val="9"/>
      <scheme val="minor"/>
    </font>
    <font>
      <name val="Segoe UI"/>
      <family val="2"/>
      <i val="1"/>
      <color rgb="FF006600"/>
      <sz val="9"/>
      <scheme val="minor"/>
    </font>
    <font>
      <name val="Segoe UI Semibold"/>
      <family val="2"/>
      <b val="1"/>
      <i val="1"/>
      <color theme="1"/>
      <sz val="9"/>
      <scheme val="major"/>
    </font>
    <font>
      <name val="Segoe UI Semibold"/>
      <family val="2"/>
      <b val="1"/>
      <color theme="1"/>
      <sz val="9"/>
      <scheme val="major"/>
    </font>
    <font>
      <name val="Segoe UI Semibold"/>
      <family val="2"/>
      <b val="1"/>
      <color theme="1"/>
      <sz val="9"/>
      <vertAlign val="superscript"/>
      <scheme val="major"/>
    </font>
    <font>
      <name val="Segoe UI"/>
      <family val="2"/>
      <color theme="5" tint="-0.249977111117893"/>
      <sz val="9"/>
      <scheme val="minor"/>
    </font>
    <font>
      <name val="Segoe UI"/>
      <family val="2"/>
      <i val="1"/>
      <color theme="5" tint="-0.249977111117893"/>
      <sz val="9"/>
      <scheme val="minor"/>
    </font>
    <font>
      <name val="Segoe UI"/>
      <family val="2"/>
      <color theme="1"/>
      <sz val="9"/>
      <vertAlign val="superscript"/>
      <scheme val="minor"/>
    </font>
    <font>
      <name val="Segoe UI"/>
      <family val="2"/>
      <b val="1"/>
      <color theme="1"/>
      <sz val="10"/>
      <scheme val="minor"/>
    </font>
    <font>
      <name val="Segoe UI"/>
      <family val="2"/>
      <b val="1"/>
      <color theme="8"/>
      <sz val="10"/>
      <scheme val="minor"/>
    </font>
    <font>
      <name val="Segoe UI"/>
      <family val="2"/>
      <b val="1"/>
      <color rgb="FFC00000"/>
      <sz val="10"/>
      <scheme val="minor"/>
    </font>
    <font>
      <name val="Segoe UI"/>
      <family val="2"/>
      <b val="1"/>
      <i val="1"/>
      <color theme="8"/>
      <sz val="10"/>
      <scheme val="minor"/>
    </font>
    <font>
      <name val="Segoe UI"/>
      <family val="2"/>
      <b val="1"/>
      <color theme="0"/>
      <sz val="10"/>
      <scheme val="minor"/>
    </font>
    <font>
      <name val="Segoe UI"/>
      <family val="2"/>
      <color rgb="FF474747"/>
      <sz val="10"/>
      <scheme val="minor"/>
    </font>
    <font>
      <name val="Segoe UI Semibold"/>
      <family val="2"/>
      <color theme="1"/>
      <sz val="8"/>
      <scheme val="major"/>
    </font>
    <font>
      <name val="Segoe UI"/>
      <family val="2"/>
      <b val="1"/>
      <color theme="0"/>
      <sz val="8"/>
      <scheme val="minor"/>
    </font>
    <font>
      <name val="Segoe UI"/>
      <family val="2"/>
      <color rgb="FF474747"/>
      <sz val="8"/>
      <scheme val="minor"/>
    </font>
    <font>
      <name val="Calibri"/>
      <family val="2"/>
      <sz val="11"/>
    </font>
    <font>
      <name val="arial"/>
      <family val="2"/>
      <b val="1"/>
      <color theme="2"/>
      <sz val="10"/>
    </font>
    <font>
      <name val="Arial"/>
      <family val="2"/>
      <i val="1"/>
      <color rgb="FFC00000"/>
      <sz val="10"/>
    </font>
    <font>
      <name val="Segoe UI Semibold"/>
      <family val="2"/>
      <b val="1"/>
      <color theme="1"/>
      <sz val="8"/>
      <scheme val="major"/>
    </font>
    <font>
      <name val="Segoe UI Semibold"/>
      <family val="2"/>
      <b val="1"/>
      <color theme="1"/>
      <sz val="8"/>
      <vertAlign val="superscript"/>
      <scheme val="major"/>
    </font>
    <font>
      <name val="Segoe UI"/>
      <family val="2"/>
      <color theme="1"/>
      <sz val="8"/>
      <vertAlign val="superscript"/>
      <scheme val="minor"/>
    </font>
    <font>
      <name val="Segoe UI"/>
      <family val="2"/>
      <color rgb="FF008000"/>
      <sz val="8"/>
      <scheme val="minor"/>
    </font>
    <font>
      <name val="Segoe UI"/>
      <color rgb="FF0000FF"/>
      <sz val="8"/>
    </font>
    <font>
      <name val="Segoe UI"/>
      <b val="1"/>
      <color rgb="00525766"/>
      <sz val="11"/>
    </font>
    <font>
      <name val="Segoe UI"/>
      <color rgb="00525766"/>
      <sz val="11"/>
    </font>
    <font>
      <name val="Segoe UI"/>
      <i val="1"/>
      <color rgb="00525766"/>
      <sz val="11"/>
    </font>
    <font>
      <name val="Segoe UI"/>
      <b val="1"/>
      <color rgb="00C00000"/>
      <sz val="11"/>
    </font>
    <font>
      <name val="Segoe UI"/>
      <color rgb="00008000"/>
      <sz val="11"/>
    </font>
  </fonts>
  <fills count="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theme="6"/>
      </top>
      <bottom/>
      <diagonal/>
    </border>
    <border>
      <left style="dashed">
        <color rgb="FF0000FF"/>
      </left>
      <right style="dashed">
        <color rgb="FF0000FF"/>
      </right>
      <top style="dashed">
        <color rgb="FF0000FF"/>
      </top>
      <bottom style="dashed">
        <color rgb="FF0000FF"/>
      </bottom>
      <diagonal/>
    </border>
    <border>
      <left style="thick">
        <color theme="0"/>
      </left>
      <right style="thick">
        <color theme="0"/>
      </right>
      <top style="medium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medium">
        <color theme="1"/>
      </top>
      <bottom/>
      <diagonal/>
    </border>
    <border>
      <left style="thick">
        <color theme="0"/>
      </left>
      <right style="thick">
        <color theme="0"/>
      </right>
      <top style="thin">
        <color theme="5" tint="-0.249946592608417"/>
      </top>
      <bottom/>
      <diagonal/>
    </border>
    <border>
      <left style="thick">
        <color theme="0"/>
      </left>
      <right/>
      <top style="thin">
        <color theme="5" tint="-0.249946592608417"/>
      </top>
      <bottom/>
      <diagonal/>
    </border>
    <border>
      <left/>
      <right/>
      <top style="thin">
        <color theme="5" tint="-0.249946592608417"/>
      </top>
      <bottom/>
      <diagonal/>
    </border>
    <border>
      <left style="thin">
        <color theme="5" tint="-0.249946592608417"/>
      </left>
      <right/>
      <top style="thin">
        <color theme="5" tint="-0.249946592608417"/>
      </top>
      <bottom/>
      <diagonal/>
    </border>
    <border>
      <left/>
      <right style="thin">
        <color theme="5" tint="-0.249946592608417"/>
      </right>
      <top style="thin">
        <color theme="5" tint="-0.249946592608417"/>
      </top>
      <bottom/>
      <diagonal/>
    </border>
    <border>
      <left style="thin">
        <color theme="5" tint="-0.249946592608417"/>
      </left>
      <right/>
      <top/>
      <bottom style="thin">
        <color theme="5" tint="-0.249946592608417"/>
      </bottom>
      <diagonal/>
    </border>
    <border>
      <left/>
      <right/>
      <top/>
      <bottom style="thin">
        <color theme="5" tint="-0.249946592608417"/>
      </bottom>
      <diagonal/>
    </border>
    <border>
      <left/>
      <right style="thin">
        <color theme="5" tint="-0.249946592608417"/>
      </right>
      <top/>
      <bottom style="thin">
        <color theme="5" tint="-0.249946592608417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ck">
        <color theme="0"/>
      </left>
      <right style="thick">
        <color theme="0"/>
      </right>
      <top/>
      <bottom style="medium">
        <color theme="5"/>
      </bottom>
      <diagonal/>
    </border>
    <border>
      <left style="thin">
        <color rgb="FFBCBFC6"/>
      </left>
      <right/>
      <top style="thin">
        <color rgb="FFBCBFC6"/>
      </top>
      <bottom style="thin">
        <color rgb="FFBCBFC6"/>
      </bottom>
      <diagonal/>
    </border>
    <border>
      <left/>
      <right style="thin">
        <color rgb="FFBCBFC6"/>
      </right>
      <top style="thin">
        <color rgb="FFBCBFC6"/>
      </top>
      <bottom style="thin">
        <color rgb="FFBCBFC6"/>
      </bottom>
      <diagonal/>
    </border>
    <border>
      <left style="dotted">
        <color theme="5"/>
      </left>
      <right/>
      <top style="dotted">
        <color theme="5"/>
      </top>
      <bottom style="dotted">
        <color theme="5"/>
      </bottom>
      <diagonal/>
    </border>
    <border>
      <left/>
      <right style="dotted">
        <color theme="5"/>
      </right>
      <top style="dotted">
        <color theme="5"/>
      </top>
      <bottom style="dotted">
        <color theme="5"/>
      </bottom>
      <diagonal/>
    </border>
    <border>
      <left/>
      <right/>
      <top/>
      <bottom style="medium">
        <color theme="5"/>
      </bottom>
      <diagonal/>
    </border>
    <border>
      <left/>
      <right/>
      <top style="thin">
        <color rgb="FFBCBFC6"/>
      </top>
      <bottom style="thin">
        <color rgb="FFBCBF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  <border>
      <bottom style="thin">
        <color rgb="00BCBFC6"/>
      </bottom>
    </border>
    <border>
      <bottom style="medium">
        <color rgb="00BCBFC6"/>
      </bottom>
    </border>
    <border>
      <top style="thin">
        <color rgb="00BCBFC6"/>
      </top>
    </border>
  </borders>
  <cellStyleXfs count="28">
    <xf numFmtId="0" fontId="1" fillId="0" borderId="0"/>
    <xf numFmtId="9" fontId="1" fillId="0" borderId="0"/>
    <xf numFmtId="0" fontId="13" fillId="0" borderId="0"/>
    <xf numFmtId="43" fontId="4" fillId="0" borderId="0"/>
    <xf numFmtId="0" fontId="4" fillId="0" borderId="0"/>
    <xf numFmtId="0" fontId="49" fillId="0" borderId="0"/>
    <xf numFmtId="0" fontId="13" fillId="0" borderId="0"/>
    <xf numFmtId="44" fontId="13" fillId="0" borderId="0"/>
    <xf numFmtId="9" fontId="13" fillId="0" borderId="0"/>
    <xf numFmtId="0" fontId="5" fillId="0" borderId="0"/>
    <xf numFmtId="0" fontId="4" fillId="0" borderId="0"/>
    <xf numFmtId="0" fontId="8" fillId="0" borderId="0"/>
    <xf numFmtId="43" fontId="5" fillId="0" borderId="0"/>
    <xf numFmtId="9" fontId="5" fillId="0" borderId="0"/>
    <xf numFmtId="0" fontId="1" fillId="0" borderId="0"/>
    <xf numFmtId="0" fontId="49" fillId="0" borderId="0"/>
    <xf numFmtId="0" fontId="49" fillId="0" borderId="0"/>
    <xf numFmtId="0" fontId="13" fillId="0" borderId="0"/>
    <xf numFmtId="0" fontId="1" fillId="0" borderId="0"/>
    <xf numFmtId="0" fontId="13" fillId="0" borderId="0"/>
    <xf numFmtId="0" fontId="2" fillId="0" borderId="0"/>
    <xf numFmtId="0" fontId="49" fillId="0" borderId="0"/>
    <xf numFmtId="0" fontId="1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3" fillId="0" borderId="0" applyAlignment="1">
      <alignment vertical="center"/>
    </xf>
  </cellStyleXfs>
  <cellXfs count="279">
    <xf numFmtId="0" fontId="0" fillId="0" borderId="0" pivotButton="0" quotePrefix="0" xfId="0"/>
    <xf numFmtId="14" fontId="0" fillId="0" borderId="0" pivotButton="0" quotePrefix="0" xfId="0"/>
    <xf numFmtId="14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0" fontId="14" fillId="0" borderId="0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/>
    </xf>
    <xf numFmtId="0" fontId="16" fillId="2" borderId="2" applyAlignment="1" pivotButton="0" quotePrefix="0" xfId="0">
      <alignment horizontal="center"/>
    </xf>
    <xf numFmtId="0" fontId="16" fillId="2" borderId="0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14" fontId="15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14" fontId="22" fillId="0" borderId="0" applyAlignment="1" pivotButton="0" quotePrefix="0" xfId="0">
      <alignment horizontal="center" vertical="center"/>
    </xf>
    <xf numFmtId="9" fontId="17" fillId="0" borderId="0" applyAlignment="1" pivotButton="0" quotePrefix="0" xfId="1">
      <alignment vertical="center"/>
    </xf>
    <xf numFmtId="14" fontId="22" fillId="0" borderId="0" applyAlignment="1" pivotButton="0" quotePrefix="0" xfId="0">
      <alignment horizontal="center"/>
    </xf>
    <xf numFmtId="0" fontId="17" fillId="0" borderId="0" pivotButton="0" quotePrefix="0" xfId="0"/>
    <xf numFmtId="0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vertical="center"/>
    </xf>
    <xf numFmtId="164" fontId="25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165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166" fontId="26" fillId="0" borderId="0" applyAlignment="1" pivotButton="0" quotePrefix="0" xfId="0">
      <alignment horizontal="center" vertical="center"/>
    </xf>
    <xf numFmtId="164" fontId="26" fillId="0" borderId="0" applyAlignment="1" pivotButton="0" quotePrefix="0" xfId="0">
      <alignment horizontal="right" vertical="center"/>
    </xf>
    <xf numFmtId="2" fontId="17" fillId="0" borderId="0" applyAlignment="1" pivotButton="0" quotePrefix="0" xfId="0">
      <alignment vertical="center"/>
    </xf>
    <xf numFmtId="41" fontId="28" fillId="0" borderId="0" applyAlignment="1" pivotButton="0" quotePrefix="0" xfId="2">
      <alignment horizontal="right" vertical="center"/>
    </xf>
    <xf numFmtId="41" fontId="25" fillId="0" borderId="0" applyAlignment="1" pivotButton="0" quotePrefix="0" xfId="2">
      <alignment horizontal="right" vertical="center"/>
    </xf>
    <xf numFmtId="41" fontId="24" fillId="0" borderId="0" applyAlignment="1" pivotButton="0" quotePrefix="0" xfId="2">
      <alignment horizontal="right" vertical="center"/>
    </xf>
    <xf numFmtId="167" fontId="26" fillId="0" borderId="0" applyAlignment="1" pivotButton="0" quotePrefix="0" xfId="0">
      <alignment horizontal="center" vertical="center" wrapText="1"/>
    </xf>
    <xf numFmtId="165" fontId="26" fillId="0" borderId="0" applyAlignment="1" pivotButton="0" quotePrefix="0" xfId="1">
      <alignment horizontal="center" vertical="center" wrapText="1"/>
    </xf>
    <xf numFmtId="168" fontId="26" fillId="0" borderId="0" applyAlignment="1" pivotButton="0" quotePrefix="1" xfId="0">
      <alignment horizontal="center" vertical="center"/>
    </xf>
    <xf numFmtId="0" fontId="24" fillId="0" borderId="0" applyAlignment="1" pivotButton="0" quotePrefix="0" xfId="2">
      <alignment horizontal="center" vertical="center" wrapText="1"/>
    </xf>
    <xf numFmtId="169" fontId="26" fillId="0" borderId="0" applyAlignment="1" pivotButton="0" quotePrefix="0" xfId="0">
      <alignment horizontal="center" vertical="center"/>
    </xf>
    <xf numFmtId="170" fontId="26" fillId="0" borderId="0" applyAlignment="1" pivotButton="0" quotePrefix="0" xfId="0">
      <alignment horizontal="right" vertical="center"/>
    </xf>
    <xf numFmtId="41" fontId="26" fillId="0" borderId="0" applyAlignment="1" pivotButton="0" quotePrefix="0" xfId="0">
      <alignment horizontal="right" vertical="center"/>
    </xf>
    <xf numFmtId="165" fontId="16" fillId="0" borderId="3" applyAlignment="1" pivotButton="0" quotePrefix="0" xfId="0">
      <alignment vertical="center"/>
    </xf>
    <xf numFmtId="165" fontId="29" fillId="0" borderId="3" applyAlignment="1" pivotButton="0" quotePrefix="0" xfId="0">
      <alignment vertical="center"/>
    </xf>
    <xf numFmtId="10" fontId="17" fillId="0" borderId="0" applyAlignment="1" pivotButton="0" quotePrefix="0" xfId="1">
      <alignment horizontal="center" vertical="center"/>
    </xf>
    <xf numFmtId="165" fontId="17" fillId="0" borderId="0" applyAlignment="1" pivotButton="0" quotePrefix="0" xfId="0">
      <alignment vertical="center"/>
    </xf>
    <xf numFmtId="10" fontId="17" fillId="0" borderId="0" applyAlignment="1" pivotButton="0" quotePrefix="0" xfId="0">
      <alignment vertical="center"/>
    </xf>
    <xf numFmtId="0" fontId="24" fillId="0" borderId="0" applyAlignment="1" pivotButton="0" quotePrefix="0" xfId="2">
      <alignment horizontal="left" vertical="center" indent="1"/>
    </xf>
    <xf numFmtId="0" fontId="24" fillId="0" borderId="0" applyAlignment="1" pivotButton="0" quotePrefix="0" xfId="2">
      <alignment vertical="center"/>
    </xf>
    <xf numFmtId="171" fontId="26" fillId="0" borderId="0" applyAlignment="1" pivotButton="0" quotePrefix="0" xfId="1">
      <alignment horizontal="center" vertical="center"/>
    </xf>
    <xf numFmtId="37" fontId="26" fillId="0" borderId="0" applyAlignment="1" pivotButton="0" quotePrefix="0" xfId="0">
      <alignment horizontal="right" vertical="center"/>
    </xf>
    <xf numFmtId="10" fontId="17" fillId="0" borderId="0" applyAlignment="1" pivotButton="0" quotePrefix="0" xfId="1">
      <alignment vertical="center"/>
    </xf>
    <xf numFmtId="165" fontId="29" fillId="0" borderId="0" applyAlignment="1" pivotButton="0" quotePrefix="0" xfId="0">
      <alignment vertical="center"/>
    </xf>
    <xf numFmtId="165" fontId="29" fillId="0" borderId="0" applyAlignment="1" pivotButton="0" quotePrefix="0" xfId="1">
      <alignment vertical="center"/>
    </xf>
    <xf numFmtId="37" fontId="17" fillId="0" borderId="0" applyAlignment="1" pivotButton="0" quotePrefix="0" xfId="0">
      <alignment vertical="center"/>
    </xf>
    <xf numFmtId="169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/>
    </xf>
    <xf numFmtId="37" fontId="28" fillId="0" borderId="0" applyAlignment="1" pivotButton="0" quotePrefix="0" xfId="2">
      <alignment horizontal="right" vertical="center"/>
    </xf>
    <xf numFmtId="37" fontId="30" fillId="0" borderId="0" applyAlignment="1" pivotButton="0" quotePrefix="0" xfId="2">
      <alignment horizontal="right" vertical="center"/>
    </xf>
    <xf numFmtId="37" fontId="24" fillId="0" borderId="0" applyAlignment="1" pivotButton="0" quotePrefix="0" xfId="2">
      <alignment horizontal="right" vertical="center"/>
    </xf>
    <xf numFmtId="165" fontId="26" fillId="0" borderId="0" applyAlignment="1" pivotButton="0" quotePrefix="0" xfId="1">
      <alignment horizontal="center" vertical="center" wrapText="1"/>
    </xf>
    <xf numFmtId="171" fontId="26" fillId="0" borderId="0" applyAlignment="1" pivotButton="0" quotePrefix="0" xfId="1">
      <alignment horizontal="center" vertical="center"/>
    </xf>
    <xf numFmtId="10" fontId="17" fillId="0" borderId="0" applyAlignment="1" pivotButton="0" quotePrefix="0" xfId="1">
      <alignment vertical="center"/>
    </xf>
    <xf numFmtId="0" fontId="26" fillId="0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166" fontId="26" fillId="0" borderId="0" applyAlignment="1" pivotButton="0" quotePrefix="0" xfId="0">
      <alignment horizontal="right" vertical="center"/>
    </xf>
    <xf numFmtId="172" fontId="26" fillId="0" borderId="0" applyAlignment="1" pivotButton="0" quotePrefix="0" xfId="0">
      <alignment vertical="center"/>
    </xf>
    <xf numFmtId="9" fontId="31" fillId="0" borderId="0" applyAlignment="1" pivotButton="0" quotePrefix="0" xfId="1">
      <alignment vertical="center"/>
    </xf>
    <xf numFmtId="173" fontId="27" fillId="0" borderId="0" applyAlignment="1" pivotButton="0" quotePrefix="0" xfId="0">
      <alignment horizontal="right" vertical="center"/>
    </xf>
    <xf numFmtId="174" fontId="26" fillId="0" borderId="0" applyAlignment="1" pivotButton="0" quotePrefix="0" xfId="0">
      <alignment vertical="center"/>
    </xf>
    <xf numFmtId="164" fontId="24" fillId="0" borderId="0" applyAlignment="1" pivotButton="0" quotePrefix="0" xfId="0">
      <alignment vertical="center"/>
    </xf>
    <xf numFmtId="164" fontId="33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175" fontId="26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left" vertical="center"/>
    </xf>
    <xf numFmtId="176" fontId="23" fillId="0" borderId="0" applyAlignment="1" pivotButton="0" quotePrefix="0" xfId="3">
      <alignment horizontal="right" vertical="center"/>
    </xf>
    <xf numFmtId="37" fontId="24" fillId="0" borderId="0" applyAlignment="1" pivotButton="0" quotePrefix="0" xfId="3">
      <alignment horizontal="right" vertical="center"/>
    </xf>
    <xf numFmtId="176" fontId="24" fillId="0" borderId="0" applyAlignment="1" pivotButton="0" quotePrefix="0" xfId="0">
      <alignment vertical="center"/>
    </xf>
    <xf numFmtId="41" fontId="26" fillId="0" borderId="0" applyAlignment="1" pivotButton="0" quotePrefix="0" xfId="0">
      <alignment vertical="center"/>
    </xf>
    <xf numFmtId="173" fontId="27" fillId="0" borderId="0" applyAlignment="1" pivotButton="0" quotePrefix="0" xfId="0">
      <alignment vertical="center"/>
    </xf>
    <xf numFmtId="175" fontId="26" fillId="0" borderId="0" applyAlignment="1" pivotButton="0" quotePrefix="0" xfId="0">
      <alignment vertical="center"/>
    </xf>
    <xf numFmtId="37" fontId="25" fillId="0" borderId="0" applyAlignment="1" pivotButton="0" quotePrefix="0" xfId="3">
      <alignment horizontal="right" vertical="center"/>
    </xf>
    <xf numFmtId="177" fontId="26" fillId="0" borderId="0" applyAlignment="1" pivotButton="0" quotePrefix="0" xfId="0">
      <alignment vertical="center"/>
    </xf>
    <xf numFmtId="177" fontId="26" fillId="0" borderId="0" applyAlignment="1" pivotButton="0" quotePrefix="0" xfId="0">
      <alignment horizontal="center" vertical="center"/>
    </xf>
    <xf numFmtId="175" fontId="27" fillId="0" borderId="0" applyAlignment="1" pivotButton="0" quotePrefix="0" xfId="0">
      <alignment vertical="center"/>
    </xf>
    <xf numFmtId="173" fontId="17" fillId="0" borderId="0" applyAlignment="1" pivotButton="0" quotePrefix="0" xfId="0">
      <alignment vertical="center"/>
    </xf>
    <xf numFmtId="178" fontId="20" fillId="0" borderId="0" applyAlignment="1" pivotButton="0" quotePrefix="0" xfId="2">
      <alignment horizontal="left" vertical="center"/>
    </xf>
    <xf numFmtId="178" fontId="20" fillId="0" borderId="0" applyAlignment="1" pivotButton="0" quotePrefix="0" xfId="2">
      <alignment horizontal="left" vertical="center" indent="1"/>
    </xf>
    <xf numFmtId="173" fontId="15" fillId="0" borderId="0" applyAlignment="1" pivotButton="0" quotePrefix="0" xfId="0">
      <alignment vertical="center"/>
    </xf>
    <xf numFmtId="179" fontId="17" fillId="0" borderId="0" applyAlignment="1" pivotButton="0" quotePrefix="0" xfId="0">
      <alignment vertical="center"/>
    </xf>
    <xf numFmtId="0" fontId="34" fillId="0" borderId="0" pivotButton="0" quotePrefix="0" xfId="0"/>
    <xf numFmtId="0" fontId="35" fillId="0" borderId="0" pivotButton="0" quotePrefix="0" xfId="0"/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7" fillId="0" borderId="7" applyAlignment="1" pivotButton="0" quotePrefix="0" xfId="0">
      <alignment vertical="center"/>
    </xf>
    <xf numFmtId="0" fontId="24" fillId="0" borderId="0" applyAlignment="1" pivotButton="0" quotePrefix="1" xfId="0">
      <alignment horizontal="center" vertical="center"/>
    </xf>
    <xf numFmtId="180" fontId="25" fillId="0" borderId="0" applyAlignment="1" pivotButton="0" quotePrefix="0" xfId="0">
      <alignment horizontal="right" vertical="center"/>
    </xf>
    <xf numFmtId="0" fontId="23" fillId="0" borderId="9" applyAlignment="1" pivotButton="0" quotePrefix="0" xfId="0">
      <alignment vertical="center"/>
    </xf>
    <xf numFmtId="0" fontId="23" fillId="0" borderId="10" applyAlignment="1" pivotButton="0" quotePrefix="0" xfId="0">
      <alignment vertical="center"/>
    </xf>
    <xf numFmtId="0" fontId="23" fillId="0" borderId="8" applyAlignment="1" pivotButton="0" quotePrefix="0" xfId="0">
      <alignment horizontal="center" vertical="center"/>
    </xf>
    <xf numFmtId="0" fontId="37" fillId="4" borderId="11" applyAlignment="1" pivotButton="0" quotePrefix="0" xfId="0">
      <alignment horizontal="left" vertical="center" indent="1"/>
    </xf>
    <xf numFmtId="0" fontId="37" fillId="4" borderId="10" applyAlignment="1" pivotButton="0" quotePrefix="0" xfId="0">
      <alignment vertical="center"/>
    </xf>
    <xf numFmtId="164" fontId="37" fillId="4" borderId="12" applyAlignment="1" pivotButton="0" quotePrefix="0" xfId="0">
      <alignment vertical="center"/>
    </xf>
    <xf numFmtId="0" fontId="38" fillId="4" borderId="13" applyAlignment="1" pivotButton="0" quotePrefix="0" xfId="0">
      <alignment horizontal="left" vertical="center" indent="1"/>
    </xf>
    <xf numFmtId="0" fontId="37" fillId="4" borderId="14" applyAlignment="1" pivotButton="0" quotePrefix="0" xfId="0">
      <alignment vertical="center"/>
    </xf>
    <xf numFmtId="164" fontId="38" fillId="4" borderId="15" applyAlignment="1" pivotButton="0" quotePrefix="0" xfId="0">
      <alignment vertical="center"/>
    </xf>
    <xf numFmtId="0" fontId="23" fillId="3" borderId="4" applyAlignment="1" pivotButton="0" quotePrefix="0" xfId="0">
      <alignment vertical="center"/>
    </xf>
    <xf numFmtId="0" fontId="23" fillId="3" borderId="5" applyAlignment="1" pivotButton="0" quotePrefix="0" xfId="0">
      <alignment vertical="center"/>
    </xf>
    <xf numFmtId="164" fontId="23" fillId="3" borderId="5" applyAlignment="1" pivotButton="0" quotePrefix="0" xfId="0">
      <alignment vertical="center"/>
    </xf>
    <xf numFmtId="175" fontId="23" fillId="3" borderId="5" applyAlignment="1" pivotButton="0" quotePrefix="0" xfId="0">
      <alignment vertical="center"/>
    </xf>
    <xf numFmtId="166" fontId="23" fillId="3" borderId="5" applyAlignment="1" pivotButton="0" quotePrefix="0" xfId="0">
      <alignment horizontal="center" vertical="center"/>
    </xf>
    <xf numFmtId="170" fontId="23" fillId="3" borderId="5" applyAlignment="1" pivotButton="0" quotePrefix="0" xfId="0">
      <alignment horizontal="right" vertical="center"/>
    </xf>
    <xf numFmtId="164" fontId="23" fillId="3" borderId="6" applyAlignment="1" pivotButton="0" quotePrefix="0" xfId="0">
      <alignment vertical="center"/>
    </xf>
    <xf numFmtId="0" fontId="23" fillId="5" borderId="4" applyAlignment="1" pivotButton="0" quotePrefix="0" xfId="0">
      <alignment vertical="center"/>
    </xf>
    <xf numFmtId="0" fontId="23" fillId="5" borderId="5" applyAlignment="1" pivotButton="0" quotePrefix="0" xfId="0">
      <alignment vertical="center"/>
    </xf>
    <xf numFmtId="164" fontId="23" fillId="5" borderId="5" applyAlignment="1" pivotButton="0" quotePrefix="0" xfId="0">
      <alignment vertical="center"/>
    </xf>
    <xf numFmtId="175" fontId="23" fillId="5" borderId="5" applyAlignment="1" pivotButton="0" quotePrefix="0" xfId="0">
      <alignment vertical="center"/>
    </xf>
    <xf numFmtId="166" fontId="23" fillId="5" borderId="5" applyAlignment="1" pivotButton="0" quotePrefix="0" xfId="0">
      <alignment horizontal="center" vertical="center"/>
    </xf>
    <xf numFmtId="170" fontId="23" fillId="5" borderId="5" applyAlignment="1" pivotButton="0" quotePrefix="0" xfId="0">
      <alignment horizontal="right" vertical="center"/>
    </xf>
    <xf numFmtId="164" fontId="23" fillId="5" borderId="6" applyAlignment="1" pivotButton="0" quotePrefix="0" xfId="0">
      <alignment vertical="center"/>
    </xf>
    <xf numFmtId="0" fontId="29" fillId="0" borderId="0" applyAlignment="1" pivotButton="0" quotePrefix="0" xfId="4">
      <alignment vertical="center"/>
    </xf>
    <xf numFmtId="0" fontId="29" fillId="0" borderId="0" applyAlignment="1" pivotButton="0" quotePrefix="0" xfId="4">
      <alignment horizontal="right" vertical="center"/>
    </xf>
    <xf numFmtId="0" fontId="40" fillId="0" borderId="0" applyAlignment="1" pivotButton="0" quotePrefix="0" xfId="4">
      <alignment vertical="center"/>
    </xf>
    <xf numFmtId="0" fontId="4" fillId="0" borderId="0" applyAlignment="1" pivotButton="0" quotePrefix="0" xfId="4">
      <alignment vertical="center"/>
    </xf>
    <xf numFmtId="0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right" vertical="center"/>
    </xf>
    <xf numFmtId="0" fontId="40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right" vertical="center"/>
    </xf>
    <xf numFmtId="0" fontId="29" fillId="0" borderId="0" pivotButton="0" quotePrefix="0" xfId="0"/>
    <xf numFmtId="181" fontId="45" fillId="0" borderId="0" applyAlignment="1" pivotButton="0" quotePrefix="0" xfId="4">
      <alignment horizontal="right" vertical="center"/>
    </xf>
    <xf numFmtId="171" fontId="29" fillId="0" borderId="0" applyAlignment="1" pivotButton="0" quotePrefix="0" xfId="1">
      <alignment vertical="center"/>
    </xf>
    <xf numFmtId="182" fontId="29" fillId="0" borderId="0" applyAlignment="1" pivotButton="0" quotePrefix="0" xfId="4">
      <alignment vertical="center"/>
    </xf>
    <xf numFmtId="181" fontId="29" fillId="0" borderId="0" applyAlignment="1" pivotButton="0" quotePrefix="0" xfId="4">
      <alignment horizontal="right" vertical="center"/>
    </xf>
    <xf numFmtId="181" fontId="40" fillId="0" borderId="0" applyAlignment="1" pivotButton="0" quotePrefix="0" xfId="4">
      <alignment horizontal="right" vertical="center"/>
    </xf>
    <xf numFmtId="183" fontId="29" fillId="0" borderId="0" applyAlignment="1" pivotButton="0" quotePrefix="0" xfId="4">
      <alignment vertical="center"/>
    </xf>
    <xf numFmtId="0" fontId="44" fillId="0" borderId="0" applyAlignment="1" pivotButton="0" quotePrefix="0" xfId="4">
      <alignment horizontal="right" vertical="center"/>
    </xf>
    <xf numFmtId="183" fontId="40" fillId="0" borderId="0" applyAlignment="1" pivotButton="0" quotePrefix="0" xfId="4">
      <alignment horizontal="right" vertical="center"/>
    </xf>
    <xf numFmtId="184" fontId="40" fillId="0" borderId="0" applyAlignment="1" pivotButton="0" quotePrefix="0" xfId="4">
      <alignment horizontal="right" vertical="center"/>
    </xf>
    <xf numFmtId="0" fontId="4" fillId="0" borderId="0" applyAlignment="1" pivotButton="0" quotePrefix="0" xfId="4">
      <alignment horizontal="right" vertical="center"/>
    </xf>
    <xf numFmtId="0" fontId="40" fillId="0" borderId="0" applyAlignment="1" pivotButton="0" quotePrefix="0" xfId="4">
      <alignment horizontal="right" vertical="center"/>
    </xf>
    <xf numFmtId="37" fontId="29" fillId="0" borderId="0" applyAlignment="1" pivotButton="0" quotePrefix="0" xfId="4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0" fontId="15" fillId="4" borderId="16" applyAlignment="1" pivotButton="0" quotePrefix="0" xfId="0">
      <alignment vertical="center"/>
    </xf>
    <xf numFmtId="0" fontId="15" fillId="5" borderId="16" applyAlignment="1" pivotButton="0" quotePrefix="0" xfId="0">
      <alignment vertical="center"/>
    </xf>
    <xf numFmtId="0" fontId="46" fillId="0" borderId="19" applyAlignment="1" pivotButton="0" quotePrefix="0" xfId="0">
      <alignment horizontal="center" vertical="center"/>
    </xf>
    <xf numFmtId="0" fontId="46" fillId="0" borderId="19" applyAlignment="1" pivotButton="0" quotePrefix="0" xfId="0">
      <alignment vertical="center"/>
    </xf>
    <xf numFmtId="0" fontId="46" fillId="0" borderId="19" applyAlignment="1" pivotButton="0" quotePrefix="0" xfId="0">
      <alignment horizontal="right" vertical="center"/>
    </xf>
    <xf numFmtId="185" fontId="47" fillId="0" borderId="0" applyAlignment="1" pivotButton="0" quotePrefix="0" xfId="4">
      <alignment horizontal="right" vertical="center"/>
    </xf>
    <xf numFmtId="0" fontId="17" fillId="0" borderId="0" applyAlignment="1" pivotButton="0" quotePrefix="0" xfId="4">
      <alignment horizontal="center" vertical="center"/>
    </xf>
    <xf numFmtId="0" fontId="17" fillId="0" borderId="0" applyAlignment="1" pivotButton="0" quotePrefix="0" xfId="4">
      <alignment vertical="center"/>
    </xf>
    <xf numFmtId="181" fontId="48" fillId="0" borderId="0" applyAlignment="1" pivotButton="0" quotePrefix="0" xfId="4">
      <alignment horizontal="right" vertical="center"/>
    </xf>
    <xf numFmtId="179" fontId="17" fillId="0" borderId="0" applyAlignment="1" pivotButton="0" quotePrefix="0" xfId="4">
      <alignment horizontal="right" vertical="center"/>
    </xf>
    <xf numFmtId="181" fontId="17" fillId="0" borderId="0" applyAlignment="1" pivotButton="0" quotePrefix="0" xfId="4">
      <alignment horizontal="right" vertical="center"/>
    </xf>
    <xf numFmtId="181" fontId="15" fillId="0" borderId="0" applyAlignment="1" pivotButton="0" quotePrefix="0" xfId="4">
      <alignment horizontal="right" vertical="center"/>
    </xf>
    <xf numFmtId="0" fontId="17" fillId="0" borderId="0" applyAlignment="1" pivotButton="0" quotePrefix="0" xfId="4">
      <alignment horizontal="right" vertical="center"/>
    </xf>
    <xf numFmtId="0" fontId="15" fillId="0" borderId="0" applyAlignment="1" pivotButton="0" quotePrefix="0" xfId="4">
      <alignment vertical="center"/>
    </xf>
    <xf numFmtId="186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5">
      <alignment horizontal="center" vertical="center"/>
    </xf>
    <xf numFmtId="0" fontId="0" fillId="0" borderId="0" applyAlignment="1" pivotButton="0" quotePrefix="0" xfId="0">
      <alignment horizontal="center" wrapText="1"/>
    </xf>
    <xf numFmtId="0" fontId="50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2" fillId="0" borderId="19" applyAlignment="1" pivotButton="0" quotePrefix="0" xfId="0">
      <alignment vertical="center"/>
    </xf>
    <xf numFmtId="0" fontId="52" fillId="0" borderId="19" applyAlignment="1" pivotButton="0" quotePrefix="0" xfId="0">
      <alignment horizontal="center" vertical="center"/>
    </xf>
    <xf numFmtId="187" fontId="17" fillId="0" borderId="0" applyAlignment="1" pivotButton="0" quotePrefix="0" xfId="0">
      <alignment horizontal="center" vertical="center"/>
    </xf>
    <xf numFmtId="0" fontId="15" fillId="5" borderId="20" applyAlignment="1" pivotButton="0" quotePrefix="0" xfId="0">
      <alignment vertical="center"/>
    </xf>
    <xf numFmtId="17" fontId="17" fillId="0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center" vertical="center"/>
    </xf>
    <xf numFmtId="188" fontId="17" fillId="0" borderId="0" applyAlignment="1" pivotButton="0" quotePrefix="0" xfId="0">
      <alignment horizontal="center" vertical="center"/>
    </xf>
    <xf numFmtId="10" fontId="17" fillId="0" borderId="0" applyAlignment="1" pivotButton="0" quotePrefix="0" xfId="0">
      <alignment horizontal="center" vertical="center"/>
    </xf>
    <xf numFmtId="10" fontId="17" fillId="0" borderId="0" applyAlignment="1" pivotButton="0" quotePrefix="0" xfId="1">
      <alignment horizontal="center" vertical="center"/>
    </xf>
    <xf numFmtId="188" fontId="15" fillId="5" borderId="17" applyAlignment="1" pivotButton="0" quotePrefix="0" xfId="0">
      <alignment horizontal="center" vertical="center"/>
    </xf>
    <xf numFmtId="0" fontId="17" fillId="5" borderId="17" pivotButton="0" quotePrefix="0" xfId="0"/>
    <xf numFmtId="0" fontId="17" fillId="5" borderId="18" pivotButton="0" quotePrefix="0" xfId="0"/>
    <xf numFmtId="0" fontId="17" fillId="4" borderId="17" pivotButton="0" quotePrefix="0" xfId="0"/>
    <xf numFmtId="0" fontId="17" fillId="4" borderId="18" pivotButton="0" quotePrefix="0" xfId="0"/>
    <xf numFmtId="188" fontId="15" fillId="4" borderId="18" applyAlignment="1" pivotButton="0" quotePrefix="0" xfId="0">
      <alignment horizontal="center" vertical="center"/>
    </xf>
    <xf numFmtId="189" fontId="17" fillId="0" borderId="0" applyAlignment="1" pivotButton="0" quotePrefix="0" xfId="0">
      <alignment horizontal="right" vertical="center"/>
    </xf>
    <xf numFmtId="190" fontId="15" fillId="0" borderId="0" applyAlignment="1" pivotButton="0" quotePrefix="0" xfId="0">
      <alignment vertical="center"/>
    </xf>
    <xf numFmtId="190" fontId="15" fillId="4" borderId="17" applyAlignment="1" pivotButton="0" quotePrefix="0" xfId="0">
      <alignment horizontal="center" vertical="center"/>
    </xf>
    <xf numFmtId="171" fontId="15" fillId="0" borderId="0" applyAlignment="1" pivotButton="0" quotePrefix="0" xfId="0">
      <alignment vertical="center"/>
    </xf>
    <xf numFmtId="191" fontId="17" fillId="0" borderId="0" applyAlignment="1" pivotButton="0" quotePrefix="0" xfId="0">
      <alignment horizontal="right"/>
    </xf>
    <xf numFmtId="192" fontId="15" fillId="4" borderId="17" applyAlignment="1" pivotButton="0" quotePrefix="0" xfId="0">
      <alignment horizontal="center" vertical="center"/>
    </xf>
    <xf numFmtId="193" fontId="17" fillId="0" borderId="0" applyAlignment="1" pivotButton="0" quotePrefix="0" xfId="0">
      <alignment horizontal="center" vertical="center"/>
    </xf>
    <xf numFmtId="0" fontId="15" fillId="5" borderId="17" applyAlignment="1" pivotButton="0" quotePrefix="0" xfId="0">
      <alignment horizontal="center" vertical="center"/>
    </xf>
    <xf numFmtId="164" fontId="15" fillId="4" borderId="17" applyAlignment="1" pivotButton="0" quotePrefix="0" xfId="0">
      <alignment horizontal="right" vertical="center"/>
    </xf>
    <xf numFmtId="164" fontId="15" fillId="5" borderId="17" applyAlignment="1" pivotButton="0" quotePrefix="0" xfId="0">
      <alignment horizontal="right" vertical="center"/>
    </xf>
    <xf numFmtId="168" fontId="3" fillId="0" borderId="0" applyAlignment="1" pivotButton="0" quotePrefix="0" xfId="27">
      <alignment vertical="center"/>
    </xf>
    <xf numFmtId="37" fontId="3" fillId="0" borderId="0" applyAlignment="1" pivotButton="0" quotePrefix="0" xfId="27">
      <alignment vertical="center"/>
    </xf>
    <xf numFmtId="0" fontId="15" fillId="4" borderId="17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/>
    </xf>
    <xf numFmtId="164" fontId="17" fillId="0" borderId="23" applyAlignment="1" pivotButton="0" quotePrefix="0" xfId="0">
      <alignment vertical="center"/>
    </xf>
    <xf numFmtId="0" fontId="17" fillId="0" borderId="24" pivotButton="0" quotePrefix="0" xfId="0"/>
    <xf numFmtId="0" fontId="18" fillId="0" borderId="24" applyAlignment="1" pivotButton="0" quotePrefix="0" xfId="0">
      <alignment horizontal="right" vertical="center"/>
    </xf>
    <xf numFmtId="0" fontId="15" fillId="0" borderId="24" applyAlignment="1" pivotButton="0" quotePrefix="0" xfId="0">
      <alignment horizontal="centerContinuous" vertical="center"/>
    </xf>
    <xf numFmtId="0" fontId="17" fillId="0" borderId="24" applyAlignment="1" pivotButton="0" quotePrefix="0" xfId="0">
      <alignment horizontal="centerContinuous" vertical="center"/>
    </xf>
    <xf numFmtId="0" fontId="20" fillId="0" borderId="24" applyAlignment="1" pivotButton="0" quotePrefix="0" xfId="0">
      <alignment vertical="center"/>
    </xf>
    <xf numFmtId="0" fontId="43" fillId="0" borderId="24" applyAlignment="1" pivotButton="0" quotePrefix="0" xfId="0">
      <alignment vertical="center"/>
    </xf>
    <xf numFmtId="0" fontId="43" fillId="0" borderId="24" applyAlignment="1" pivotButton="0" quotePrefix="0" xfId="0">
      <alignment horizontal="right" vertical="center"/>
    </xf>
    <xf numFmtId="194" fontId="17" fillId="0" borderId="0" applyAlignment="1" pivotButton="0" quotePrefix="0" xfId="0">
      <alignment horizontal="right" vertical="center"/>
    </xf>
    <xf numFmtId="195" fontId="17" fillId="0" borderId="0" applyAlignment="1" pivotButton="0" quotePrefix="0" xfId="0">
      <alignment horizontal="right" vertical="center"/>
    </xf>
    <xf numFmtId="196" fontId="17" fillId="0" borderId="0" applyAlignment="1" pivotButton="0" quotePrefix="0" xfId="0">
      <alignment horizontal="center" vertical="center"/>
    </xf>
    <xf numFmtId="194" fontId="15" fillId="5" borderId="17" applyAlignment="1" pivotButton="0" quotePrefix="0" xfId="0">
      <alignment horizontal="right" vertical="center"/>
    </xf>
    <xf numFmtId="188" fontId="15" fillId="5" borderId="18" applyAlignment="1" pivotButton="0" quotePrefix="0" xfId="0">
      <alignment horizontal="center" vertical="center"/>
    </xf>
    <xf numFmtId="195" fontId="0" fillId="0" borderId="0" pivotButton="0" quotePrefix="0" xfId="0"/>
    <xf numFmtId="197" fontId="17" fillId="0" borderId="0" applyAlignment="1" pivotButton="0" quotePrefix="0" xfId="4">
      <alignment horizontal="right" vertical="center"/>
    </xf>
    <xf numFmtId="198" fontId="15" fillId="5" borderId="25" applyAlignment="1" pivotButton="0" quotePrefix="0" xfId="0">
      <alignment vertical="center"/>
    </xf>
    <xf numFmtId="199" fontId="17" fillId="0" borderId="0" applyAlignment="1" pivotButton="0" quotePrefix="0" xfId="4">
      <alignment horizontal="right" vertical="center"/>
    </xf>
    <xf numFmtId="198" fontId="17" fillId="0" borderId="0" applyAlignment="1" pivotButton="0" quotePrefix="0" xfId="4">
      <alignment horizontal="right" vertical="center"/>
    </xf>
    <xf numFmtId="197" fontId="15" fillId="5" borderId="21" applyAlignment="1" pivotButton="0" quotePrefix="0" xfId="0">
      <alignment vertical="center"/>
    </xf>
    <xf numFmtId="168" fontId="0" fillId="0" borderId="0" applyAlignment="1" pivotButton="0" quotePrefix="0" xfId="0">
      <alignment horizontal="left"/>
    </xf>
    <xf numFmtId="190" fontId="15" fillId="0" borderId="0" applyAlignment="1" pivotButton="0" quotePrefix="0" xfId="0">
      <alignment horizontal="center" vertical="center"/>
    </xf>
    <xf numFmtId="188" fontId="15" fillId="0" borderId="0" applyAlignment="1" pivotButton="0" quotePrefix="0" xfId="0">
      <alignment horizontal="center" vertical="center"/>
    </xf>
    <xf numFmtId="200" fontId="17" fillId="0" borderId="0" applyAlignment="1" pivotButton="0" quotePrefix="0" xfId="0">
      <alignment horizontal="center" vertical="center"/>
    </xf>
    <xf numFmtId="169" fontId="17" fillId="0" borderId="0" applyAlignment="1" pivotButton="0" quotePrefix="0" xfId="0">
      <alignment horizontal="center" vertical="center"/>
    </xf>
    <xf numFmtId="197" fontId="17" fillId="0" borderId="0" applyAlignment="1" pivotButton="0" quotePrefix="0" xfId="0">
      <alignment horizontal="center" vertical="center"/>
    </xf>
    <xf numFmtId="190" fontId="15" fillId="4" borderId="18" applyAlignment="1" pivotButton="0" quotePrefix="0" xfId="0">
      <alignment horizontal="right" vertical="center"/>
    </xf>
    <xf numFmtId="190" fontId="15" fillId="5" borderId="21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Continuous" vertical="center"/>
    </xf>
    <xf numFmtId="0" fontId="17" fillId="0" borderId="0" applyAlignment="1" pivotButton="0" quotePrefix="0" xfId="0">
      <alignment horizontal="centerContinuous" vertical="center"/>
    </xf>
    <xf numFmtId="14" fontId="22" fillId="2" borderId="26" applyAlignment="1" pivotButton="0" quotePrefix="0" xfId="0">
      <alignment vertical="center"/>
    </xf>
    <xf numFmtId="194" fontId="17" fillId="0" borderId="0" applyAlignment="1" pivotButton="0" quotePrefix="0" xfId="0">
      <alignment horizontal="center" vertical="center"/>
    </xf>
    <xf numFmtId="196" fontId="17" fillId="0" borderId="0" applyAlignment="1" pivotButton="0" quotePrefix="0" xfId="0">
      <alignment vertical="center"/>
    </xf>
    <xf numFmtId="198" fontId="55" fillId="0" borderId="0" applyAlignment="1" pivotButton="0" quotePrefix="0" xfId="4">
      <alignment horizontal="right" vertical="center"/>
    </xf>
    <xf numFmtId="17" fontId="55" fillId="0" borderId="0" applyAlignment="1" pivotButton="0" quotePrefix="0" xfId="4">
      <alignment horizontal="right" vertical="center"/>
    </xf>
    <xf numFmtId="199" fontId="55" fillId="0" borderId="0" applyAlignment="1" pivotButton="0" quotePrefix="0" xfId="4">
      <alignment horizontal="right" vertical="center"/>
    </xf>
    <xf numFmtId="194" fontId="55" fillId="0" borderId="0" applyAlignment="1" pivotButton="0" quotePrefix="0" xfId="4">
      <alignment horizontal="right" vertical="center"/>
    </xf>
    <xf numFmtId="194" fontId="15" fillId="5" borderId="25" applyAlignment="1" pivotButton="0" quotePrefix="0" xfId="0">
      <alignment vertical="center"/>
    </xf>
    <xf numFmtId="194" fontId="15" fillId="5" borderId="21" applyAlignment="1" pivotButton="0" quotePrefix="0" xfId="0">
      <alignment vertical="center"/>
    </xf>
    <xf numFmtId="169" fontId="15" fillId="4" borderId="17" applyAlignment="1" pivotButton="0" quotePrefix="0" xfId="0">
      <alignment horizontal="center"/>
    </xf>
    <xf numFmtId="0" fontId="20" fillId="0" borderId="0" pivotButton="0" quotePrefix="0" xfId="0"/>
    <xf numFmtId="201" fontId="17" fillId="0" borderId="0" applyAlignment="1" pivotButton="0" quotePrefix="0" xfId="0">
      <alignment horizontal="left" vertical="center"/>
    </xf>
    <xf numFmtId="201" fontId="17" fillId="0" borderId="0" applyAlignment="1" pivotButton="0" quotePrefix="0" xfId="0">
      <alignment horizontal="left" vertical="center"/>
    </xf>
    <xf numFmtId="188" fontId="17" fillId="0" borderId="0" applyAlignment="1" pivotButton="0" quotePrefix="0" xfId="0">
      <alignment horizontal="center" vertical="center"/>
    </xf>
    <xf numFmtId="187" fontId="17" fillId="0" borderId="0" applyAlignment="1" pivotButton="0" quotePrefix="0" xfId="0">
      <alignment horizontal="center" vertical="center"/>
    </xf>
    <xf numFmtId="196" fontId="17" fillId="0" borderId="0" applyAlignment="1" pivotButton="0" quotePrefix="0" xfId="0">
      <alignment horizontal="center" vertical="center"/>
    </xf>
    <xf numFmtId="169" fontId="17" fillId="0" borderId="0" applyAlignment="1" pivotButton="0" quotePrefix="0" xfId="0">
      <alignment horizontal="center" vertical="center"/>
    </xf>
    <xf numFmtId="197" fontId="17" fillId="0" borderId="0" applyAlignment="1" pivotButton="0" quotePrefix="0" xfId="0">
      <alignment horizontal="center" vertical="center"/>
    </xf>
    <xf numFmtId="164" fontId="15" fillId="4" borderId="17" applyAlignment="1" pivotButton="0" quotePrefix="0" xfId="0">
      <alignment horizontal="right" vertical="center"/>
    </xf>
    <xf numFmtId="192" fontId="15" fillId="4" borderId="17" applyAlignment="1" pivotButton="0" quotePrefix="0" xfId="0">
      <alignment horizontal="center" vertical="center"/>
    </xf>
    <xf numFmtId="169" fontId="15" fillId="4" borderId="17" applyAlignment="1" pivotButton="0" quotePrefix="0" xfId="0">
      <alignment horizontal="center"/>
    </xf>
    <xf numFmtId="188" fontId="15" fillId="4" borderId="18" applyAlignment="1" pivotButton="0" quotePrefix="0" xfId="0">
      <alignment horizontal="center" vertical="center"/>
    </xf>
    <xf numFmtId="196" fontId="17" fillId="0" borderId="0" applyAlignment="1" pivotButton="0" quotePrefix="0" xfId="0">
      <alignment vertical="center"/>
    </xf>
    <xf numFmtId="188" fontId="15" fillId="0" borderId="0" applyAlignment="1" pivotButton="0" quotePrefix="0" xfId="0">
      <alignment horizontal="center" vertical="center"/>
    </xf>
    <xf numFmtId="193" fontId="17" fillId="0" borderId="0" applyAlignment="1" pivotButton="0" quotePrefix="0" xfId="0">
      <alignment horizontal="center" vertical="center"/>
    </xf>
    <xf numFmtId="191" fontId="17" fillId="0" borderId="0" applyAlignment="1" pivotButton="0" quotePrefix="0" xfId="0">
      <alignment horizontal="right"/>
    </xf>
    <xf numFmtId="188" fontId="15" fillId="5" borderId="17" applyAlignment="1" pivotButton="0" quotePrefix="0" xfId="0">
      <alignment horizontal="center" vertical="center"/>
    </xf>
    <xf numFmtId="164" fontId="15" fillId="5" borderId="17" applyAlignment="1" pivotButton="0" quotePrefix="0" xfId="0">
      <alignment horizontal="right" vertical="center"/>
    </xf>
    <xf numFmtId="188" fontId="15" fillId="5" borderId="18" applyAlignment="1" pivotButton="0" quotePrefix="0" xfId="0">
      <alignment horizontal="center" vertical="center"/>
    </xf>
    <xf numFmtId="200" fontId="17" fillId="0" borderId="0" applyAlignment="1" pivotButton="0" quotePrefix="0" xfId="0">
      <alignment horizontal="center" vertical="center"/>
    </xf>
    <xf numFmtId="164" fontId="17" fillId="0" borderId="23" applyAlignment="1" pivotButton="0" quotePrefix="0" xfId="0">
      <alignment vertical="center"/>
    </xf>
    <xf numFmtId="189" fontId="17" fillId="0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left"/>
    </xf>
    <xf numFmtId="168" fontId="3" fillId="0" borderId="0" applyAlignment="1" pivotButton="0" quotePrefix="0" xfId="27">
      <alignment vertical="center"/>
    </xf>
    <xf numFmtId="0" fontId="17" fillId="0" borderId="27" pivotButton="0" quotePrefix="0" xfId="0"/>
    <xf numFmtId="10" fontId="56" fillId="0" borderId="0" applyAlignment="1" pivotButton="0" quotePrefix="0" xfId="0">
      <alignment horizontal="center" vertical="center"/>
    </xf>
    <xf numFmtId="0" fontId="57" fillId="0" borderId="0" pivotButton="0" quotePrefix="0" xfId="0"/>
    <xf numFmtId="0" fontId="60" fillId="0" borderId="0" applyAlignment="1" pivotButton="0" quotePrefix="0" xfId="0">
      <alignment horizontal="right"/>
    </xf>
    <xf numFmtId="0" fontId="58" fillId="0" borderId="28" pivotButton="0" quotePrefix="0" xfId="0"/>
    <xf numFmtId="0" fontId="0" fillId="0" borderId="28" pivotButton="0" quotePrefix="0" xfId="0"/>
    <xf numFmtId="0" fontId="60" fillId="0" borderId="28" applyAlignment="1" pivotButton="0" quotePrefix="0" xfId="0">
      <alignment horizontal="right"/>
    </xf>
    <xf numFmtId="0" fontId="58" fillId="0" borderId="0" pivotButton="0" quotePrefix="0" xfId="0"/>
    <xf numFmtId="0" fontId="59" fillId="0" borderId="0" pivotButton="0" quotePrefix="0" xfId="0"/>
    <xf numFmtId="0" fontId="57" fillId="0" borderId="29" applyAlignment="1" pivotButton="0" quotePrefix="0" xfId="0">
      <alignment horizontal="center"/>
    </xf>
    <xf numFmtId="202" fontId="61" fillId="0" borderId="0" applyAlignment="1" pivotButton="0" quotePrefix="0" xfId="0">
      <alignment horizontal="right"/>
    </xf>
    <xf numFmtId="202" fontId="0" fillId="0" borderId="0" applyAlignment="1" pivotButton="0" quotePrefix="0" xfId="0">
      <alignment horizontal="right"/>
    </xf>
    <xf numFmtId="203" fontId="61" fillId="0" borderId="0" applyAlignment="1" pivotButton="0" quotePrefix="0" xfId="0">
      <alignment horizontal="right"/>
    </xf>
    <xf numFmtId="203" fontId="0" fillId="0" borderId="0" applyAlignment="1" pivotButton="0" quotePrefix="0" xfId="0">
      <alignment horizontal="right"/>
    </xf>
    <xf numFmtId="202" fontId="57" fillId="0" borderId="30" applyAlignment="1" pivotButton="0" quotePrefix="0" xfId="0">
      <alignment horizontal="right"/>
    </xf>
  </cellXfs>
  <cellStyles count="28">
    <cellStyle name="Normal" xfId="0" builtinId="0"/>
    <cellStyle name="Percent" xfId="1" builtinId="5"/>
    <cellStyle name="Normal 4" xfId="2"/>
    <cellStyle name="Comma 2" xfId="3"/>
    <cellStyle name="Normal 2 2" xfId="4"/>
    <cellStyle name="Normal 2" xfId="5"/>
    <cellStyle name="Normal 17" xfId="6"/>
    <cellStyle name="Currency 4" xfId="7"/>
    <cellStyle name="Percent 8 3" xfId="8"/>
    <cellStyle name="Normal 3" xfId="9"/>
    <cellStyle name="Normal 6" xfId="10"/>
    <cellStyle name="Normal 5" xfId="11"/>
    <cellStyle name="Comma 3" xfId="12"/>
    <cellStyle name="Percent 2" xfId="13"/>
    <cellStyle name="Normal 3 2" xfId="14"/>
    <cellStyle name="Normal 7" xfId="15"/>
    <cellStyle name="Normal 8" xfId="16"/>
    <cellStyle name="Normal 9" xfId="17"/>
    <cellStyle name="Normal 3 3" xfId="18"/>
    <cellStyle name="Normal 4 2" xfId="19"/>
    <cellStyle name="Normal 14" xfId="20"/>
    <cellStyle name="Normal 10" xfId="21"/>
    <cellStyle name="Normal 11" xfId="22"/>
    <cellStyle name="Normal 12" xfId="23"/>
    <cellStyle name="Normal 7 2" xfId="24"/>
    <cellStyle name="Normal 8 2" xfId="25"/>
    <cellStyle name="Normal 10 2" xfId="26"/>
    <cellStyle name="Normal 13" xfId="27"/>
  </cellStyles>
  <dxfs count="11">
    <dxf>
      <font>
        <color theme="1"/>
      </font>
    </dxf>
    <dxf>
      <font>
        <color theme="1"/>
      </font>
    </dxf>
    <dxf>
      <font>
        <strike val="0"/>
        <color theme="1"/>
      </font>
    </dxf>
    <dxf>
      <font>
        <strike val="0"/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>
        <manualLayout>
          <xMode val="edge"/>
          <yMode val="edge"/>
          <wMode val="factor"/>
          <hMode val="factor"/>
          <x val="0.01234567901234568"/>
          <y val="0.06790123456790123"/>
          <w val="0.9537037037037038"/>
          <h val="0.9320987654320988"/>
        </manualLayout>
      </layout>
      <lineChart>
        <grouping val="standard"/>
        <varyColors val="0"/>
        <ser>
          <idx val="0"/>
          <order val="0"/>
          <tx>
            <strRef>
              <f>Pricing!$C$5</f>
              <strCache>
                <ptCount val="1"/>
                <pt idx="0">
                  <v>RCF Facility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508BC9"/>
              </a:solidFill>
              <a:prstDash val="solid"/>
              <a:round/>
              <a:headEnd w="med" len="med"/>
              <a:tailEnd w="med" len="me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Pricing!$B$7:$B$267</f>
              <numCache>
                <formatCode>[$-409]mmm\-yy;@</formatCode>
                <ptCount val="261"/>
                <pt idx="0">
                  <v>46174</v>
                </pt>
                <pt idx="1">
                  <v>46171</v>
                </pt>
                <pt idx="2">
                  <v>46170</v>
                </pt>
                <pt idx="3">
                  <v>46169</v>
                </pt>
                <pt idx="4">
                  <v>46168</v>
                </pt>
                <pt idx="5">
                  <v>46167</v>
                </pt>
                <pt idx="6">
                  <v>46164</v>
                </pt>
                <pt idx="7">
                  <v>46163</v>
                </pt>
                <pt idx="8">
                  <v>46162</v>
                </pt>
                <pt idx="9">
                  <v>46161</v>
                </pt>
                <pt idx="10">
                  <v>46160</v>
                </pt>
                <pt idx="11">
                  <v>46157</v>
                </pt>
                <pt idx="12">
                  <v>46156</v>
                </pt>
                <pt idx="13">
                  <v>46155</v>
                </pt>
                <pt idx="14">
                  <v>46154</v>
                </pt>
                <pt idx="15">
                  <v>46153</v>
                </pt>
                <pt idx="16">
                  <v>46150</v>
                </pt>
                <pt idx="17">
                  <v>46149</v>
                </pt>
                <pt idx="18">
                  <v>46148</v>
                </pt>
                <pt idx="19">
                  <v>46147</v>
                </pt>
                <pt idx="20">
                  <v>46146</v>
                </pt>
                <pt idx="21">
                  <v>46143</v>
                </pt>
                <pt idx="22">
                  <v>46142</v>
                </pt>
                <pt idx="23">
                  <v>46141</v>
                </pt>
                <pt idx="24">
                  <v>46140</v>
                </pt>
                <pt idx="25">
                  <v>46139</v>
                </pt>
                <pt idx="26">
                  <v>46136</v>
                </pt>
                <pt idx="27">
                  <v>46135</v>
                </pt>
                <pt idx="28">
                  <v>46134</v>
                </pt>
                <pt idx="29">
                  <v>46133</v>
                </pt>
                <pt idx="30">
                  <v>46132</v>
                </pt>
                <pt idx="31">
                  <v>46129</v>
                </pt>
                <pt idx="32">
                  <v>46128</v>
                </pt>
                <pt idx="33">
                  <v>46127</v>
                </pt>
                <pt idx="34">
                  <v>46126</v>
                </pt>
                <pt idx="35">
                  <v>46125</v>
                </pt>
                <pt idx="36">
                  <v>46122</v>
                </pt>
                <pt idx="37">
                  <v>46121</v>
                </pt>
                <pt idx="38">
                  <v>46120</v>
                </pt>
                <pt idx="39">
                  <v>46119</v>
                </pt>
                <pt idx="40">
                  <v>46118</v>
                </pt>
                <pt idx="41">
                  <v>46115</v>
                </pt>
                <pt idx="42">
                  <v>46114</v>
                </pt>
                <pt idx="43">
                  <v>46113</v>
                </pt>
                <pt idx="44">
                  <v>46112</v>
                </pt>
                <pt idx="45">
                  <v>46111</v>
                </pt>
                <pt idx="46">
                  <v>46108</v>
                </pt>
                <pt idx="47">
                  <v>46107</v>
                </pt>
                <pt idx="48">
                  <v>46106</v>
                </pt>
                <pt idx="49">
                  <v>46105</v>
                </pt>
                <pt idx="50">
                  <v>46104</v>
                </pt>
                <pt idx="51">
                  <v>46101</v>
                </pt>
                <pt idx="52">
                  <v>46100</v>
                </pt>
                <pt idx="53">
                  <v>46099</v>
                </pt>
                <pt idx="54">
                  <v>46098</v>
                </pt>
                <pt idx="55">
                  <v>46097</v>
                </pt>
                <pt idx="56">
                  <v>46094</v>
                </pt>
                <pt idx="57">
                  <v>46093</v>
                </pt>
                <pt idx="58">
                  <v>46092</v>
                </pt>
                <pt idx="59">
                  <v>46091</v>
                </pt>
                <pt idx="60">
                  <v>46090</v>
                </pt>
                <pt idx="61">
                  <v>46087</v>
                </pt>
                <pt idx="62">
                  <v>46086</v>
                </pt>
                <pt idx="63">
                  <v>46085</v>
                </pt>
                <pt idx="64">
                  <v>46084</v>
                </pt>
                <pt idx="65">
                  <v>46083</v>
                </pt>
                <pt idx="66">
                  <v>46080</v>
                </pt>
                <pt idx="67">
                  <v>46079</v>
                </pt>
                <pt idx="68">
                  <v>46078</v>
                </pt>
                <pt idx="69">
                  <v>46077</v>
                </pt>
                <pt idx="70">
                  <v>46076</v>
                </pt>
                <pt idx="71">
                  <v>46073</v>
                </pt>
                <pt idx="72">
                  <v>46072</v>
                </pt>
                <pt idx="73">
                  <v>46071</v>
                </pt>
                <pt idx="74">
                  <v>46070</v>
                </pt>
                <pt idx="75">
                  <v>46069</v>
                </pt>
                <pt idx="76">
                  <v>46066</v>
                </pt>
                <pt idx="77">
                  <v>46065</v>
                </pt>
                <pt idx="78">
                  <v>46064</v>
                </pt>
                <pt idx="79">
                  <v>46063</v>
                </pt>
                <pt idx="80">
                  <v>46062</v>
                </pt>
                <pt idx="81">
                  <v>46059</v>
                </pt>
                <pt idx="82">
                  <v>46058</v>
                </pt>
                <pt idx="83">
                  <v>46057</v>
                </pt>
                <pt idx="84">
                  <v>46056</v>
                </pt>
                <pt idx="85">
                  <v>46055</v>
                </pt>
                <pt idx="86">
                  <v>46052</v>
                </pt>
                <pt idx="87">
                  <v>46051</v>
                </pt>
                <pt idx="88">
                  <v>46050</v>
                </pt>
                <pt idx="89">
                  <v>46049</v>
                </pt>
                <pt idx="90">
                  <v>46048</v>
                </pt>
                <pt idx="91">
                  <v>46045</v>
                </pt>
                <pt idx="92">
                  <v>46044</v>
                </pt>
                <pt idx="93">
                  <v>46043</v>
                </pt>
                <pt idx="94">
                  <v>46042</v>
                </pt>
                <pt idx="95">
                  <v>46041</v>
                </pt>
                <pt idx="96">
                  <v>46038</v>
                </pt>
                <pt idx="97">
                  <v>46037</v>
                </pt>
                <pt idx="98">
                  <v>46036</v>
                </pt>
                <pt idx="99">
                  <v>46035</v>
                </pt>
                <pt idx="100">
                  <v>46034</v>
                </pt>
                <pt idx="101">
                  <v>46031</v>
                </pt>
                <pt idx="102">
                  <v>46030</v>
                </pt>
                <pt idx="103">
                  <v>46029</v>
                </pt>
                <pt idx="104">
                  <v>46028</v>
                </pt>
                <pt idx="105">
                  <v>46027</v>
                </pt>
                <pt idx="106">
                  <v>46024</v>
                </pt>
                <pt idx="107">
                  <v>46023</v>
                </pt>
                <pt idx="108">
                  <v>46022</v>
                </pt>
                <pt idx="109">
                  <v>46021</v>
                </pt>
                <pt idx="110">
                  <v>46020</v>
                </pt>
                <pt idx="111">
                  <v>46017</v>
                </pt>
                <pt idx="112">
                  <v>46016</v>
                </pt>
                <pt idx="113">
                  <v>46015</v>
                </pt>
                <pt idx="114">
                  <v>46014</v>
                </pt>
                <pt idx="115">
                  <v>46013</v>
                </pt>
                <pt idx="116">
                  <v>46010</v>
                </pt>
                <pt idx="117">
                  <v>46009</v>
                </pt>
                <pt idx="118">
                  <v>46008</v>
                </pt>
                <pt idx="119">
                  <v>46007</v>
                </pt>
                <pt idx="120">
                  <v>46006</v>
                </pt>
                <pt idx="121">
                  <v>46003</v>
                </pt>
                <pt idx="122">
                  <v>46002</v>
                </pt>
                <pt idx="123">
                  <v>46001</v>
                </pt>
                <pt idx="124">
                  <v>46000</v>
                </pt>
                <pt idx="125">
                  <v>45999</v>
                </pt>
                <pt idx="126">
                  <v>45996</v>
                </pt>
                <pt idx="127">
                  <v>45995</v>
                </pt>
                <pt idx="128">
                  <v>45994</v>
                </pt>
                <pt idx="129">
                  <v>45993</v>
                </pt>
                <pt idx="130">
                  <v>45992</v>
                </pt>
                <pt idx="131">
                  <v>45989</v>
                </pt>
                <pt idx="132">
                  <v>45988</v>
                </pt>
                <pt idx="133">
                  <v>45987</v>
                </pt>
                <pt idx="134">
                  <v>45986</v>
                </pt>
                <pt idx="135">
                  <v>45985</v>
                </pt>
                <pt idx="136">
                  <v>45982</v>
                </pt>
                <pt idx="137">
                  <v>45981</v>
                </pt>
                <pt idx="138">
                  <v>45980</v>
                </pt>
                <pt idx="139">
                  <v>45979</v>
                </pt>
                <pt idx="140">
                  <v>45978</v>
                </pt>
                <pt idx="141">
                  <v>45975</v>
                </pt>
                <pt idx="142">
                  <v>45974</v>
                </pt>
                <pt idx="143">
                  <v>45973</v>
                </pt>
                <pt idx="144">
                  <v>45972</v>
                </pt>
                <pt idx="145">
                  <v>45971</v>
                </pt>
                <pt idx="146">
                  <v>45968</v>
                </pt>
                <pt idx="147">
                  <v>45967</v>
                </pt>
                <pt idx="148">
                  <v>45966</v>
                </pt>
                <pt idx="149">
                  <v>45965</v>
                </pt>
                <pt idx="150">
                  <v>45964</v>
                </pt>
                <pt idx="151">
                  <v>45961</v>
                </pt>
                <pt idx="152">
                  <v>45960</v>
                </pt>
                <pt idx="153">
                  <v>45959</v>
                </pt>
                <pt idx="154">
                  <v>45958</v>
                </pt>
                <pt idx="155">
                  <v>45957</v>
                </pt>
                <pt idx="156">
                  <v>45954</v>
                </pt>
                <pt idx="157">
                  <v>45953</v>
                </pt>
                <pt idx="158">
                  <v>45952</v>
                </pt>
                <pt idx="159">
                  <v>45951</v>
                </pt>
                <pt idx="160">
                  <v>45950</v>
                </pt>
                <pt idx="161">
                  <v>45947</v>
                </pt>
                <pt idx="162">
                  <v>45946</v>
                </pt>
                <pt idx="163">
                  <v>45945</v>
                </pt>
                <pt idx="164">
                  <v>45944</v>
                </pt>
                <pt idx="165">
                  <v>45943</v>
                </pt>
                <pt idx="166">
                  <v>45940</v>
                </pt>
                <pt idx="167">
                  <v>45939</v>
                </pt>
                <pt idx="168">
                  <v>45938</v>
                </pt>
                <pt idx="169">
                  <v>45937</v>
                </pt>
                <pt idx="170">
                  <v>45936</v>
                </pt>
                <pt idx="171">
                  <v>45933</v>
                </pt>
                <pt idx="172">
                  <v>45932</v>
                </pt>
                <pt idx="173">
                  <v>45931</v>
                </pt>
                <pt idx="174">
                  <v>45930</v>
                </pt>
                <pt idx="175">
                  <v>45929</v>
                </pt>
                <pt idx="176">
                  <v>45926</v>
                </pt>
                <pt idx="177">
                  <v>45925</v>
                </pt>
                <pt idx="178">
                  <v>45924</v>
                </pt>
                <pt idx="179">
                  <v>45923</v>
                </pt>
                <pt idx="180">
                  <v>45922</v>
                </pt>
                <pt idx="181">
                  <v>45919</v>
                </pt>
                <pt idx="182">
                  <v>45918</v>
                </pt>
                <pt idx="183">
                  <v>45917</v>
                </pt>
                <pt idx="184">
                  <v>45916</v>
                </pt>
                <pt idx="185">
                  <v>45915</v>
                </pt>
                <pt idx="186">
                  <v>45912</v>
                </pt>
                <pt idx="187">
                  <v>45911</v>
                </pt>
                <pt idx="188">
                  <v>45910</v>
                </pt>
                <pt idx="189">
                  <v>45909</v>
                </pt>
                <pt idx="190">
                  <v>45908</v>
                </pt>
                <pt idx="191">
                  <v>45905</v>
                </pt>
                <pt idx="192">
                  <v>45904</v>
                </pt>
                <pt idx="193">
                  <v>45903</v>
                </pt>
                <pt idx="194">
                  <v>45902</v>
                </pt>
                <pt idx="195">
                  <v>45901</v>
                </pt>
                <pt idx="196">
                  <v>45898</v>
                </pt>
                <pt idx="197">
                  <v>45897</v>
                </pt>
                <pt idx="198">
                  <v>45896</v>
                </pt>
                <pt idx="199">
                  <v>45895</v>
                </pt>
                <pt idx="200">
                  <v>45894</v>
                </pt>
                <pt idx="201">
                  <v>45891</v>
                </pt>
                <pt idx="202">
                  <v>45890</v>
                </pt>
                <pt idx="203">
                  <v>45889</v>
                </pt>
                <pt idx="204">
                  <v>45888</v>
                </pt>
                <pt idx="205">
                  <v>45887</v>
                </pt>
                <pt idx="206">
                  <v>45884</v>
                </pt>
                <pt idx="207">
                  <v>45883</v>
                </pt>
                <pt idx="208">
                  <v>45882</v>
                </pt>
                <pt idx="209">
                  <v>45881</v>
                </pt>
                <pt idx="210">
                  <v>45880</v>
                </pt>
                <pt idx="211">
                  <v>45877</v>
                </pt>
                <pt idx="212">
                  <v>45876</v>
                </pt>
                <pt idx="213">
                  <v>45875</v>
                </pt>
                <pt idx="214">
                  <v>45874</v>
                </pt>
                <pt idx="215">
                  <v>45873</v>
                </pt>
                <pt idx="216">
                  <v>45870</v>
                </pt>
                <pt idx="217">
                  <v>45869</v>
                </pt>
                <pt idx="218">
                  <v>45868</v>
                </pt>
                <pt idx="219">
                  <v>45867</v>
                </pt>
                <pt idx="220">
                  <v>45866</v>
                </pt>
                <pt idx="221">
                  <v>45863</v>
                </pt>
                <pt idx="222">
                  <v>45862</v>
                </pt>
                <pt idx="223">
                  <v>45861</v>
                </pt>
                <pt idx="224">
                  <v>45860</v>
                </pt>
                <pt idx="225">
                  <v>45859</v>
                </pt>
                <pt idx="226">
                  <v>45856</v>
                </pt>
                <pt idx="227">
                  <v>45855</v>
                </pt>
                <pt idx="228">
                  <v>45854</v>
                </pt>
                <pt idx="229">
                  <v>45853</v>
                </pt>
                <pt idx="230">
                  <v>45852</v>
                </pt>
                <pt idx="231">
                  <v>45849</v>
                </pt>
                <pt idx="232">
                  <v>45848</v>
                </pt>
                <pt idx="233">
                  <v>45847</v>
                </pt>
                <pt idx="234">
                  <v>45846</v>
                </pt>
                <pt idx="235">
                  <v>45845</v>
                </pt>
                <pt idx="236">
                  <v>45842</v>
                </pt>
                <pt idx="237">
                  <v>45841</v>
                </pt>
                <pt idx="238">
                  <v>45840</v>
                </pt>
                <pt idx="239">
                  <v>45839</v>
                </pt>
                <pt idx="240">
                  <v>45838</v>
                </pt>
                <pt idx="241">
                  <v>45835</v>
                </pt>
                <pt idx="242">
                  <v>45834</v>
                </pt>
                <pt idx="243">
                  <v>45833</v>
                </pt>
                <pt idx="244">
                  <v>45832</v>
                </pt>
                <pt idx="245">
                  <v>45831</v>
                </pt>
                <pt idx="246">
                  <v>45828</v>
                </pt>
                <pt idx="247">
                  <v>45827</v>
                </pt>
                <pt idx="248">
                  <v>45826</v>
                </pt>
                <pt idx="249">
                  <v>45825</v>
                </pt>
                <pt idx="250">
                  <v>45824</v>
                </pt>
                <pt idx="251">
                  <v>45821</v>
                </pt>
                <pt idx="252">
                  <v>45820</v>
                </pt>
                <pt idx="253">
                  <v>45819</v>
                </pt>
                <pt idx="254">
                  <v>45818</v>
                </pt>
                <pt idx="255">
                  <v>45817</v>
                </pt>
                <pt idx="256">
                  <v>45814</v>
                </pt>
                <pt idx="257">
                  <v>45813</v>
                </pt>
                <pt idx="258">
                  <v>45812</v>
                </pt>
                <pt idx="259">
                  <v>45811</v>
                </pt>
                <pt idx="260">
                  <v>45810</v>
                </pt>
              </numCache>
            </numRef>
          </cat>
          <val>
            <numRef>
              <f>Pricing!$C$7:$C$267</f>
              <numCache>
                <formatCode>#,##0_);\(#,##0\);\–?</formatCode>
                <ptCount val="261"/>
                <pt idx="0">
                  <v>91.37</v>
                </pt>
                <pt idx="1">
                  <v>91.37</v>
                </pt>
                <pt idx="2">
                  <v>91.37</v>
                </pt>
                <pt idx="3">
                  <v>91.37</v>
                </pt>
                <pt idx="4">
                  <v>91.37</v>
                </pt>
                <pt idx="5">
                  <v>91.37</v>
                </pt>
                <pt idx="6">
                  <v>91.37</v>
                </pt>
                <pt idx="7">
                  <v>91.37</v>
                </pt>
                <pt idx="8">
                  <v>91.37</v>
                </pt>
                <pt idx="9">
                  <v>91.37</v>
                </pt>
                <pt idx="10">
                  <v>91.37</v>
                </pt>
                <pt idx="11">
                  <v>91.37</v>
                </pt>
                <pt idx="12">
                  <v>91.37</v>
                </pt>
                <pt idx="13">
                  <v>91.37</v>
                </pt>
                <pt idx="14">
                  <v>91.37</v>
                </pt>
                <pt idx="15">
                  <v>91.37</v>
                </pt>
                <pt idx="16">
                  <v>91.37</v>
                </pt>
                <pt idx="17">
                  <v>91.37</v>
                </pt>
                <pt idx="18">
                  <v>91.37</v>
                </pt>
                <pt idx="19">
                  <v>91.37</v>
                </pt>
                <pt idx="20">
                  <v>91.37</v>
                </pt>
                <pt idx="21">
                  <v>91.37</v>
                </pt>
                <pt idx="22">
                  <v>91.37</v>
                </pt>
                <pt idx="23">
                  <v>91.37</v>
                </pt>
                <pt idx="24">
                  <v>91.37</v>
                </pt>
                <pt idx="25">
                  <v>91.37</v>
                </pt>
                <pt idx="26">
                  <v>91.37</v>
                </pt>
                <pt idx="27">
                  <v>91.37</v>
                </pt>
                <pt idx="28">
                  <v>91.37</v>
                </pt>
                <pt idx="29">
                  <v>91.37</v>
                </pt>
                <pt idx="30">
                  <v>91.37</v>
                </pt>
                <pt idx="31">
                  <v>91.37</v>
                </pt>
                <pt idx="32">
                  <v>91.37</v>
                </pt>
                <pt idx="33">
                  <v>91.37</v>
                </pt>
                <pt idx="34">
                  <v>91.37</v>
                </pt>
                <pt idx="35">
                  <v>91.37</v>
                </pt>
                <pt idx="36">
                  <v>91.37</v>
                </pt>
                <pt idx="37">
                  <v>91.37</v>
                </pt>
                <pt idx="38">
                  <v>91.37</v>
                </pt>
                <pt idx="39">
                  <v>91.37</v>
                </pt>
                <pt idx="40">
                  <v>91.37</v>
                </pt>
                <pt idx="41">
                  <v>91.37</v>
                </pt>
                <pt idx="42">
                  <v>91.37</v>
                </pt>
                <pt idx="43">
                  <v>91.37</v>
                </pt>
                <pt idx="44">
                  <v>91.37</v>
                </pt>
                <pt idx="45">
                  <v>91.37</v>
                </pt>
                <pt idx="46">
                  <v>91.37</v>
                </pt>
                <pt idx="47">
                  <v>91.37</v>
                </pt>
                <pt idx="48">
                  <v>91.37</v>
                </pt>
                <pt idx="49">
                  <v>91.37</v>
                </pt>
                <pt idx="50">
                  <v>91.37</v>
                </pt>
                <pt idx="51">
                  <v>91.37</v>
                </pt>
                <pt idx="52">
                  <v>91.37</v>
                </pt>
                <pt idx="53">
                  <v>91.37</v>
                </pt>
                <pt idx="54">
                  <v>91.37</v>
                </pt>
                <pt idx="55">
                  <v>91.37</v>
                </pt>
                <pt idx="56">
                  <v>91.37</v>
                </pt>
                <pt idx="57">
                  <v>91.37</v>
                </pt>
                <pt idx="58">
                  <v>91.37</v>
                </pt>
                <pt idx="59">
                  <v>91.37</v>
                </pt>
                <pt idx="60">
                  <v>91.37</v>
                </pt>
                <pt idx="61">
                  <v>91.37</v>
                </pt>
                <pt idx="62">
                  <v>91.37</v>
                </pt>
                <pt idx="63">
                  <v>91.37</v>
                </pt>
                <pt idx="64">
                  <v>91.37</v>
                </pt>
                <pt idx="65">
                  <v>91.37</v>
                </pt>
                <pt idx="66">
                  <v>91.37</v>
                </pt>
                <pt idx="67">
                  <v>91.37</v>
                </pt>
                <pt idx="68">
                  <v>91.37</v>
                </pt>
                <pt idx="69">
                  <v>91.37</v>
                </pt>
                <pt idx="70">
                  <v>91.37</v>
                </pt>
                <pt idx="71">
                  <v>91.37</v>
                </pt>
                <pt idx="72">
                  <v>91.37</v>
                </pt>
                <pt idx="73">
                  <v>91.37</v>
                </pt>
                <pt idx="74">
                  <v>91.37</v>
                </pt>
                <pt idx="75">
                  <v>91.37</v>
                </pt>
                <pt idx="76">
                  <v>91.37</v>
                </pt>
                <pt idx="77">
                  <v>91.37</v>
                </pt>
                <pt idx="78">
                  <v>91.37</v>
                </pt>
                <pt idx="79">
                  <v>91.37</v>
                </pt>
                <pt idx="80">
                  <v>91.37</v>
                </pt>
                <pt idx="81">
                  <v>91.37</v>
                </pt>
                <pt idx="82">
                  <v>91.37</v>
                </pt>
                <pt idx="83">
                  <v>91.37</v>
                </pt>
                <pt idx="84">
                  <v>91.37</v>
                </pt>
                <pt idx="85">
                  <v>91.37</v>
                </pt>
                <pt idx="86">
                  <v>91.37</v>
                </pt>
                <pt idx="87">
                  <v>91.37</v>
                </pt>
                <pt idx="88">
                  <v>91.37</v>
                </pt>
                <pt idx="89">
                  <v>91.37</v>
                </pt>
                <pt idx="90">
                  <v>95</v>
                </pt>
                <pt idx="91">
                  <v>95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  <pt idx="96">
                  <v>95</v>
                </pt>
                <pt idx="97">
                  <v>95</v>
                </pt>
                <pt idx="98">
                  <v>95</v>
                </pt>
                <pt idx="99">
                  <v>95</v>
                </pt>
                <pt idx="100">
                  <v>95</v>
                </pt>
                <pt idx="101">
                  <v>95</v>
                </pt>
                <pt idx="102">
                  <v>95</v>
                </pt>
                <pt idx="103">
                  <v>95</v>
                </pt>
                <pt idx="104">
                  <v>95</v>
                </pt>
                <pt idx="105">
                  <v>95</v>
                </pt>
                <pt idx="106">
                  <v>95</v>
                </pt>
                <pt idx="107">
                  <v>95</v>
                </pt>
                <pt idx="108">
                  <v>95</v>
                </pt>
                <pt idx="109">
                  <v>95</v>
                </pt>
                <pt idx="110">
                  <v>95</v>
                </pt>
                <pt idx="111">
                  <v>95</v>
                </pt>
                <pt idx="112">
                  <v>95</v>
                </pt>
                <pt idx="113">
                  <v>95</v>
                </pt>
                <pt idx="114">
                  <v>95</v>
                </pt>
                <pt idx="115">
                  <v>95</v>
                </pt>
                <pt idx="116">
                  <v>95</v>
                </pt>
                <pt idx="117">
                  <v>95</v>
                </pt>
                <pt idx="118">
                  <v>95</v>
                </pt>
                <pt idx="119">
                  <v>95</v>
                </pt>
                <pt idx="120">
                  <v>95</v>
                </pt>
                <pt idx="121">
                  <v>95</v>
                </pt>
                <pt idx="122">
                  <v>95</v>
                </pt>
                <pt idx="123">
                  <v>95</v>
                </pt>
                <pt idx="124">
                  <v>95</v>
                </pt>
                <pt idx="125">
                  <v>95</v>
                </pt>
                <pt idx="126">
                  <v>95</v>
                </pt>
                <pt idx="127">
                  <v>95</v>
                </pt>
                <pt idx="128">
                  <v>95</v>
                </pt>
                <pt idx="129">
                  <v>95</v>
                </pt>
                <pt idx="130">
                  <v>95</v>
                </pt>
                <pt idx="131">
                  <v>95</v>
                </pt>
                <pt idx="132">
                  <v>95</v>
                </pt>
                <pt idx="133">
                  <v>95</v>
                </pt>
                <pt idx="134">
                  <v>95</v>
                </pt>
                <pt idx="135">
                  <v>95</v>
                </pt>
                <pt idx="136">
                  <v>95</v>
                </pt>
                <pt idx="137">
                  <v>95</v>
                </pt>
                <pt idx="138">
                  <v>95</v>
                </pt>
                <pt idx="139">
                  <v>95</v>
                </pt>
                <pt idx="140">
                  <v>95</v>
                </pt>
                <pt idx="141">
                  <v>95</v>
                </pt>
                <pt idx="142">
                  <v>95</v>
                </pt>
                <pt idx="143">
                  <v>95</v>
                </pt>
                <pt idx="144">
                  <v>95</v>
                </pt>
                <pt idx="145">
                  <v>95</v>
                </pt>
                <pt idx="146">
                  <v>95</v>
                </pt>
                <pt idx="147">
                  <v>95</v>
                </pt>
                <pt idx="148">
                  <v>95</v>
                </pt>
                <pt idx="149">
                  <v>95</v>
                </pt>
                <pt idx="150">
                  <v>95</v>
                </pt>
                <pt idx="151">
                  <v>95</v>
                </pt>
                <pt idx="152">
                  <v>95</v>
                </pt>
                <pt idx="153">
                  <v>95</v>
                </pt>
                <pt idx="154">
                  <v>95</v>
                </pt>
                <pt idx="155">
                  <v>95</v>
                </pt>
                <pt idx="156">
                  <v>95</v>
                </pt>
                <pt idx="157">
                  <v>95</v>
                </pt>
                <pt idx="158">
                  <v>95</v>
                </pt>
                <pt idx="159">
                  <v>95</v>
                </pt>
                <pt idx="160">
                  <v>95</v>
                </pt>
                <pt idx="161">
                  <v>95</v>
                </pt>
                <pt idx="162">
                  <v>95</v>
                </pt>
                <pt idx="163">
                  <v>95</v>
                </pt>
                <pt idx="164">
                  <v>95</v>
                </pt>
                <pt idx="165">
                  <v>95</v>
                </pt>
                <pt idx="166">
                  <v>95</v>
                </pt>
                <pt idx="167">
                  <v>95</v>
                </pt>
                <pt idx="168">
                  <v>95</v>
                </pt>
                <pt idx="169">
                  <v>95</v>
                </pt>
                <pt idx="170">
                  <v>95</v>
                </pt>
                <pt idx="171">
                  <v>95</v>
                </pt>
                <pt idx="172">
                  <v>95</v>
                </pt>
                <pt idx="173">
                  <v>95</v>
                </pt>
                <pt idx="174">
                  <v>95</v>
                </pt>
                <pt idx="175">
                  <v>95</v>
                </pt>
                <pt idx="176">
                  <v>95</v>
                </pt>
                <pt idx="177">
                  <v>95</v>
                </pt>
                <pt idx="178">
                  <v>95</v>
                </pt>
                <pt idx="179">
                  <v>95</v>
                </pt>
                <pt idx="180">
                  <v>95</v>
                </pt>
                <pt idx="181">
                  <v>95</v>
                </pt>
                <pt idx="182">
                  <v>95</v>
                </pt>
                <pt idx="183">
                  <v>95</v>
                </pt>
                <pt idx="184">
                  <v>95</v>
                </pt>
                <pt idx="185">
                  <v>95</v>
                </pt>
                <pt idx="186">
                  <v>95</v>
                </pt>
                <pt idx="187">
                  <v>95</v>
                </pt>
                <pt idx="188">
                  <v>95</v>
                </pt>
                <pt idx="189">
                  <v>95</v>
                </pt>
                <pt idx="190">
                  <v>95</v>
                </pt>
                <pt idx="191">
                  <v>95</v>
                </pt>
                <pt idx="192">
                  <v>95</v>
                </pt>
                <pt idx="193">
                  <v>95</v>
                </pt>
                <pt idx="194">
                  <v>95</v>
                </pt>
                <pt idx="195">
                  <v>95</v>
                </pt>
                <pt idx="196">
                  <v>95</v>
                </pt>
                <pt idx="197">
                  <v>95</v>
                </pt>
                <pt idx="198">
                  <v>95</v>
                </pt>
                <pt idx="199">
                  <v>95</v>
                </pt>
                <pt idx="200">
                  <v>95</v>
                </pt>
                <pt idx="201">
                  <v>95</v>
                </pt>
                <pt idx="202">
                  <v>95</v>
                </pt>
                <pt idx="203">
                  <v>95</v>
                </pt>
                <pt idx="204">
                  <v>97.93000000000001</v>
                </pt>
                <pt idx="205">
                  <v>97.93000000000001</v>
                </pt>
                <pt idx="206">
                  <v>97.93000000000001</v>
                </pt>
                <pt idx="207">
                  <v>97.93000000000001</v>
                </pt>
                <pt idx="208">
                  <v>97.93000000000001</v>
                </pt>
                <pt idx="209">
                  <v>97.93000000000001</v>
                </pt>
                <pt idx="210">
                  <v>97.93000000000001</v>
                </pt>
                <pt idx="211">
                  <v>97.93000000000001</v>
                </pt>
                <pt idx="212">
                  <v>97.93000000000001</v>
                </pt>
                <pt idx="213">
                  <v>97.93000000000001</v>
                </pt>
                <pt idx="214">
                  <v>97.93000000000001</v>
                </pt>
                <pt idx="215">
                  <v>97.93000000000001</v>
                </pt>
                <pt idx="216">
                  <v>97.93000000000001</v>
                </pt>
                <pt idx="217">
                  <v>97.93000000000001</v>
                </pt>
                <pt idx="218">
                  <v>97.93000000000001</v>
                </pt>
                <pt idx="219">
                  <v>97.93000000000001</v>
                </pt>
                <pt idx="220">
                  <v>97.93000000000001</v>
                </pt>
                <pt idx="221">
                  <v>97.93000000000001</v>
                </pt>
                <pt idx="222">
                  <v>97.93000000000001</v>
                </pt>
                <pt idx="223">
                  <v>97.93000000000001</v>
                </pt>
                <pt idx="224">
                  <v>97.93000000000001</v>
                </pt>
                <pt idx="225">
                  <v>97.93000000000001</v>
                </pt>
                <pt idx="226">
                  <v>97.93000000000001</v>
                </pt>
                <pt idx="227">
                  <v>97.93000000000001</v>
                </pt>
                <pt idx="228">
                  <v>97.93000000000001</v>
                </pt>
                <pt idx="229">
                  <v>97.93000000000001</v>
                </pt>
                <pt idx="230">
                  <v>97.93000000000001</v>
                </pt>
                <pt idx="231">
                  <v>97.93000000000001</v>
                </pt>
                <pt idx="232">
                  <v>97.93000000000001</v>
                </pt>
                <pt idx="233">
                  <v>97.93000000000001</v>
                </pt>
                <pt idx="234">
                  <v>97.93000000000001</v>
                </pt>
                <pt idx="235">
                  <v>97.93000000000001</v>
                </pt>
                <pt idx="236">
                  <v>97.93000000000001</v>
                </pt>
                <pt idx="237">
                  <v>97.93000000000001</v>
                </pt>
                <pt idx="238">
                  <v>97.93000000000001</v>
                </pt>
                <pt idx="239">
                  <v>97.93000000000001</v>
                </pt>
                <pt idx="240">
                  <v>97.93000000000001</v>
                </pt>
                <pt idx="241">
                  <v>97.93000000000001</v>
                </pt>
                <pt idx="242">
                  <v>97.93000000000001</v>
                </pt>
                <pt idx="243">
                  <v>97.93000000000001</v>
                </pt>
                <pt idx="244">
                  <v>97.93000000000001</v>
                </pt>
                <pt idx="245">
                  <v>97.93000000000001</v>
                </pt>
                <pt idx="246">
                  <v>97.93000000000001</v>
                </pt>
                <pt idx="247">
                  <v>97.93000000000001</v>
                </pt>
                <pt idx="248">
                  <v>97.93000000000001</v>
                </pt>
                <pt idx="249">
                  <v>97.93000000000001</v>
                </pt>
                <pt idx="250">
                  <v>97.93000000000001</v>
                </pt>
                <pt idx="251">
                  <v>97.93000000000001</v>
                </pt>
                <pt idx="252">
                  <v>97.93000000000001</v>
                </pt>
                <pt idx="253">
                  <v>97.93000000000001</v>
                </pt>
                <pt idx="254">
                  <v>97.93000000000001</v>
                </pt>
                <pt idx="255">
                  <v>97.93000000000001</v>
                </pt>
                <pt idx="256">
                  <v>97.93000000000001</v>
                </pt>
                <pt idx="257">
                  <v>97.93000000000001</v>
                </pt>
                <pt idx="258">
                  <v>97.93000000000001</v>
                </pt>
                <pt idx="259">
                  <v>97.93000000000001</v>
                </pt>
                <pt idx="260">
                  <v>97.93000000000001</v>
                </pt>
              </numCache>
            </numRef>
          </val>
          <smooth val="1"/>
        </ser>
        <ser>
          <idx val="1"/>
          <order val="1"/>
          <tx>
            <strRef>
              <f>Pricing!$D$5</f>
              <strCache>
                <ptCount val="1"/>
                <pt idx="0">
                  <v>1L Term Loan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Pricing!$B$7:$B$267</f>
              <numCache>
                <formatCode>[$-409]mmm\-yy;@</formatCode>
                <ptCount val="261"/>
                <pt idx="0">
                  <v>46174</v>
                </pt>
                <pt idx="1">
                  <v>46171</v>
                </pt>
                <pt idx="2">
                  <v>46170</v>
                </pt>
                <pt idx="3">
                  <v>46169</v>
                </pt>
                <pt idx="4">
                  <v>46168</v>
                </pt>
                <pt idx="5">
                  <v>46167</v>
                </pt>
                <pt idx="6">
                  <v>46164</v>
                </pt>
                <pt idx="7">
                  <v>46163</v>
                </pt>
                <pt idx="8">
                  <v>46162</v>
                </pt>
                <pt idx="9">
                  <v>46161</v>
                </pt>
                <pt idx="10">
                  <v>46160</v>
                </pt>
                <pt idx="11">
                  <v>46157</v>
                </pt>
                <pt idx="12">
                  <v>46156</v>
                </pt>
                <pt idx="13">
                  <v>46155</v>
                </pt>
                <pt idx="14">
                  <v>46154</v>
                </pt>
                <pt idx="15">
                  <v>46153</v>
                </pt>
                <pt idx="16">
                  <v>46150</v>
                </pt>
                <pt idx="17">
                  <v>46149</v>
                </pt>
                <pt idx="18">
                  <v>46148</v>
                </pt>
                <pt idx="19">
                  <v>46147</v>
                </pt>
                <pt idx="20">
                  <v>46146</v>
                </pt>
                <pt idx="21">
                  <v>46143</v>
                </pt>
                <pt idx="22">
                  <v>46142</v>
                </pt>
                <pt idx="23">
                  <v>46141</v>
                </pt>
                <pt idx="24">
                  <v>46140</v>
                </pt>
                <pt idx="25">
                  <v>46139</v>
                </pt>
                <pt idx="26">
                  <v>46136</v>
                </pt>
                <pt idx="27">
                  <v>46135</v>
                </pt>
                <pt idx="28">
                  <v>46134</v>
                </pt>
                <pt idx="29">
                  <v>46133</v>
                </pt>
                <pt idx="30">
                  <v>46132</v>
                </pt>
                <pt idx="31">
                  <v>46129</v>
                </pt>
                <pt idx="32">
                  <v>46128</v>
                </pt>
                <pt idx="33">
                  <v>46127</v>
                </pt>
                <pt idx="34">
                  <v>46126</v>
                </pt>
                <pt idx="35">
                  <v>46125</v>
                </pt>
                <pt idx="36">
                  <v>46122</v>
                </pt>
                <pt idx="37">
                  <v>46121</v>
                </pt>
                <pt idx="38">
                  <v>46120</v>
                </pt>
                <pt idx="39">
                  <v>46119</v>
                </pt>
                <pt idx="40">
                  <v>46118</v>
                </pt>
                <pt idx="41">
                  <v>46115</v>
                </pt>
                <pt idx="42">
                  <v>46114</v>
                </pt>
                <pt idx="43">
                  <v>46113</v>
                </pt>
                <pt idx="44">
                  <v>46112</v>
                </pt>
                <pt idx="45">
                  <v>46111</v>
                </pt>
                <pt idx="46">
                  <v>46108</v>
                </pt>
                <pt idx="47">
                  <v>46107</v>
                </pt>
                <pt idx="48">
                  <v>46106</v>
                </pt>
                <pt idx="49">
                  <v>46105</v>
                </pt>
                <pt idx="50">
                  <v>46104</v>
                </pt>
                <pt idx="51">
                  <v>46101</v>
                </pt>
                <pt idx="52">
                  <v>46100</v>
                </pt>
                <pt idx="53">
                  <v>46099</v>
                </pt>
                <pt idx="54">
                  <v>46098</v>
                </pt>
                <pt idx="55">
                  <v>46097</v>
                </pt>
                <pt idx="56">
                  <v>46094</v>
                </pt>
                <pt idx="57">
                  <v>46093</v>
                </pt>
                <pt idx="58">
                  <v>46092</v>
                </pt>
                <pt idx="59">
                  <v>46091</v>
                </pt>
                <pt idx="60">
                  <v>46090</v>
                </pt>
                <pt idx="61">
                  <v>46087</v>
                </pt>
                <pt idx="62">
                  <v>46086</v>
                </pt>
                <pt idx="63">
                  <v>46085</v>
                </pt>
                <pt idx="64">
                  <v>46084</v>
                </pt>
                <pt idx="65">
                  <v>46083</v>
                </pt>
                <pt idx="66">
                  <v>46080</v>
                </pt>
                <pt idx="67">
                  <v>46079</v>
                </pt>
                <pt idx="68">
                  <v>46078</v>
                </pt>
                <pt idx="69">
                  <v>46077</v>
                </pt>
                <pt idx="70">
                  <v>46076</v>
                </pt>
                <pt idx="71">
                  <v>46073</v>
                </pt>
                <pt idx="72">
                  <v>46072</v>
                </pt>
                <pt idx="73">
                  <v>46071</v>
                </pt>
                <pt idx="74">
                  <v>46070</v>
                </pt>
                <pt idx="75">
                  <v>46069</v>
                </pt>
                <pt idx="76">
                  <v>46066</v>
                </pt>
                <pt idx="77">
                  <v>46065</v>
                </pt>
                <pt idx="78">
                  <v>46064</v>
                </pt>
                <pt idx="79">
                  <v>46063</v>
                </pt>
                <pt idx="80">
                  <v>46062</v>
                </pt>
                <pt idx="81">
                  <v>46059</v>
                </pt>
                <pt idx="82">
                  <v>46058</v>
                </pt>
                <pt idx="83">
                  <v>46057</v>
                </pt>
                <pt idx="84">
                  <v>46056</v>
                </pt>
                <pt idx="85">
                  <v>46055</v>
                </pt>
                <pt idx="86">
                  <v>46052</v>
                </pt>
                <pt idx="87">
                  <v>46051</v>
                </pt>
                <pt idx="88">
                  <v>46050</v>
                </pt>
                <pt idx="89">
                  <v>46049</v>
                </pt>
                <pt idx="90">
                  <v>46048</v>
                </pt>
                <pt idx="91">
                  <v>46045</v>
                </pt>
                <pt idx="92">
                  <v>46044</v>
                </pt>
                <pt idx="93">
                  <v>46043</v>
                </pt>
                <pt idx="94">
                  <v>46042</v>
                </pt>
                <pt idx="95">
                  <v>46041</v>
                </pt>
                <pt idx="96">
                  <v>46038</v>
                </pt>
                <pt idx="97">
                  <v>46037</v>
                </pt>
                <pt idx="98">
                  <v>46036</v>
                </pt>
                <pt idx="99">
                  <v>46035</v>
                </pt>
                <pt idx="100">
                  <v>46034</v>
                </pt>
                <pt idx="101">
                  <v>46031</v>
                </pt>
                <pt idx="102">
                  <v>46030</v>
                </pt>
                <pt idx="103">
                  <v>46029</v>
                </pt>
                <pt idx="104">
                  <v>46028</v>
                </pt>
                <pt idx="105">
                  <v>46027</v>
                </pt>
                <pt idx="106">
                  <v>46024</v>
                </pt>
                <pt idx="107">
                  <v>46023</v>
                </pt>
                <pt idx="108">
                  <v>46022</v>
                </pt>
                <pt idx="109">
                  <v>46021</v>
                </pt>
                <pt idx="110">
                  <v>46020</v>
                </pt>
                <pt idx="111">
                  <v>46017</v>
                </pt>
                <pt idx="112">
                  <v>46016</v>
                </pt>
                <pt idx="113">
                  <v>46015</v>
                </pt>
                <pt idx="114">
                  <v>46014</v>
                </pt>
                <pt idx="115">
                  <v>46013</v>
                </pt>
                <pt idx="116">
                  <v>46010</v>
                </pt>
                <pt idx="117">
                  <v>46009</v>
                </pt>
                <pt idx="118">
                  <v>46008</v>
                </pt>
                <pt idx="119">
                  <v>46007</v>
                </pt>
                <pt idx="120">
                  <v>46006</v>
                </pt>
                <pt idx="121">
                  <v>46003</v>
                </pt>
                <pt idx="122">
                  <v>46002</v>
                </pt>
                <pt idx="123">
                  <v>46001</v>
                </pt>
                <pt idx="124">
                  <v>46000</v>
                </pt>
                <pt idx="125">
                  <v>45999</v>
                </pt>
                <pt idx="126">
                  <v>45996</v>
                </pt>
                <pt idx="127">
                  <v>45995</v>
                </pt>
                <pt idx="128">
                  <v>45994</v>
                </pt>
                <pt idx="129">
                  <v>45993</v>
                </pt>
                <pt idx="130">
                  <v>45992</v>
                </pt>
                <pt idx="131">
                  <v>45989</v>
                </pt>
                <pt idx="132">
                  <v>45988</v>
                </pt>
                <pt idx="133">
                  <v>45987</v>
                </pt>
                <pt idx="134">
                  <v>45986</v>
                </pt>
                <pt idx="135">
                  <v>45985</v>
                </pt>
                <pt idx="136">
                  <v>45982</v>
                </pt>
                <pt idx="137">
                  <v>45981</v>
                </pt>
                <pt idx="138">
                  <v>45980</v>
                </pt>
                <pt idx="139">
                  <v>45979</v>
                </pt>
                <pt idx="140">
                  <v>45978</v>
                </pt>
                <pt idx="141">
                  <v>45975</v>
                </pt>
                <pt idx="142">
                  <v>45974</v>
                </pt>
                <pt idx="143">
                  <v>45973</v>
                </pt>
                <pt idx="144">
                  <v>45972</v>
                </pt>
                <pt idx="145">
                  <v>45971</v>
                </pt>
                <pt idx="146">
                  <v>45968</v>
                </pt>
                <pt idx="147">
                  <v>45967</v>
                </pt>
                <pt idx="148">
                  <v>45966</v>
                </pt>
                <pt idx="149">
                  <v>45965</v>
                </pt>
                <pt idx="150">
                  <v>45964</v>
                </pt>
                <pt idx="151">
                  <v>45961</v>
                </pt>
                <pt idx="152">
                  <v>45960</v>
                </pt>
                <pt idx="153">
                  <v>45959</v>
                </pt>
                <pt idx="154">
                  <v>45958</v>
                </pt>
                <pt idx="155">
                  <v>45957</v>
                </pt>
                <pt idx="156">
                  <v>45954</v>
                </pt>
                <pt idx="157">
                  <v>45953</v>
                </pt>
                <pt idx="158">
                  <v>45952</v>
                </pt>
                <pt idx="159">
                  <v>45951</v>
                </pt>
                <pt idx="160">
                  <v>45950</v>
                </pt>
                <pt idx="161">
                  <v>45947</v>
                </pt>
                <pt idx="162">
                  <v>45946</v>
                </pt>
                <pt idx="163">
                  <v>45945</v>
                </pt>
                <pt idx="164">
                  <v>45944</v>
                </pt>
                <pt idx="165">
                  <v>45943</v>
                </pt>
                <pt idx="166">
                  <v>45940</v>
                </pt>
                <pt idx="167">
                  <v>45939</v>
                </pt>
                <pt idx="168">
                  <v>45938</v>
                </pt>
                <pt idx="169">
                  <v>45937</v>
                </pt>
                <pt idx="170">
                  <v>45936</v>
                </pt>
                <pt idx="171">
                  <v>45933</v>
                </pt>
                <pt idx="172">
                  <v>45932</v>
                </pt>
                <pt idx="173">
                  <v>45931</v>
                </pt>
                <pt idx="174">
                  <v>45930</v>
                </pt>
                <pt idx="175">
                  <v>45929</v>
                </pt>
                <pt idx="176">
                  <v>45926</v>
                </pt>
                <pt idx="177">
                  <v>45925</v>
                </pt>
                <pt idx="178">
                  <v>45924</v>
                </pt>
                <pt idx="179">
                  <v>45923</v>
                </pt>
                <pt idx="180">
                  <v>45922</v>
                </pt>
                <pt idx="181">
                  <v>45919</v>
                </pt>
                <pt idx="182">
                  <v>45918</v>
                </pt>
                <pt idx="183">
                  <v>45917</v>
                </pt>
                <pt idx="184">
                  <v>45916</v>
                </pt>
                <pt idx="185">
                  <v>45915</v>
                </pt>
                <pt idx="186">
                  <v>45912</v>
                </pt>
                <pt idx="187">
                  <v>45911</v>
                </pt>
                <pt idx="188">
                  <v>45910</v>
                </pt>
                <pt idx="189">
                  <v>45909</v>
                </pt>
                <pt idx="190">
                  <v>45908</v>
                </pt>
                <pt idx="191">
                  <v>45905</v>
                </pt>
                <pt idx="192">
                  <v>45904</v>
                </pt>
                <pt idx="193">
                  <v>45903</v>
                </pt>
                <pt idx="194">
                  <v>45902</v>
                </pt>
                <pt idx="195">
                  <v>45901</v>
                </pt>
                <pt idx="196">
                  <v>45898</v>
                </pt>
                <pt idx="197">
                  <v>45897</v>
                </pt>
                <pt idx="198">
                  <v>45896</v>
                </pt>
                <pt idx="199">
                  <v>45895</v>
                </pt>
                <pt idx="200">
                  <v>45894</v>
                </pt>
                <pt idx="201">
                  <v>45891</v>
                </pt>
                <pt idx="202">
                  <v>45890</v>
                </pt>
                <pt idx="203">
                  <v>45889</v>
                </pt>
                <pt idx="204">
                  <v>45888</v>
                </pt>
                <pt idx="205">
                  <v>45887</v>
                </pt>
                <pt idx="206">
                  <v>45884</v>
                </pt>
                <pt idx="207">
                  <v>45883</v>
                </pt>
                <pt idx="208">
                  <v>45882</v>
                </pt>
                <pt idx="209">
                  <v>45881</v>
                </pt>
                <pt idx="210">
                  <v>45880</v>
                </pt>
                <pt idx="211">
                  <v>45877</v>
                </pt>
                <pt idx="212">
                  <v>45876</v>
                </pt>
                <pt idx="213">
                  <v>45875</v>
                </pt>
                <pt idx="214">
                  <v>45874</v>
                </pt>
                <pt idx="215">
                  <v>45873</v>
                </pt>
                <pt idx="216">
                  <v>45870</v>
                </pt>
                <pt idx="217">
                  <v>45869</v>
                </pt>
                <pt idx="218">
                  <v>45868</v>
                </pt>
                <pt idx="219">
                  <v>45867</v>
                </pt>
                <pt idx="220">
                  <v>45866</v>
                </pt>
                <pt idx="221">
                  <v>45863</v>
                </pt>
                <pt idx="222">
                  <v>45862</v>
                </pt>
                <pt idx="223">
                  <v>45861</v>
                </pt>
                <pt idx="224">
                  <v>45860</v>
                </pt>
                <pt idx="225">
                  <v>45859</v>
                </pt>
                <pt idx="226">
                  <v>45856</v>
                </pt>
                <pt idx="227">
                  <v>45855</v>
                </pt>
                <pt idx="228">
                  <v>45854</v>
                </pt>
                <pt idx="229">
                  <v>45853</v>
                </pt>
                <pt idx="230">
                  <v>45852</v>
                </pt>
                <pt idx="231">
                  <v>45849</v>
                </pt>
                <pt idx="232">
                  <v>45848</v>
                </pt>
                <pt idx="233">
                  <v>45847</v>
                </pt>
                <pt idx="234">
                  <v>45846</v>
                </pt>
                <pt idx="235">
                  <v>45845</v>
                </pt>
                <pt idx="236">
                  <v>45842</v>
                </pt>
                <pt idx="237">
                  <v>45841</v>
                </pt>
                <pt idx="238">
                  <v>45840</v>
                </pt>
                <pt idx="239">
                  <v>45839</v>
                </pt>
                <pt idx="240">
                  <v>45838</v>
                </pt>
                <pt idx="241">
                  <v>45835</v>
                </pt>
                <pt idx="242">
                  <v>45834</v>
                </pt>
                <pt idx="243">
                  <v>45833</v>
                </pt>
                <pt idx="244">
                  <v>45832</v>
                </pt>
                <pt idx="245">
                  <v>45831</v>
                </pt>
                <pt idx="246">
                  <v>45828</v>
                </pt>
                <pt idx="247">
                  <v>45827</v>
                </pt>
                <pt idx="248">
                  <v>45826</v>
                </pt>
                <pt idx="249">
                  <v>45825</v>
                </pt>
                <pt idx="250">
                  <v>45824</v>
                </pt>
                <pt idx="251">
                  <v>45821</v>
                </pt>
                <pt idx="252">
                  <v>45820</v>
                </pt>
                <pt idx="253">
                  <v>45819</v>
                </pt>
                <pt idx="254">
                  <v>45818</v>
                </pt>
                <pt idx="255">
                  <v>45817</v>
                </pt>
                <pt idx="256">
                  <v>45814</v>
                </pt>
                <pt idx="257">
                  <v>45813</v>
                </pt>
                <pt idx="258">
                  <v>45812</v>
                </pt>
                <pt idx="259">
                  <v>45811</v>
                </pt>
                <pt idx="260">
                  <v>45810</v>
                </pt>
              </numCache>
            </numRef>
          </cat>
          <val>
            <numRef>
              <f>Pricing!$D$7:$D$267</f>
              <numCache>
                <formatCode>#,##0_);\(#,##0\);\–?</formatCode>
                <ptCount val="261"/>
                <pt idx="0">
                  <v>91.59999999999999</v>
                </pt>
                <pt idx="1">
                  <v>91.59999999999999</v>
                </pt>
                <pt idx="2">
                  <v>91.59999999999999</v>
                </pt>
                <pt idx="3">
                  <v>91.59999999999999</v>
                </pt>
                <pt idx="4">
                  <v>91.59999999999999</v>
                </pt>
                <pt idx="5">
                  <v>91.59999999999999</v>
                </pt>
                <pt idx="6">
                  <v>91.59999999999999</v>
                </pt>
                <pt idx="7">
                  <v>91.59999999999999</v>
                </pt>
                <pt idx="8">
                  <v>91.59999999999999</v>
                </pt>
                <pt idx="9">
                  <v>91.59999999999999</v>
                </pt>
                <pt idx="10">
                  <v>91.59999999999999</v>
                </pt>
                <pt idx="11">
                  <v>91.59999999999999</v>
                </pt>
                <pt idx="12">
                  <v>91.59999999999999</v>
                </pt>
                <pt idx="13">
                  <v>91.59999999999999</v>
                </pt>
                <pt idx="14">
                  <v>91.59999999999999</v>
                </pt>
                <pt idx="15">
                  <v>91.59999999999999</v>
                </pt>
                <pt idx="16">
                  <v>91.59999999999999</v>
                </pt>
                <pt idx="17">
                  <v>91.59999999999999</v>
                </pt>
                <pt idx="18">
                  <v>91.59999999999999</v>
                </pt>
                <pt idx="19">
                  <v>91.59999999999999</v>
                </pt>
                <pt idx="20">
                  <v>91.59999999999999</v>
                </pt>
                <pt idx="21">
                  <v>91.59999999999999</v>
                </pt>
                <pt idx="22">
                  <v>91.59999999999999</v>
                </pt>
                <pt idx="23">
                  <v>91.59999999999999</v>
                </pt>
                <pt idx="24">
                  <v>91.59999999999999</v>
                </pt>
                <pt idx="25">
                  <v>91.59999999999999</v>
                </pt>
                <pt idx="26">
                  <v>91.59999999999999</v>
                </pt>
                <pt idx="27">
                  <v>91.59999999999999</v>
                </pt>
                <pt idx="28">
                  <v>91.59999999999999</v>
                </pt>
                <pt idx="29">
                  <v>91.59999999999999</v>
                </pt>
                <pt idx="30">
                  <v>91.59999999999999</v>
                </pt>
                <pt idx="31">
                  <v>91.59999999999999</v>
                </pt>
                <pt idx="32">
                  <v>91.59999999999999</v>
                </pt>
                <pt idx="33">
                  <v>91.59999999999999</v>
                </pt>
                <pt idx="34">
                  <v>91.59999999999999</v>
                </pt>
                <pt idx="35">
                  <v>91.59999999999999</v>
                </pt>
                <pt idx="36">
                  <v>91.59999999999999</v>
                </pt>
                <pt idx="37">
                  <v>91.59999999999999</v>
                </pt>
                <pt idx="38">
                  <v>91.59999999999999</v>
                </pt>
                <pt idx="39">
                  <v>91.59999999999999</v>
                </pt>
                <pt idx="40">
                  <v>91.59999999999999</v>
                </pt>
                <pt idx="41">
                  <v>91.59999999999999</v>
                </pt>
                <pt idx="42">
                  <v>91.59999999999999</v>
                </pt>
                <pt idx="43">
                  <v>91.59999999999999</v>
                </pt>
                <pt idx="44">
                  <v>91.59999999999999</v>
                </pt>
                <pt idx="45">
                  <v>91.59999999999999</v>
                </pt>
                <pt idx="46">
                  <v>91.59999999999999</v>
                </pt>
                <pt idx="47">
                  <v>91.59999999999999</v>
                </pt>
                <pt idx="48">
                  <v>91.59999999999999</v>
                </pt>
                <pt idx="49">
                  <v>91.59999999999999</v>
                </pt>
                <pt idx="50">
                  <v>91.59999999999999</v>
                </pt>
                <pt idx="51">
                  <v>91.59999999999999</v>
                </pt>
                <pt idx="52">
                  <v>91.59999999999999</v>
                </pt>
                <pt idx="53">
                  <v>91.59999999999999</v>
                </pt>
                <pt idx="54">
                  <v>91.59999999999999</v>
                </pt>
                <pt idx="55">
                  <v>91.59999999999999</v>
                </pt>
                <pt idx="56">
                  <v>91.59999999999999</v>
                </pt>
                <pt idx="57">
                  <v>91.59999999999999</v>
                </pt>
                <pt idx="58">
                  <v>91.59999999999999</v>
                </pt>
                <pt idx="59">
                  <v>91.59999999999999</v>
                </pt>
                <pt idx="60">
                  <v>91.59999999999999</v>
                </pt>
                <pt idx="61">
                  <v>91.59999999999999</v>
                </pt>
                <pt idx="62">
                  <v>91.59999999999999</v>
                </pt>
                <pt idx="63">
                  <v>91.59999999999999</v>
                </pt>
                <pt idx="64">
                  <v>91.59999999999999</v>
                </pt>
                <pt idx="65">
                  <v>91.59999999999999</v>
                </pt>
                <pt idx="66">
                  <v>91.59999999999999</v>
                </pt>
                <pt idx="67">
                  <v>91.59999999999999</v>
                </pt>
                <pt idx="68">
                  <v>91.59999999999999</v>
                </pt>
                <pt idx="69">
                  <v>91.59999999999999</v>
                </pt>
                <pt idx="70">
                  <v>91.59999999999999</v>
                </pt>
                <pt idx="71">
                  <v>91.59999999999999</v>
                </pt>
                <pt idx="72">
                  <v>91.59999999999999</v>
                </pt>
                <pt idx="73">
                  <v>91.59999999999999</v>
                </pt>
                <pt idx="74">
                  <v>91.59999999999999</v>
                </pt>
                <pt idx="75">
                  <v>91.59999999999999</v>
                </pt>
                <pt idx="76">
                  <v>91.59999999999999</v>
                </pt>
                <pt idx="77">
                  <v>91.59999999999999</v>
                </pt>
                <pt idx="78">
                  <v>91.59999999999999</v>
                </pt>
                <pt idx="79">
                  <v>91.59999999999999</v>
                </pt>
                <pt idx="80">
                  <v>91.59999999999999</v>
                </pt>
                <pt idx="81">
                  <v>91.59999999999999</v>
                </pt>
                <pt idx="82">
                  <v>91.59999999999999</v>
                </pt>
                <pt idx="83">
                  <v>91.59999999999999</v>
                </pt>
                <pt idx="84">
                  <v>91.59999999999999</v>
                </pt>
                <pt idx="85">
                  <v>91.59999999999999</v>
                </pt>
                <pt idx="86">
                  <v>91.59999999999999</v>
                </pt>
                <pt idx="87">
                  <v>91.59999999999999</v>
                </pt>
                <pt idx="88">
                  <v>91.59999999999999</v>
                </pt>
                <pt idx="89">
                  <v>91.59999999999999</v>
                </pt>
                <pt idx="90">
                  <v>91.59999999999999</v>
                </pt>
                <pt idx="91">
                  <v>91.59999999999999</v>
                </pt>
                <pt idx="92">
                  <v>91.59999999999999</v>
                </pt>
                <pt idx="93">
                  <v>91.59999999999999</v>
                </pt>
                <pt idx="94">
                  <v>91.59999999999999</v>
                </pt>
                <pt idx="95">
                  <v>91.59999999999999</v>
                </pt>
                <pt idx="96">
                  <v>91.59999999999999</v>
                </pt>
                <pt idx="97">
                  <v>91.59999999999999</v>
                </pt>
                <pt idx="98">
                  <v>91.59999999999999</v>
                </pt>
                <pt idx="99">
                  <v>91.59999999999999</v>
                </pt>
                <pt idx="100">
                  <v>91.59999999999999</v>
                </pt>
                <pt idx="101">
                  <v>91.59999999999999</v>
                </pt>
                <pt idx="102">
                  <v>91.59999999999999</v>
                </pt>
                <pt idx="103">
                  <v>91.59999999999999</v>
                </pt>
                <pt idx="104">
                  <v>91.59999999999999</v>
                </pt>
                <pt idx="105">
                  <v>91.59999999999999</v>
                </pt>
                <pt idx="106">
                  <v>91.59999999999999</v>
                </pt>
                <pt idx="107">
                  <v>91.59999999999999</v>
                </pt>
                <pt idx="108">
                  <v>97.90000000000001</v>
                </pt>
                <pt idx="109">
                  <v>97.90000000000001</v>
                </pt>
                <pt idx="110">
                  <v>97.90000000000001</v>
                </pt>
                <pt idx="111">
                  <v>97.90000000000001</v>
                </pt>
                <pt idx="112">
                  <v>97.90000000000001</v>
                </pt>
                <pt idx="113">
                  <v>97.90000000000001</v>
                </pt>
                <pt idx="114">
                  <v>97.90000000000001</v>
                </pt>
                <pt idx="115">
                  <v>97.90000000000001</v>
                </pt>
                <pt idx="116">
                  <v>97.90000000000001</v>
                </pt>
                <pt idx="117">
                  <v>97.90000000000001</v>
                </pt>
                <pt idx="118">
                  <v>97.90000000000001</v>
                </pt>
                <pt idx="119">
                  <v>97.90000000000001</v>
                </pt>
                <pt idx="120">
                  <v>97.90000000000001</v>
                </pt>
                <pt idx="121">
                  <v>97.90000000000001</v>
                </pt>
                <pt idx="122">
                  <v>97.90000000000001</v>
                </pt>
                <pt idx="123">
                  <v>97.90000000000001</v>
                </pt>
                <pt idx="124">
                  <v>97.90000000000001</v>
                </pt>
                <pt idx="125">
                  <v>97.90000000000001</v>
                </pt>
                <pt idx="126">
                  <v>97.90000000000001</v>
                </pt>
                <pt idx="127">
                  <v>97.90000000000001</v>
                </pt>
                <pt idx="128">
                  <v>97.90000000000001</v>
                </pt>
                <pt idx="129">
                  <v>97.90000000000001</v>
                </pt>
                <pt idx="130">
                  <v>97.90000000000001</v>
                </pt>
                <pt idx="131">
                  <v>97.90000000000001</v>
                </pt>
                <pt idx="132">
                  <v>97.90000000000001</v>
                </pt>
                <pt idx="133">
                  <v>97.90000000000001</v>
                </pt>
                <pt idx="134">
                  <v>97.90000000000001</v>
                </pt>
                <pt idx="135">
                  <v>97.90000000000001</v>
                </pt>
                <pt idx="136">
                  <v>97.90000000000001</v>
                </pt>
                <pt idx="137">
                  <v>97.90000000000001</v>
                </pt>
                <pt idx="138">
                  <v>97.90000000000001</v>
                </pt>
                <pt idx="139">
                  <v>97.90000000000001</v>
                </pt>
                <pt idx="140">
                  <v>97.90000000000001</v>
                </pt>
                <pt idx="141">
                  <v>97.90000000000001</v>
                </pt>
                <pt idx="142">
                  <v>97.90000000000001</v>
                </pt>
                <pt idx="143">
                  <v>97.90000000000001</v>
                </pt>
                <pt idx="144">
                  <v>97.90000000000001</v>
                </pt>
                <pt idx="145">
                  <v>97.90000000000001</v>
                </pt>
                <pt idx="146">
                  <v>97.90000000000001</v>
                </pt>
                <pt idx="147">
                  <v>97.90000000000001</v>
                </pt>
                <pt idx="148">
                  <v>97.90000000000001</v>
                </pt>
                <pt idx="149">
                  <v>97.90000000000001</v>
                </pt>
                <pt idx="150">
                  <v>97.90000000000001</v>
                </pt>
                <pt idx="151">
                  <v>97.90000000000001</v>
                </pt>
                <pt idx="152">
                  <v>97.90000000000001</v>
                </pt>
                <pt idx="153">
                  <v>97.90000000000001</v>
                </pt>
                <pt idx="154">
                  <v>97.90000000000001</v>
                </pt>
                <pt idx="155">
                  <v>97.90000000000001</v>
                </pt>
                <pt idx="156">
                  <v>97.90000000000001</v>
                </pt>
                <pt idx="157">
                  <v>97.90000000000001</v>
                </pt>
                <pt idx="158">
                  <v>97.90000000000001</v>
                </pt>
                <pt idx="159">
                  <v>97.90000000000001</v>
                </pt>
                <pt idx="160">
                  <v>97.90000000000001</v>
                </pt>
                <pt idx="161">
                  <v>97.90000000000001</v>
                </pt>
                <pt idx="162">
                  <v>97.90000000000001</v>
                </pt>
                <pt idx="163">
                  <v>97.90000000000001</v>
                </pt>
                <pt idx="164">
                  <v>97.90000000000001</v>
                </pt>
                <pt idx="165">
                  <v>97.90000000000001</v>
                </pt>
                <pt idx="166">
                  <v>97.90000000000001</v>
                </pt>
                <pt idx="167">
                  <v>97.90000000000001</v>
                </pt>
                <pt idx="168">
                  <v>97.90000000000001</v>
                </pt>
                <pt idx="169">
                  <v>97.90000000000001</v>
                </pt>
                <pt idx="170">
                  <v>97.90000000000001</v>
                </pt>
                <pt idx="171">
                  <v>97.90000000000001</v>
                </pt>
                <pt idx="172">
                  <v>97.90000000000001</v>
                </pt>
                <pt idx="173">
                  <v>97.90000000000001</v>
                </pt>
                <pt idx="174">
                  <v>95.7</v>
                </pt>
                <pt idx="175">
                  <v>95.7</v>
                </pt>
                <pt idx="176">
                  <v>95.7</v>
                </pt>
                <pt idx="177">
                  <v>95.7</v>
                </pt>
                <pt idx="178">
                  <v>95.7</v>
                </pt>
                <pt idx="179">
                  <v>95.7</v>
                </pt>
                <pt idx="180">
                  <v>95.7</v>
                </pt>
                <pt idx="181">
                  <v>95.7</v>
                </pt>
                <pt idx="182">
                  <v>95.7</v>
                </pt>
                <pt idx="183">
                  <v>95.7</v>
                </pt>
                <pt idx="184">
                  <v>95.7</v>
                </pt>
                <pt idx="185">
                  <v>95.7</v>
                </pt>
                <pt idx="186">
                  <v>95.7</v>
                </pt>
                <pt idx="187">
                  <v>95.7</v>
                </pt>
                <pt idx="188">
                  <v>95.7</v>
                </pt>
                <pt idx="189">
                  <v>95.7</v>
                </pt>
                <pt idx="190">
                  <v>95.7</v>
                </pt>
                <pt idx="191">
                  <v>95.7</v>
                </pt>
                <pt idx="192">
                  <v>95.7</v>
                </pt>
                <pt idx="193">
                  <v>95.7</v>
                </pt>
                <pt idx="194">
                  <v>95.7</v>
                </pt>
                <pt idx="195">
                  <v>95.7</v>
                </pt>
                <pt idx="196">
                  <v>95.7</v>
                </pt>
                <pt idx="197">
                  <v>95.7</v>
                </pt>
                <pt idx="198">
                  <v>95.7</v>
                </pt>
                <pt idx="199">
                  <v>95.7</v>
                </pt>
                <pt idx="200">
                  <v>95.7</v>
                </pt>
                <pt idx="201">
                  <v>95.7</v>
                </pt>
                <pt idx="202">
                  <v>95.7</v>
                </pt>
                <pt idx="203">
                  <v>95.7</v>
                </pt>
                <pt idx="204">
                  <v>95.7</v>
                </pt>
                <pt idx="205">
                  <v>95.7</v>
                </pt>
                <pt idx="206">
                  <v>95.7</v>
                </pt>
                <pt idx="207">
                  <v>95.7</v>
                </pt>
                <pt idx="208">
                  <v>95.7</v>
                </pt>
                <pt idx="209">
                  <v>95.7</v>
                </pt>
                <pt idx="210">
                  <v>95.7</v>
                </pt>
                <pt idx="211">
                  <v>95.7</v>
                </pt>
                <pt idx="212">
                  <v>95.7</v>
                </pt>
                <pt idx="213">
                  <v>95.7</v>
                </pt>
                <pt idx="214">
                  <v>95.7</v>
                </pt>
                <pt idx="215">
                  <v>95.7</v>
                </pt>
                <pt idx="216">
                  <v>95.7</v>
                </pt>
                <pt idx="217">
                  <v>95.7</v>
                </pt>
                <pt idx="218">
                  <v>95.7</v>
                </pt>
                <pt idx="219">
                  <v>95.7</v>
                </pt>
                <pt idx="220">
                  <v>95.7</v>
                </pt>
                <pt idx="221">
                  <v>95.7</v>
                </pt>
                <pt idx="222">
                  <v>95.7</v>
                </pt>
                <pt idx="223">
                  <v>95.7</v>
                </pt>
                <pt idx="224">
                  <v>95.7</v>
                </pt>
                <pt idx="225">
                  <v>95.7</v>
                </pt>
                <pt idx="226">
                  <v>95.7</v>
                </pt>
                <pt idx="227">
                  <v>95.7</v>
                </pt>
                <pt idx="228">
                  <v>95.7</v>
                </pt>
                <pt idx="229">
                  <v>95.7</v>
                </pt>
                <pt idx="230">
                  <v>95.7</v>
                </pt>
                <pt idx="231">
                  <v>95.7</v>
                </pt>
                <pt idx="232">
                  <v>95.7</v>
                </pt>
                <pt idx="233">
                  <v>95.7</v>
                </pt>
                <pt idx="234">
                  <v>95.7</v>
                </pt>
                <pt idx="235">
                  <v>95.7</v>
                </pt>
                <pt idx="236">
                  <v>95.7</v>
                </pt>
                <pt idx="237">
                  <v>95.7</v>
                </pt>
                <pt idx="238">
                  <v>95.7</v>
                </pt>
                <pt idx="239">
                  <v>95.7</v>
                </pt>
                <pt idx="240">
                  <v>98.8</v>
                </pt>
                <pt idx="241">
                  <v>98.8</v>
                </pt>
                <pt idx="242">
                  <v>98.8</v>
                </pt>
                <pt idx="243">
                  <v>98.8</v>
                </pt>
                <pt idx="244">
                  <v>98.8</v>
                </pt>
                <pt idx="245">
                  <v>98.8</v>
                </pt>
                <pt idx="246">
                  <v>98.8</v>
                </pt>
                <pt idx="247">
                  <v>98.8</v>
                </pt>
                <pt idx="248">
                  <v>98.8</v>
                </pt>
                <pt idx="249">
                  <v>98.8</v>
                </pt>
                <pt idx="250">
                  <v>98.8</v>
                </pt>
                <pt idx="251">
                  <v>98.8</v>
                </pt>
                <pt idx="252">
                  <v>98.8</v>
                </pt>
                <pt idx="253">
                  <v>98.8</v>
                </pt>
                <pt idx="254">
                  <v>98.8</v>
                </pt>
                <pt idx="255">
                  <v>98.8</v>
                </pt>
                <pt idx="256">
                  <v>98.8</v>
                </pt>
                <pt idx="257">
                  <v>98.8</v>
                </pt>
                <pt idx="258">
                  <v>98.8</v>
                </pt>
                <pt idx="259">
                  <v>98.8</v>
                </pt>
                <pt idx="260">
                  <v>98.8</v>
                </pt>
              </numCache>
            </numRef>
          </val>
          <smooth val="0"/>
        </ser>
        <ser>
          <idx val="2"/>
          <order val="2"/>
          <tx>
            <strRef>
              <f>Pricing!$E$5</f>
              <strCache>
                <ptCount val="1"/>
                <pt idx="0">
                  <v>Unsecured PIK Loan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Pricing!$B$7:$B$267</f>
              <numCache>
                <formatCode>[$-409]mmm\-yy;@</formatCode>
                <ptCount val="261"/>
                <pt idx="0">
                  <v>46174</v>
                </pt>
                <pt idx="1">
                  <v>46171</v>
                </pt>
                <pt idx="2">
                  <v>46170</v>
                </pt>
                <pt idx="3">
                  <v>46169</v>
                </pt>
                <pt idx="4">
                  <v>46168</v>
                </pt>
                <pt idx="5">
                  <v>46167</v>
                </pt>
                <pt idx="6">
                  <v>46164</v>
                </pt>
                <pt idx="7">
                  <v>46163</v>
                </pt>
                <pt idx="8">
                  <v>46162</v>
                </pt>
                <pt idx="9">
                  <v>46161</v>
                </pt>
                <pt idx="10">
                  <v>46160</v>
                </pt>
                <pt idx="11">
                  <v>46157</v>
                </pt>
                <pt idx="12">
                  <v>46156</v>
                </pt>
                <pt idx="13">
                  <v>46155</v>
                </pt>
                <pt idx="14">
                  <v>46154</v>
                </pt>
                <pt idx="15">
                  <v>46153</v>
                </pt>
                <pt idx="16">
                  <v>46150</v>
                </pt>
                <pt idx="17">
                  <v>46149</v>
                </pt>
                <pt idx="18">
                  <v>46148</v>
                </pt>
                <pt idx="19">
                  <v>46147</v>
                </pt>
                <pt idx="20">
                  <v>46146</v>
                </pt>
                <pt idx="21">
                  <v>46143</v>
                </pt>
                <pt idx="22">
                  <v>46142</v>
                </pt>
                <pt idx="23">
                  <v>46141</v>
                </pt>
                <pt idx="24">
                  <v>46140</v>
                </pt>
                <pt idx="25">
                  <v>46139</v>
                </pt>
                <pt idx="26">
                  <v>46136</v>
                </pt>
                <pt idx="27">
                  <v>46135</v>
                </pt>
                <pt idx="28">
                  <v>46134</v>
                </pt>
                <pt idx="29">
                  <v>46133</v>
                </pt>
                <pt idx="30">
                  <v>46132</v>
                </pt>
                <pt idx="31">
                  <v>46129</v>
                </pt>
                <pt idx="32">
                  <v>46128</v>
                </pt>
                <pt idx="33">
                  <v>46127</v>
                </pt>
                <pt idx="34">
                  <v>46126</v>
                </pt>
                <pt idx="35">
                  <v>46125</v>
                </pt>
                <pt idx="36">
                  <v>46122</v>
                </pt>
                <pt idx="37">
                  <v>46121</v>
                </pt>
                <pt idx="38">
                  <v>46120</v>
                </pt>
                <pt idx="39">
                  <v>46119</v>
                </pt>
                <pt idx="40">
                  <v>46118</v>
                </pt>
                <pt idx="41">
                  <v>46115</v>
                </pt>
                <pt idx="42">
                  <v>46114</v>
                </pt>
                <pt idx="43">
                  <v>46113</v>
                </pt>
                <pt idx="44">
                  <v>46112</v>
                </pt>
                <pt idx="45">
                  <v>46111</v>
                </pt>
                <pt idx="46">
                  <v>46108</v>
                </pt>
                <pt idx="47">
                  <v>46107</v>
                </pt>
                <pt idx="48">
                  <v>46106</v>
                </pt>
                <pt idx="49">
                  <v>46105</v>
                </pt>
                <pt idx="50">
                  <v>46104</v>
                </pt>
                <pt idx="51">
                  <v>46101</v>
                </pt>
                <pt idx="52">
                  <v>46100</v>
                </pt>
                <pt idx="53">
                  <v>46099</v>
                </pt>
                <pt idx="54">
                  <v>46098</v>
                </pt>
                <pt idx="55">
                  <v>46097</v>
                </pt>
                <pt idx="56">
                  <v>46094</v>
                </pt>
                <pt idx="57">
                  <v>46093</v>
                </pt>
                <pt idx="58">
                  <v>46092</v>
                </pt>
                <pt idx="59">
                  <v>46091</v>
                </pt>
                <pt idx="60">
                  <v>46090</v>
                </pt>
                <pt idx="61">
                  <v>46087</v>
                </pt>
                <pt idx="62">
                  <v>46086</v>
                </pt>
                <pt idx="63">
                  <v>46085</v>
                </pt>
                <pt idx="64">
                  <v>46084</v>
                </pt>
                <pt idx="65">
                  <v>46083</v>
                </pt>
                <pt idx="66">
                  <v>46080</v>
                </pt>
                <pt idx="67">
                  <v>46079</v>
                </pt>
                <pt idx="68">
                  <v>46078</v>
                </pt>
                <pt idx="69">
                  <v>46077</v>
                </pt>
                <pt idx="70">
                  <v>46076</v>
                </pt>
                <pt idx="71">
                  <v>46073</v>
                </pt>
                <pt idx="72">
                  <v>46072</v>
                </pt>
                <pt idx="73">
                  <v>46071</v>
                </pt>
                <pt idx="74">
                  <v>46070</v>
                </pt>
                <pt idx="75">
                  <v>46069</v>
                </pt>
                <pt idx="76">
                  <v>46066</v>
                </pt>
                <pt idx="77">
                  <v>46065</v>
                </pt>
                <pt idx="78">
                  <v>46064</v>
                </pt>
                <pt idx="79">
                  <v>46063</v>
                </pt>
                <pt idx="80">
                  <v>46062</v>
                </pt>
                <pt idx="81">
                  <v>46059</v>
                </pt>
                <pt idx="82">
                  <v>46058</v>
                </pt>
                <pt idx="83">
                  <v>46057</v>
                </pt>
                <pt idx="84">
                  <v>46056</v>
                </pt>
                <pt idx="85">
                  <v>46055</v>
                </pt>
                <pt idx="86">
                  <v>46052</v>
                </pt>
                <pt idx="87">
                  <v>46051</v>
                </pt>
                <pt idx="88">
                  <v>46050</v>
                </pt>
                <pt idx="89">
                  <v>46049</v>
                </pt>
                <pt idx="90">
                  <v>46048</v>
                </pt>
                <pt idx="91">
                  <v>46045</v>
                </pt>
                <pt idx="92">
                  <v>46044</v>
                </pt>
                <pt idx="93">
                  <v>46043</v>
                </pt>
                <pt idx="94">
                  <v>46042</v>
                </pt>
                <pt idx="95">
                  <v>46041</v>
                </pt>
                <pt idx="96">
                  <v>46038</v>
                </pt>
                <pt idx="97">
                  <v>46037</v>
                </pt>
                <pt idx="98">
                  <v>46036</v>
                </pt>
                <pt idx="99">
                  <v>46035</v>
                </pt>
                <pt idx="100">
                  <v>46034</v>
                </pt>
                <pt idx="101">
                  <v>46031</v>
                </pt>
                <pt idx="102">
                  <v>46030</v>
                </pt>
                <pt idx="103">
                  <v>46029</v>
                </pt>
                <pt idx="104">
                  <v>46028</v>
                </pt>
                <pt idx="105">
                  <v>46027</v>
                </pt>
                <pt idx="106">
                  <v>46024</v>
                </pt>
                <pt idx="107">
                  <v>46023</v>
                </pt>
                <pt idx="108">
                  <v>46022</v>
                </pt>
                <pt idx="109">
                  <v>46021</v>
                </pt>
                <pt idx="110">
                  <v>46020</v>
                </pt>
                <pt idx="111">
                  <v>46017</v>
                </pt>
                <pt idx="112">
                  <v>46016</v>
                </pt>
                <pt idx="113">
                  <v>46015</v>
                </pt>
                <pt idx="114">
                  <v>46014</v>
                </pt>
                <pt idx="115">
                  <v>46013</v>
                </pt>
                <pt idx="116">
                  <v>46010</v>
                </pt>
                <pt idx="117">
                  <v>46009</v>
                </pt>
                <pt idx="118">
                  <v>46008</v>
                </pt>
                <pt idx="119">
                  <v>46007</v>
                </pt>
                <pt idx="120">
                  <v>46006</v>
                </pt>
                <pt idx="121">
                  <v>46003</v>
                </pt>
                <pt idx="122">
                  <v>46002</v>
                </pt>
                <pt idx="123">
                  <v>46001</v>
                </pt>
                <pt idx="124">
                  <v>46000</v>
                </pt>
                <pt idx="125">
                  <v>45999</v>
                </pt>
                <pt idx="126">
                  <v>45996</v>
                </pt>
                <pt idx="127">
                  <v>45995</v>
                </pt>
                <pt idx="128">
                  <v>45994</v>
                </pt>
                <pt idx="129">
                  <v>45993</v>
                </pt>
                <pt idx="130">
                  <v>45992</v>
                </pt>
                <pt idx="131">
                  <v>45989</v>
                </pt>
                <pt idx="132">
                  <v>45988</v>
                </pt>
                <pt idx="133">
                  <v>45987</v>
                </pt>
                <pt idx="134">
                  <v>45986</v>
                </pt>
                <pt idx="135">
                  <v>45985</v>
                </pt>
                <pt idx="136">
                  <v>45982</v>
                </pt>
                <pt idx="137">
                  <v>45981</v>
                </pt>
                <pt idx="138">
                  <v>45980</v>
                </pt>
                <pt idx="139">
                  <v>45979</v>
                </pt>
                <pt idx="140">
                  <v>45978</v>
                </pt>
                <pt idx="141">
                  <v>45975</v>
                </pt>
                <pt idx="142">
                  <v>45974</v>
                </pt>
                <pt idx="143">
                  <v>45973</v>
                </pt>
                <pt idx="144">
                  <v>45972</v>
                </pt>
                <pt idx="145">
                  <v>45971</v>
                </pt>
                <pt idx="146">
                  <v>45968</v>
                </pt>
                <pt idx="147">
                  <v>45967</v>
                </pt>
                <pt idx="148">
                  <v>45966</v>
                </pt>
                <pt idx="149">
                  <v>45965</v>
                </pt>
                <pt idx="150">
                  <v>45964</v>
                </pt>
                <pt idx="151">
                  <v>45961</v>
                </pt>
                <pt idx="152">
                  <v>45960</v>
                </pt>
                <pt idx="153">
                  <v>45959</v>
                </pt>
                <pt idx="154">
                  <v>45958</v>
                </pt>
                <pt idx="155">
                  <v>45957</v>
                </pt>
                <pt idx="156">
                  <v>45954</v>
                </pt>
                <pt idx="157">
                  <v>45953</v>
                </pt>
                <pt idx="158">
                  <v>45952</v>
                </pt>
                <pt idx="159">
                  <v>45951</v>
                </pt>
                <pt idx="160">
                  <v>45950</v>
                </pt>
                <pt idx="161">
                  <v>45947</v>
                </pt>
                <pt idx="162">
                  <v>45946</v>
                </pt>
                <pt idx="163">
                  <v>45945</v>
                </pt>
                <pt idx="164">
                  <v>45944</v>
                </pt>
                <pt idx="165">
                  <v>45943</v>
                </pt>
                <pt idx="166">
                  <v>45940</v>
                </pt>
                <pt idx="167">
                  <v>45939</v>
                </pt>
                <pt idx="168">
                  <v>45938</v>
                </pt>
                <pt idx="169">
                  <v>45937</v>
                </pt>
                <pt idx="170">
                  <v>45936</v>
                </pt>
                <pt idx="171">
                  <v>45933</v>
                </pt>
                <pt idx="172">
                  <v>45932</v>
                </pt>
                <pt idx="173">
                  <v>45931</v>
                </pt>
                <pt idx="174">
                  <v>45930</v>
                </pt>
                <pt idx="175">
                  <v>45929</v>
                </pt>
                <pt idx="176">
                  <v>45926</v>
                </pt>
                <pt idx="177">
                  <v>45925</v>
                </pt>
                <pt idx="178">
                  <v>45924</v>
                </pt>
                <pt idx="179">
                  <v>45923</v>
                </pt>
                <pt idx="180">
                  <v>45922</v>
                </pt>
                <pt idx="181">
                  <v>45919</v>
                </pt>
                <pt idx="182">
                  <v>45918</v>
                </pt>
                <pt idx="183">
                  <v>45917</v>
                </pt>
                <pt idx="184">
                  <v>45916</v>
                </pt>
                <pt idx="185">
                  <v>45915</v>
                </pt>
                <pt idx="186">
                  <v>45912</v>
                </pt>
                <pt idx="187">
                  <v>45911</v>
                </pt>
                <pt idx="188">
                  <v>45910</v>
                </pt>
                <pt idx="189">
                  <v>45909</v>
                </pt>
                <pt idx="190">
                  <v>45908</v>
                </pt>
                <pt idx="191">
                  <v>45905</v>
                </pt>
                <pt idx="192">
                  <v>45904</v>
                </pt>
                <pt idx="193">
                  <v>45903</v>
                </pt>
                <pt idx="194">
                  <v>45902</v>
                </pt>
                <pt idx="195">
                  <v>45901</v>
                </pt>
                <pt idx="196">
                  <v>45898</v>
                </pt>
                <pt idx="197">
                  <v>45897</v>
                </pt>
                <pt idx="198">
                  <v>45896</v>
                </pt>
                <pt idx="199">
                  <v>45895</v>
                </pt>
                <pt idx="200">
                  <v>45894</v>
                </pt>
                <pt idx="201">
                  <v>45891</v>
                </pt>
                <pt idx="202">
                  <v>45890</v>
                </pt>
                <pt idx="203">
                  <v>45889</v>
                </pt>
                <pt idx="204">
                  <v>45888</v>
                </pt>
                <pt idx="205">
                  <v>45887</v>
                </pt>
                <pt idx="206">
                  <v>45884</v>
                </pt>
                <pt idx="207">
                  <v>45883</v>
                </pt>
                <pt idx="208">
                  <v>45882</v>
                </pt>
                <pt idx="209">
                  <v>45881</v>
                </pt>
                <pt idx="210">
                  <v>45880</v>
                </pt>
                <pt idx="211">
                  <v>45877</v>
                </pt>
                <pt idx="212">
                  <v>45876</v>
                </pt>
                <pt idx="213">
                  <v>45875</v>
                </pt>
                <pt idx="214">
                  <v>45874</v>
                </pt>
                <pt idx="215">
                  <v>45873</v>
                </pt>
                <pt idx="216">
                  <v>45870</v>
                </pt>
                <pt idx="217">
                  <v>45869</v>
                </pt>
                <pt idx="218">
                  <v>45868</v>
                </pt>
                <pt idx="219">
                  <v>45867</v>
                </pt>
                <pt idx="220">
                  <v>45866</v>
                </pt>
                <pt idx="221">
                  <v>45863</v>
                </pt>
                <pt idx="222">
                  <v>45862</v>
                </pt>
                <pt idx="223">
                  <v>45861</v>
                </pt>
                <pt idx="224">
                  <v>45860</v>
                </pt>
                <pt idx="225">
                  <v>45859</v>
                </pt>
                <pt idx="226">
                  <v>45856</v>
                </pt>
                <pt idx="227">
                  <v>45855</v>
                </pt>
                <pt idx="228">
                  <v>45854</v>
                </pt>
                <pt idx="229">
                  <v>45853</v>
                </pt>
                <pt idx="230">
                  <v>45852</v>
                </pt>
                <pt idx="231">
                  <v>45849</v>
                </pt>
                <pt idx="232">
                  <v>45848</v>
                </pt>
                <pt idx="233">
                  <v>45847</v>
                </pt>
                <pt idx="234">
                  <v>45846</v>
                </pt>
                <pt idx="235">
                  <v>45845</v>
                </pt>
                <pt idx="236">
                  <v>45842</v>
                </pt>
                <pt idx="237">
                  <v>45841</v>
                </pt>
                <pt idx="238">
                  <v>45840</v>
                </pt>
                <pt idx="239">
                  <v>45839</v>
                </pt>
                <pt idx="240">
                  <v>45838</v>
                </pt>
                <pt idx="241">
                  <v>45835</v>
                </pt>
                <pt idx="242">
                  <v>45834</v>
                </pt>
                <pt idx="243">
                  <v>45833</v>
                </pt>
                <pt idx="244">
                  <v>45832</v>
                </pt>
                <pt idx="245">
                  <v>45831</v>
                </pt>
                <pt idx="246">
                  <v>45828</v>
                </pt>
                <pt idx="247">
                  <v>45827</v>
                </pt>
                <pt idx="248">
                  <v>45826</v>
                </pt>
                <pt idx="249">
                  <v>45825</v>
                </pt>
                <pt idx="250">
                  <v>45824</v>
                </pt>
                <pt idx="251">
                  <v>45821</v>
                </pt>
                <pt idx="252">
                  <v>45820</v>
                </pt>
                <pt idx="253">
                  <v>45819</v>
                </pt>
                <pt idx="254">
                  <v>45818</v>
                </pt>
                <pt idx="255">
                  <v>45817</v>
                </pt>
                <pt idx="256">
                  <v>45814</v>
                </pt>
                <pt idx="257">
                  <v>45813</v>
                </pt>
                <pt idx="258">
                  <v>45812</v>
                </pt>
                <pt idx="259">
                  <v>45811</v>
                </pt>
                <pt idx="260">
                  <v>45810</v>
                </pt>
              </numCache>
            </numRef>
          </cat>
          <val>
            <numRef>
              <f>Pricing!$E$7:$E$267</f>
              <numCache>
                <formatCode>#,##0_);\(#,##0\);\–?</formatCode>
                <ptCount val="261"/>
                <pt idx="0">
                  <v>81</v>
                </pt>
                <pt idx="1">
                  <v>81</v>
                </pt>
                <pt idx="2">
                  <v>81</v>
                </pt>
                <pt idx="3">
                  <v>81</v>
                </pt>
                <pt idx="4">
                  <v>81</v>
                </pt>
                <pt idx="5">
                  <v>81</v>
                </pt>
                <pt idx="6">
                  <v>81</v>
                </pt>
                <pt idx="7">
                  <v>81</v>
                </pt>
                <pt idx="8">
                  <v>81</v>
                </pt>
                <pt idx="9">
                  <v>81</v>
                </pt>
                <pt idx="10">
                  <v>81</v>
                </pt>
                <pt idx="11">
                  <v>81</v>
                </pt>
                <pt idx="12">
                  <v>81</v>
                </pt>
                <pt idx="13">
                  <v>81</v>
                </pt>
                <pt idx="14">
                  <v>81</v>
                </pt>
                <pt idx="15">
                  <v>81</v>
                </pt>
                <pt idx="16">
                  <v>81</v>
                </pt>
                <pt idx="17">
                  <v>81</v>
                </pt>
                <pt idx="18">
                  <v>81</v>
                </pt>
                <pt idx="19">
                  <v>81</v>
                </pt>
                <pt idx="20">
                  <v>81</v>
                </pt>
                <pt idx="21">
                  <v>81</v>
                </pt>
                <pt idx="22">
                  <v>81</v>
                </pt>
                <pt idx="23">
                  <v>81</v>
                </pt>
                <pt idx="24">
                  <v>81</v>
                </pt>
                <pt idx="25">
                  <v>81</v>
                </pt>
                <pt idx="26">
                  <v>81</v>
                </pt>
                <pt idx="27">
                  <v>81</v>
                </pt>
                <pt idx="28">
                  <v>81</v>
                </pt>
                <pt idx="29">
                  <v>81</v>
                </pt>
                <pt idx="30">
                  <v>81</v>
                </pt>
                <pt idx="31">
                  <v>81</v>
                </pt>
                <pt idx="32">
                  <v>81</v>
                </pt>
                <pt idx="33">
                  <v>81</v>
                </pt>
                <pt idx="34">
                  <v>81</v>
                </pt>
                <pt idx="35">
                  <v>81</v>
                </pt>
                <pt idx="36">
                  <v>81</v>
                </pt>
                <pt idx="37">
                  <v>81</v>
                </pt>
                <pt idx="38">
                  <v>81</v>
                </pt>
                <pt idx="39">
                  <v>81</v>
                </pt>
                <pt idx="40">
                  <v>81</v>
                </pt>
                <pt idx="41">
                  <v>81</v>
                </pt>
                <pt idx="42">
                  <v>81</v>
                </pt>
                <pt idx="43">
                  <v>81</v>
                </pt>
                <pt idx="44">
                  <v>81</v>
                </pt>
                <pt idx="45">
                  <v>81</v>
                </pt>
                <pt idx="46">
                  <v>81</v>
                </pt>
                <pt idx="47">
                  <v>81</v>
                </pt>
                <pt idx="48">
                  <v>81</v>
                </pt>
                <pt idx="49">
                  <v>81</v>
                </pt>
                <pt idx="50">
                  <v>81</v>
                </pt>
                <pt idx="51">
                  <v>81</v>
                </pt>
                <pt idx="52">
                  <v>81</v>
                </pt>
                <pt idx="53">
                  <v>81</v>
                </pt>
                <pt idx="54">
                  <v>81</v>
                </pt>
                <pt idx="55">
                  <v>81</v>
                </pt>
                <pt idx="56">
                  <v>81</v>
                </pt>
                <pt idx="57">
                  <v>81</v>
                </pt>
                <pt idx="58">
                  <v>81</v>
                </pt>
                <pt idx="59">
                  <v>81</v>
                </pt>
                <pt idx="60">
                  <v>81</v>
                </pt>
                <pt idx="61">
                  <v>81</v>
                </pt>
                <pt idx="62">
                  <v>81</v>
                </pt>
                <pt idx="63">
                  <v>81</v>
                </pt>
                <pt idx="64">
                  <v>81</v>
                </pt>
                <pt idx="65">
                  <v>81</v>
                </pt>
                <pt idx="66">
                  <v>81</v>
                </pt>
                <pt idx="67">
                  <v>81</v>
                </pt>
                <pt idx="68">
                  <v>81</v>
                </pt>
                <pt idx="69">
                  <v>81</v>
                </pt>
                <pt idx="70">
                  <v>81</v>
                </pt>
                <pt idx="71">
                  <v>81</v>
                </pt>
                <pt idx="72">
                  <v>81</v>
                </pt>
                <pt idx="73">
                  <v>81</v>
                </pt>
                <pt idx="74">
                  <v>81</v>
                </pt>
                <pt idx="75">
                  <v>81</v>
                </pt>
                <pt idx="76">
                  <v>81</v>
                </pt>
                <pt idx="77">
                  <v>81</v>
                </pt>
                <pt idx="78">
                  <v>81</v>
                </pt>
                <pt idx="79">
                  <v>81</v>
                </pt>
                <pt idx="80">
                  <v>81</v>
                </pt>
                <pt idx="81">
                  <v>81</v>
                </pt>
                <pt idx="82">
                  <v>81</v>
                </pt>
                <pt idx="83">
                  <v>81</v>
                </pt>
                <pt idx="84">
                  <v>81</v>
                </pt>
                <pt idx="85">
                  <v>81</v>
                </pt>
                <pt idx="86">
                  <v>81</v>
                </pt>
                <pt idx="87">
                  <v>81</v>
                </pt>
                <pt idx="88">
                  <v>81</v>
                </pt>
                <pt idx="89">
                  <v>81</v>
                </pt>
                <pt idx="90">
                  <v>81</v>
                </pt>
                <pt idx="91">
                  <v>81</v>
                </pt>
                <pt idx="92">
                  <v>81</v>
                </pt>
                <pt idx="93">
                  <v>81</v>
                </pt>
                <pt idx="94">
                  <v>81</v>
                </pt>
                <pt idx="95">
                  <v>81</v>
                </pt>
                <pt idx="96">
                  <v>81</v>
                </pt>
                <pt idx="97">
                  <v>81</v>
                </pt>
                <pt idx="98">
                  <v>81</v>
                </pt>
                <pt idx="99">
                  <v>81</v>
                </pt>
                <pt idx="100">
                  <v>81</v>
                </pt>
                <pt idx="101">
                  <v>81</v>
                </pt>
                <pt idx="102">
                  <v>81</v>
                </pt>
                <pt idx="103">
                  <v>81</v>
                </pt>
                <pt idx="104">
                  <v>81</v>
                </pt>
                <pt idx="105">
                  <v>81</v>
                </pt>
                <pt idx="106">
                  <v>81</v>
                </pt>
                <pt idx="107">
                  <v>81</v>
                </pt>
                <pt idx="108">
                  <v>82.90000000000001</v>
                </pt>
                <pt idx="109">
                  <v>82.90000000000001</v>
                </pt>
                <pt idx="110">
                  <v>82.90000000000001</v>
                </pt>
                <pt idx="111">
                  <v>82.90000000000001</v>
                </pt>
                <pt idx="112">
                  <v>82.90000000000001</v>
                </pt>
                <pt idx="113">
                  <v>82.90000000000001</v>
                </pt>
                <pt idx="114">
                  <v>82.90000000000001</v>
                </pt>
                <pt idx="115">
                  <v>82.90000000000001</v>
                </pt>
                <pt idx="116">
                  <v>82.90000000000001</v>
                </pt>
                <pt idx="117">
                  <v>82.90000000000001</v>
                </pt>
                <pt idx="118">
                  <v>82.90000000000001</v>
                </pt>
                <pt idx="119">
                  <v>82.90000000000001</v>
                </pt>
                <pt idx="120">
                  <v>82.90000000000001</v>
                </pt>
                <pt idx="121">
                  <v>82.90000000000001</v>
                </pt>
                <pt idx="122">
                  <v>82.90000000000001</v>
                </pt>
                <pt idx="123">
                  <v>82.90000000000001</v>
                </pt>
                <pt idx="124">
                  <v>82.90000000000001</v>
                </pt>
                <pt idx="125">
                  <v>82.90000000000001</v>
                </pt>
                <pt idx="126">
                  <v>82.90000000000001</v>
                </pt>
                <pt idx="127">
                  <v>82.90000000000001</v>
                </pt>
                <pt idx="128">
                  <v>82.90000000000001</v>
                </pt>
                <pt idx="129">
                  <v>82.90000000000001</v>
                </pt>
                <pt idx="130">
                  <v>82.90000000000001</v>
                </pt>
                <pt idx="131">
                  <v>82.90000000000001</v>
                </pt>
                <pt idx="132">
                  <v>82.90000000000001</v>
                </pt>
                <pt idx="133">
                  <v>82.90000000000001</v>
                </pt>
                <pt idx="134">
                  <v>82.90000000000001</v>
                </pt>
                <pt idx="135">
                  <v>82.90000000000001</v>
                </pt>
                <pt idx="136">
                  <v>82.90000000000001</v>
                </pt>
                <pt idx="137">
                  <v>82.90000000000001</v>
                </pt>
                <pt idx="138">
                  <v>82.90000000000001</v>
                </pt>
                <pt idx="139">
                  <v>82.90000000000001</v>
                </pt>
                <pt idx="140">
                  <v>82.90000000000001</v>
                </pt>
                <pt idx="141">
                  <v>82.90000000000001</v>
                </pt>
                <pt idx="142">
                  <v>82.90000000000001</v>
                </pt>
                <pt idx="143">
                  <v>82.90000000000001</v>
                </pt>
                <pt idx="144">
                  <v>82.90000000000001</v>
                </pt>
                <pt idx="145">
                  <v>82.90000000000001</v>
                </pt>
                <pt idx="146">
                  <v>82.90000000000001</v>
                </pt>
                <pt idx="147">
                  <v>82.90000000000001</v>
                </pt>
                <pt idx="148">
                  <v>82.90000000000001</v>
                </pt>
                <pt idx="149">
                  <v>82.90000000000001</v>
                </pt>
                <pt idx="150">
                  <v>82.90000000000001</v>
                </pt>
                <pt idx="151">
                  <v>82.90000000000001</v>
                </pt>
                <pt idx="152">
                  <v>82.90000000000001</v>
                </pt>
                <pt idx="153">
                  <v>82.90000000000001</v>
                </pt>
                <pt idx="154">
                  <v>82.90000000000001</v>
                </pt>
                <pt idx="155">
                  <v>82.90000000000001</v>
                </pt>
                <pt idx="156">
                  <v>82.90000000000001</v>
                </pt>
                <pt idx="157">
                  <v>82.90000000000001</v>
                </pt>
                <pt idx="158">
                  <v>82.90000000000001</v>
                </pt>
                <pt idx="159">
                  <v>82.90000000000001</v>
                </pt>
                <pt idx="160">
                  <v>82.90000000000001</v>
                </pt>
                <pt idx="161">
                  <v>82.90000000000001</v>
                </pt>
                <pt idx="162">
                  <v>82.90000000000001</v>
                </pt>
                <pt idx="163">
                  <v>82.90000000000001</v>
                </pt>
                <pt idx="164">
                  <v>82.90000000000001</v>
                </pt>
                <pt idx="165">
                  <v>82.90000000000001</v>
                </pt>
                <pt idx="166">
                  <v>82.90000000000001</v>
                </pt>
                <pt idx="167">
                  <v>82.90000000000001</v>
                </pt>
                <pt idx="168">
                  <v>82.90000000000001</v>
                </pt>
                <pt idx="169">
                  <v>82.90000000000001</v>
                </pt>
                <pt idx="170">
                  <v>82.90000000000001</v>
                </pt>
                <pt idx="171">
                  <v>82.90000000000001</v>
                </pt>
                <pt idx="172">
                  <v>82.90000000000001</v>
                </pt>
                <pt idx="173">
                  <v>82.90000000000001</v>
                </pt>
                <pt idx="174">
                  <v>83</v>
                </pt>
                <pt idx="175">
                  <v>83</v>
                </pt>
                <pt idx="176">
                  <v>83</v>
                </pt>
                <pt idx="177">
                  <v>83</v>
                </pt>
                <pt idx="178">
                  <v>83</v>
                </pt>
                <pt idx="179">
                  <v>83</v>
                </pt>
                <pt idx="180">
                  <v>83</v>
                </pt>
                <pt idx="181">
                  <v>83</v>
                </pt>
                <pt idx="182">
                  <v>83</v>
                </pt>
                <pt idx="183">
                  <v>83</v>
                </pt>
                <pt idx="184">
                  <v>83</v>
                </pt>
                <pt idx="185">
                  <v>83</v>
                </pt>
                <pt idx="186">
                  <v>83</v>
                </pt>
                <pt idx="187">
                  <v>83</v>
                </pt>
                <pt idx="188">
                  <v>83</v>
                </pt>
                <pt idx="189">
                  <v>83</v>
                </pt>
                <pt idx="190">
                  <v>83</v>
                </pt>
                <pt idx="191">
                  <v>83</v>
                </pt>
                <pt idx="192">
                  <v>83</v>
                </pt>
                <pt idx="193">
                  <v>83</v>
                </pt>
                <pt idx="194">
                  <v>83</v>
                </pt>
                <pt idx="195">
                  <v>83</v>
                </pt>
                <pt idx="196">
                  <v>83</v>
                </pt>
                <pt idx="197">
                  <v>83</v>
                </pt>
                <pt idx="198">
                  <v>83</v>
                </pt>
                <pt idx="199">
                  <v>83</v>
                </pt>
                <pt idx="200">
                  <v>83</v>
                </pt>
                <pt idx="201">
                  <v>83</v>
                </pt>
                <pt idx="202">
                  <v>83</v>
                </pt>
                <pt idx="203">
                  <v>83</v>
                </pt>
                <pt idx="204">
                  <v>83</v>
                </pt>
                <pt idx="205">
                  <v>83</v>
                </pt>
                <pt idx="206">
                  <v>83</v>
                </pt>
                <pt idx="207">
                  <v>83</v>
                </pt>
                <pt idx="208">
                  <v>83</v>
                </pt>
                <pt idx="209">
                  <v>83</v>
                </pt>
                <pt idx="210">
                  <v>83</v>
                </pt>
                <pt idx="211">
                  <v>83</v>
                </pt>
                <pt idx="212">
                  <v>83</v>
                </pt>
                <pt idx="213">
                  <v>83</v>
                </pt>
                <pt idx="214">
                  <v>83</v>
                </pt>
                <pt idx="215">
                  <v>83</v>
                </pt>
                <pt idx="216">
                  <v>83</v>
                </pt>
                <pt idx="217">
                  <v>83</v>
                </pt>
                <pt idx="218">
                  <v>83</v>
                </pt>
                <pt idx="219">
                  <v>83</v>
                </pt>
                <pt idx="220">
                  <v>83</v>
                </pt>
                <pt idx="221">
                  <v>83</v>
                </pt>
                <pt idx="222">
                  <v>83</v>
                </pt>
                <pt idx="223">
                  <v>83</v>
                </pt>
                <pt idx="224">
                  <v>83</v>
                </pt>
                <pt idx="225">
                  <v>83</v>
                </pt>
                <pt idx="226">
                  <v>83</v>
                </pt>
                <pt idx="227">
                  <v>83</v>
                </pt>
                <pt idx="228">
                  <v>83</v>
                </pt>
                <pt idx="229">
                  <v>83</v>
                </pt>
                <pt idx="230">
                  <v>83</v>
                </pt>
                <pt idx="231">
                  <v>83</v>
                </pt>
                <pt idx="232">
                  <v>83</v>
                </pt>
                <pt idx="233">
                  <v>83</v>
                </pt>
                <pt idx="234">
                  <v>83</v>
                </pt>
                <pt idx="235">
                  <v>83</v>
                </pt>
                <pt idx="236">
                  <v>83</v>
                </pt>
                <pt idx="237">
                  <v>83</v>
                </pt>
                <pt idx="238">
                  <v>83</v>
                </pt>
                <pt idx="239">
                  <v>83</v>
                </pt>
                <pt idx="240">
                  <v>87</v>
                </pt>
                <pt idx="241">
                  <v>87</v>
                </pt>
                <pt idx="242">
                  <v>87</v>
                </pt>
                <pt idx="243">
                  <v>87</v>
                </pt>
                <pt idx="244">
                  <v>87</v>
                </pt>
                <pt idx="245">
                  <v>87</v>
                </pt>
                <pt idx="246">
                  <v>87</v>
                </pt>
                <pt idx="247">
                  <v>87</v>
                </pt>
                <pt idx="248">
                  <v>87</v>
                </pt>
                <pt idx="249">
                  <v>87</v>
                </pt>
                <pt idx="250">
                  <v>87</v>
                </pt>
                <pt idx="251">
                  <v>87</v>
                </pt>
                <pt idx="252">
                  <v>87</v>
                </pt>
                <pt idx="253">
                  <v>87</v>
                </pt>
                <pt idx="254">
                  <v>87</v>
                </pt>
                <pt idx="255">
                  <v>87</v>
                </pt>
                <pt idx="256">
                  <v>87</v>
                </pt>
                <pt idx="257">
                  <v>87</v>
                </pt>
                <pt idx="258">
                  <v>87</v>
                </pt>
                <pt idx="259">
                  <v>87</v>
                </pt>
                <pt idx="260">
                  <v>87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30408031"/>
        <axId val="2030396511"/>
      </lineChart>
      <dateAx>
        <axId val="2030408031"/>
        <scaling>
          <orientation val="minMax"/>
          <max val="46175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accent2"/>
            </a:solidFill>
            <a:prstDash val="solid"/>
            <a:round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t>None</a:t>
            </a:r>
            <a:endParaRPr lang="en-US"/>
          </a:p>
        </txPr>
        <crossAx val="2030396511"/>
        <crosses val="autoZero"/>
        <lblOffset val="100"/>
        <baseTimeUnit val="days"/>
        <majorUnit val="2"/>
        <majorTimeUnit val="months"/>
      </dateAx>
      <valAx>
        <axId val="2030396511"/>
        <scaling>
          <orientation val="minMax"/>
          <min val="80"/>
        </scaling>
        <delete val="0"/>
        <axPos val="l"/>
        <numFmt formatCode="#,##0_);\(#,##0\);\–?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solidFill>
              <a:schemeClr val="accent2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t>None</a:t>
            </a:r>
            <a:endParaRPr lang="en-US"/>
          </a:p>
        </txPr>
        <crossAx val="2030408031"/>
        <crosses val="autoZero"/>
        <crossBetween val="between"/>
        <majorUnit val="4"/>
      </valAx>
    </plotArea>
    <legend>
      <legendPos val="r"/>
      <layout>
        <manualLayout>
          <xMode val="edge"/>
          <yMode val="edge"/>
          <wMode val="factor"/>
          <hMode val="factor"/>
          <x val="0.1373627236423527"/>
          <y val="0.0004621704895583704"/>
          <w val="0.7699489655483609"/>
          <h val="0.15870005379762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25400" cap="flat" cmpd="sng" algn="ctr">
      <a:noFill/>
      <a:prstDash val="solid"/>
      <a:round/>
    </a:ln>
  </spPr>
</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'Maturity Schedule'!$C$8</c:f>
              <c:strCache>
                <c:ptCount val="1"/>
                <c:pt idx="0">
                  <c:v>Cash &amp; Equivalents</c:v>
                </c:pt>
              </c:strCache>
            </c:strRef>
          </c:tx>
          <c:spPr>
            <a:solidFill>
              <a:srgbClr val="2E75B6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Schedule'!$D$8:$J$8</c:f>
              <c:numCache>
                <c:formatCode>"$"#,##0</c:formatCode>
                <c:ptCount val="7"/>
                <c:pt idx="0">
                  <c:v>495</c:v>
                </c:pt>
              </c:numCache>
            </c:numRef>
          </c:val>
        </c:ser>
        <c:ser>
          <c:idx val="1"/>
          <c:order val="1"/>
          <c:tx>
            <c:strRef>
              <c:f>'Maturity Schedule'!$C$9</c:f>
              <c:strCache>
                <c:ptCount val="1"/>
                <c:pt idx="0">
                  <c:v>ABL Availability</c:v>
                </c:pt>
              </c:strCache>
            </c:strRef>
          </c:tx>
          <c:spPr>
            <a:noFill/>
            <a:ln w="25400">
              <a:solidFill>
                <a:srgbClr val="2E75B6"/>
              </a:solidFill>
              <a:prstDash val="dash"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525766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Schedule'!$D$9:$J$9</c:f>
              <c:numCache>
                <c:formatCode>"$"#,##0</c:formatCode>
                <c:ptCount val="7"/>
                <c:pt idx="0">
                  <c:v>425</c:v>
                </c:pt>
              </c:numCache>
            </c:numRef>
          </c:val>
        </c:ser>
        <c:ser>
          <c:idx val="2"/>
          <c:order val="2"/>
          <c:tx>
            <c:strRef>
              <c:f>'Maturity Schedule'!$C$10</c:f>
              <c:strCache>
                <c:ptCount val="1"/>
                <c:pt idx="0">
                  <c:v>Secured Term Loan</c:v>
                </c:pt>
              </c:strCache>
            </c:strRef>
          </c:tx>
          <c:spPr>
            <a:solidFill>
              <a:srgbClr val="7E8597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Schedule'!$D$10:$J$10</c:f>
              <c:numCache>
                <c:formatCode>"$"#,##0</c:formatCode>
                <c:ptCount val="7"/>
                <c:pt idx="4">
                  <c:v>405</c:v>
                </c:pt>
              </c:numCache>
            </c:numRef>
          </c:val>
        </c:ser>
        <c:ser>
          <c:idx val="3"/>
          <c:order val="3"/>
          <c:tx>
            <c:strRef>
              <c:f>'Maturity Schedule'!$C$11</c:f>
              <c:strCache>
                <c:ptCount val="1"/>
                <c:pt idx="0">
                  <c:v>1L Term Loan</c:v>
                </c:pt>
              </c:strCache>
            </c:strRef>
          </c:tx>
          <c:spPr>
            <a:solidFill>
              <a:srgbClr val="C8A45D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Schedule'!$D$11:$J$11</c:f>
              <c:numCache>
                <c:formatCode>"$"#,##0</c:formatCode>
                <c:ptCount val="7"/>
                <c:pt idx="2">
                  <c:v>705</c:v>
                </c:pt>
              </c:numCache>
            </c:numRef>
          </c:val>
        </c:ser>
        <c:ser>
          <c:idx val="4"/>
          <c:order val="4"/>
          <c:tx>
            <c:strRef>
              <c:f>'Maturity Schedule'!$C$12</c:f>
              <c:strCache>
                <c:ptCount val="1"/>
                <c:pt idx="0">
                  <c:v>1L Notes</c:v>
                </c:pt>
              </c:strCache>
            </c:strRef>
          </c:tx>
          <c:spPr>
            <a:solidFill>
              <a:srgbClr val="3E5C76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Schedule'!$D$12:$J$12</c:f>
              <c:numCache>
                <c:formatCode>"$"#,##0</c:formatCode>
                <c:ptCount val="7"/>
                <c:pt idx="3">
                  <c:v>400</c:v>
                </c:pt>
              </c:numCache>
            </c:numRef>
          </c:val>
        </c:ser>
        <c:ser>
          <c:idx val="5"/>
          <c:order val="5"/>
          <c:tx>
            <c:strRef>
              <c:f>'Maturity Schedule'!$C$13</c:f>
              <c:strCache>
                <c:ptCount val="1"/>
                <c:pt idx="0">
                  <c:v>2L Notes</c:v>
                </c:pt>
              </c:strCache>
            </c:strRef>
          </c:tx>
          <c:spPr>
            <a:solidFill>
              <a:srgbClr val="9D1F4B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Schedule'!$D$13:$J$13</c:f>
              <c:numCache>
                <c:formatCode>"$"#,##0</c:formatCode>
                <c:ptCount val="7"/>
                <c:pt idx="4">
                  <c:v>494</c:v>
                </c:pt>
              </c:numCache>
            </c:numRef>
          </c:val>
        </c:ser>
        <c:ser>
          <c:idx val="6"/>
          <c:order val="6"/>
          <c:tx>
            <c:strRef>
              <c:f>'Maturity Schedule'!$C$14</c:f>
              <c:strCache>
                <c:ptCount val="1"/>
                <c:pt idx="0">
                  <c:v>Senior Unsecured Notes</c:v>
                </c:pt>
              </c:strCache>
            </c:strRef>
          </c:tx>
          <c:spPr>
            <a:solidFill>
              <a:srgbClr val="8E44AD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Schedule'!$D$14:$J$14</c:f>
              <c:numCache>
                <c:formatCode>"$"#,##0</c:formatCode>
                <c:ptCount val="7"/>
                <c:pt idx="1">
                  <c:v>556</c:v>
                </c:pt>
                <c:pt idx="2">
                  <c:v>500</c:v>
                </c:pt>
                <c:pt idx="3">
                  <c:v>650</c:v>
                </c:pt>
                <c:pt idx="5">
                  <c:v>250</c:v>
                </c:pt>
                <c:pt idx="6">
                  <c:v>350</c:v>
                </c:pt>
              </c:numCache>
            </c:numRef>
          </c:val>
        </c:ser>
        <c:ser>
          <c:idx val="7"/>
          <c:order val="7"/>
          <c:tx>
            <c:strRef>
              <c:f>'Maturity Schedule'!$C$15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525766"/>
                    </a:solidFill>
                    <a:latin typeface="Segoe UI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Schedule'!$D$15:$J$15</c:f>
              <c:numCache>
                <c:formatCode>"$"#,##0</c:formatCode>
                <c:ptCount val="7"/>
                <c:pt idx="0">
                  <c:v>920</c:v>
                </c:pt>
                <c:pt idx="1">
                  <c:v>556</c:v>
                </c:pt>
                <c:pt idx="2">
                  <c:v>1205</c:v>
                </c:pt>
                <c:pt idx="3">
                  <c:v>1050</c:v>
                </c:pt>
                <c:pt idx="4">
                  <c:v>899</c:v>
                </c:pt>
                <c:pt idx="5">
                  <c:v>250</c:v>
                </c:pt>
                <c:pt idx="6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7E8597"/>
            </a:solidFill>
          </a:ln>
        </c:spPr>
        <c:txPr>
          <a:bodyPr/>
          <a:lstStyle/>
          <a:p>
            <a:pPr>
              <a:defRPr sz="900">
                <a:solidFill>
                  <a:srgbClr val="525766"/>
                </a:solidFill>
                <a:latin typeface="Segoe UI"/>
              </a:defRPr>
            </a:pPr>
            <a:endParaRPr lang="en-US"/>
          </a:p>
        </c:txPr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  <c:max val="1450"/>
          <c:min val="0"/>
        </c:scaling>
        <c:delete val="0"/>
        <c:axPos val="l"/>
        <c:numFmt formatCode="&quot;$&quot;#,##0" sourceLinked="0"/>
        <c:majorTickMark val="none"/>
        <c:minorTickMark val="none"/>
        <c:tickLblPos val="none"/>
        <c:spPr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rgbClr val="525766"/>
                </a:solidFill>
                <a:latin typeface="Segoe UI"/>
              </a:defRPr>
            </a:pPr>
            <a:endParaRPr lang="en-US"/>
          </a:p>
        </c:txPr>
        <c:crossAx val="111111111"/>
        <c:crosses val="autoZero"/>
        <c:crossBetween val="between"/>
      </c:valAx>
      <c:spPr>
        <a:noFill/>
        <a:ln>
          <a:noFill/>
        </a:ln>
      </c:spPr>
    </c:plotArea>
    <c:legend>
      <c:legendPos val="t"/>
      <c:legendEntry>
        <c:idx val="7"/>
        <c:delete val="1"/>
      </c:legendEntry>
      <c:overlay val="0"/>
      <c:txPr>
        <a:bodyPr/>
        <a:lstStyle/>
        <a:p>
          <a:pPr>
            <a:defRPr sz="900">
              <a:solidFill>
                <a:srgbClr val="525766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noFill/>
    <a:ln>
      <a:noFill/>
    </a:ln>
  </c:spPr>
</c:chartSpace>
</file>

<file path=xl/comments/comment1.xml><?xml version="1.0" encoding="utf-8"?>
<comments xmlns="http://schemas.openxmlformats.org/spreadsheetml/2006/main">
  <authors>
    <author>cap-structure skill</author>
  </authors>
  <commentList>
    <comment ref="D11" authorId="0" shapeId="0">
      <text>
        <t>Source: 2Q'26 10-Q (period 30 Jun 2026, filed 6 Aug 2026), Debt note: no borrowings outstanding under the ABL Facility; lender commitments $425m. https://www.sec.gov/Archives/edgar/data/1770450/000177045026000040/xrx-20260630.htm</t>
      </text>
    </comment>
    <comment ref="F11" authorId="0" shapeId="0">
      <text>
        <t>Source: S+150 per Xerox 2Q'26 earnings presentation debt table (30 Jul 2026), https://investors.xerox.com/static-files/b7e7fa5f-f76d-4673-ba78-520392c48dc3. Margin is availability-based; verify vs. ABL credit agreement.</t>
      </text>
    </comment>
    <comment ref="I11" authorId="0" shapeId="0">
      <text>
        <t>Source: 2Q'26 10-Q: ABL matures 22 May 2028; no scheduled principal payments before maturity. https://www.sec.gov/Archives/edgar/data/1770450/000177045026000040/xrx-20260630.htm</t>
      </text>
    </comment>
    <comment ref="Q11" authorId="0" shapeId="0">
      <text>
        <t>SOFR base rate
Source: SOFR 3.87% (13 Oct 2026) per sofrrate.com October 2026 table (https://www.sofrrate.com/sofr-rate/2026-10); confirm vs. NY Fed (https://www.newyorkfed.org/markets/reference-rates/sofr). Term SOFR used in the credit agreements may differ slightly. JV term loans carry a 3.00% SOFR floor and the TLB a 0.50% floor, both below current SOFR.</t>
      </text>
    </comment>
    <comment ref="D12" authorId="0" shapeId="0">
      <text>
        <t>Source: 1Q'26 &amp; 2Q'26 10-Q: on 17 Feb 2026 TPG-affiliated investors funded $405m senior secured 5-yr Term Loans to XRX Brandco Holdings LLC (IPCo, consolidated VIE), secured by IPCo assets incl. contributed IP; guaranteed by XRX Brandco LLC. Net proceeds $404m after $46m costs. https://www.sec.gov/Archives/edgar/data/1770450/000177045026000030/xrx-20260331.htm</t>
      </text>
    </comment>
    <comment ref="F12" authorId="0" shapeId="0">
      <text>
        <t>Source: 1Q'26 10-Q: Term SOFR (3.000% floor) + 8.125% (ABR + 7.125%). Note: secondary summaries of the 2Q'26 10-Q cite a different margin; analyst to confirm vs. the JV credit agreement. https://www.sec.gov/Archives/edgar/data/1770450/000177045026000030/xrx-20260331.htm</t>
      </text>
    </comment>
    <comment ref="I12" authorId="0" shapeId="0">
      <text>
        <t>Source: 10-Q: matures on 5th anniversary of the 17 Feb 2026 closing date; amortizes 4.50%/yr quarterly starting after the quarter ending 30 Sep 2026.</t>
      </text>
    </comment>
    <comment ref="D13" authorId="0" shapeId="0">
      <text>
        <t>Source: 1Q'26 10-Q: investors purchased $45m of Class A Units of IPCo Holdings; mandatory cumulative redemption expected in ~5 years, so classified with the Term Loans as indebtedness totaling $450m. https://www.sec.gov/Archives/edgar/data/1770450/000177045026000030/xrx-20260331.htm</t>
      </text>
    </comment>
    <comment ref="D14" authorId="0" shapeId="0">
      <text>
        <t>Source: Xerox 2Q'26 earnings presentation debt table (30 Jul 2026): Term Loan B $705m principal. Original $550m TLB (Nov 2023) + ~$327m incremental (1 Jul 2025, Lexmark), less amortization (5%/yr yrs 1-2, 7.5% yr 3, 10% thereafter). https://investors.xerox.com/static-files/b7e7fa5f-f76d-4673-ba78-520392c48dc3</t>
      </text>
    </comment>
    <comment ref="F14" authorId="0" shapeId="0">
      <text>
        <t>Source: Term SOFR (0.50% floor) + 4.00% per the Nov 2023 credit agreement / FY2025 10-K; 2Q'26 presentation shows S+400. https://www.sec.gov/Archives/edgar/data/1770450/000177045026000009/xrx-20251231.htm</t>
      </text>
    </comment>
    <comment ref="I14" authorId="0" shapeId="0">
      <text>
        <t>Source: Due in full 17 Nov 2029 (FY2025 10-K). https://www.sec.gov/Archives/edgar/data/1770450/000177045026000009/xrx-20251231.htm</t>
      </text>
    </comment>
    <comment ref="D15" authorId="0" shapeId="0">
      <text>
        <t>Source: Issued by Xerox Corporation Apr 2025 ($400m, Lexmark financing), guaranteed by Xerox Holdings; $400m outstanding per 2Q'26 earnings presentation. https://investors.xerox.com/static-files/b7e7fa5f-f76d-4673-ba78-520392c48dc3</t>
      </text>
    </comment>
    <comment ref="F15" authorId="0" shapeId="0">
      <text>
        <t>Source: 10.250% First Lien Senior Secured Notes due 2030 (Xerox press release, 'Successful Pricing of $800 million Senior Secured Notes', Mar 2025). https://investors.xerox.com/news-releases/news-release-details/xerox-corporation-announces-successful-pricing-800-million</t>
      </text>
    </comment>
    <comment ref="I15" authorId="0" shapeId="0">
      <text>
        <t>Source: 15 Oct 2030 (TradingView/FINRA XRX6042609; Cbonds ISIN USU9841NAP51). First call 15 Oct 2027 @ 105.125. https://cbonds.com/bonds/1825397/</t>
      </text>
    </comment>
    <comment ref="J15" authorId="0" shapeId="0">
      <text>
        <t>Source: Moody's instrument rating post Mar-2026 CFR downgrade not confirmed (NA). S&amp;P 'B' on first-lien notes (2025 action; 'other ratings unchanged' in Jun-2026 SD action). https://bondblox.com/news/xerox-downgraded-to-ccc-by-s-bonds-lose-half-their-value-in-2025</t>
      </text>
    </comment>
    <comment ref="D16" authorId="0" shapeId="0">
      <text>
        <t>Source: $400m issued Apr 2025 @ 98 + $100m add-on 9 May 2025 @ 95 = $500m; less ~$6m repurchased in 2Q'26 (2Q'26 10-Q / earnings call) = $494m. https://www.sec.gov/Archives/edgar/data/1770450/000177045026000040/xrx-20260630.htm</t>
      </text>
    </comment>
    <comment ref="F16" authorId="0" shapeId="0">
      <text>
        <t>Source: 13.500% Second Lien Senior Secured Notes due 2031 (2Q'25 10-Q / 8-K). https://www.sec.gov/Archives/edgar/data/1770450/000162828025038980/xrx-20250630.htm</t>
      </text>
    </comment>
    <comment ref="I16" authorId="0" shapeId="0">
      <text>
        <t>Source: Due 2031; interest paid 15 Apr / 15 Oct (8-K). Exact day not confirmed in sources reached; shown as Apr-31.</t>
      </text>
    </comment>
    <comment ref="J16" authorId="0" shapeId="0">
      <text>
        <t>Source: S&amp;P 'CCC+' second-lien (2025 action; unchanged in Jun-2026). Moody's NA. https://bondblox.com/news/xerox-downgraded-to-ccc-by-s-bonds-lose-half-their-value-in-2025</t>
      </text>
    </comment>
    <comment ref="D18" authorId="0" shapeId="0">
      <text>
        <t>Source: Xerox Holdings 5.50% notes ($750m original); ~$101m repurchased 1Q'26 (for ~$45m) and $93m repurchased 2Q'26 (for ~$54m) -&gt; $556m per 2Q'26 earnings presentation. https://investors.xerox.com/static-files/b7e7fa5f-f76d-4673-ba78-520392c48dc3</t>
      </text>
    </comment>
    <comment ref="F18" authorId="0" shapeId="0">
      <text>
        <t>Source: 5.50% Senior Unsecured Notes due Aug 2028 (2Q'26 10-Q). https://www.sec.gov/Archives/edgar/data/1770450/000177045026000040/xrx-20260630.htm</t>
      </text>
    </comment>
    <comment ref="I18" authorId="0" shapeId="0">
      <text>
        <t>Source: 15 Aug 2028 (10-K debt schedule).</t>
      </text>
    </comment>
    <comment ref="J18" authorId="0" shapeId="0">
      <text>
        <t>Source: S&amp;P cut this issue to 'D' on 11 Jun 2026 (below-par repurchase) and restored the issuer to CCC+ on 16 Jun 2026; post-upgrade issue rating not confirmed -&gt; NA. https://www.investing.com/news/stock-market-news/sp-downgrades-xerox-rating-on-belowpar-debt-repurchase-93CH-4738188</t>
      </text>
    </comment>
    <comment ref="K18" authorId="0" shapeId="0">
      <text>
        <t>Source: ~58.6 per TradingView (FINRA TRACE) quote, ~5 Oct 2026. Indicative only - refresh on Bloomberg. https://www.tradingview.com/symbols/NASDAQ-XRX/bonds/</t>
      </text>
    </comment>
    <comment ref="D19" authorId="0" shapeId="0">
      <text>
        <t>Source: Xerox Holdings 8.875% notes, $500m outstanding (2Q'26 earnings presentation; S&amp;P cited $500m due 2029 at 31 Mar 2026). https://investors.xerox.com/static-files/b7e7fa5f-f76d-4673-ba78-520392c48dc3</t>
      </text>
    </comment>
    <comment ref="F19" authorId="0" shapeId="0">
      <text>
        <t>Source: 8.875% Senior Notes due 30 Nov 2029 (Cbonds). https://cbonds.com/bonds/1647509/</t>
      </text>
    </comment>
    <comment ref="I19" authorId="0" shapeId="0">
      <text>
        <t>Source: 30 Nov 2029 (Cbonds). https://cbonds.com/bonds/1647509/</t>
      </text>
    </comment>
    <comment ref="J19" authorId="0" shapeId="0">
      <text>
        <t>Source: S&amp;P 'CCC' senior unsecured (2025 action). Moody's NA.</t>
      </text>
    </comment>
    <comment ref="K19" authorId="0" shapeId="0">
      <text>
        <t>Source: 40.939 clean, 7 Oct 2026 (sqxbonds, US98421MAC01). Indicative only. https://sqxbonds.com/bonds/US98421MAC01</t>
      </text>
    </comment>
    <comment ref="D20" authorId="0" shapeId="0">
      <text>
        <t>Source: Xerox Holdings 3.75% Convertible Senior Notes, $400m (2Q'26 earnings presentation). https://investors.xerox.com/static-files/b7e7fa5f-f76d-4673-ba78-520392c48dc3</t>
      </text>
    </comment>
    <comment ref="F20" authorId="0" shapeId="0">
      <text>
        <t>Source: 3.75% Convertible Senior Notes due 15 Mar 2030 (CUSIP 98421MAE6). https://public.com/bonds/corporate/xerox-holdings-corporation/xrx-3.75-03-15-2030-98421mae6</t>
      </text>
    </comment>
    <comment ref="I20" authorId="0" shapeId="0">
      <text>
        <t>Source: 15 Mar 2030. https://public.com/bonds/corporate/xerox-holdings-corporation/xrx-3.75-03-15-2030-98421mae6</t>
      </text>
    </comment>
    <comment ref="J20" authorId="0" shapeId="0">
      <text>
        <t>Source: S&amp;P 'CCC' senior unsecured (2025 action). Moody's NA.</t>
      </text>
    </comment>
    <comment ref="K20" authorId="0" shapeId="0">
      <text>
        <t>Source: NA - conflicting undated quotes (37.25 / 43.10).</t>
      </text>
    </comment>
    <comment ref="D21" authorId="0" shapeId="0">
      <text>
        <t>Source: Xerox Holdings issued $250m 13.00% Step Up Senior Notes due Jul 2030 on 1 Jul 2025 (Lexmark financing) (8-K / 3Q'25 10-Q). https://www.sec.gov/Archives/edgar/data/1770450/000177045025000037/xrx-20250930.htm</t>
      </text>
    </comment>
    <comment ref="F21" authorId="0" shapeId="0">
      <text>
        <t>Source: 13.00% at issue, stepping up: 13.500% from 1 Jul 2026, 14.000% from 1 Jul 2027 ... to 16.750% by Jul 2030 (10-Q). Shown at current 13.50%. Interest paid quarterly (1 Jan/Apr/Jul/Oct).</t>
      </text>
    </comment>
    <comment ref="I21" authorId="0" shapeId="0">
      <text>
        <t>Source: Due Jul 2030 (8-K); exact day not confirmed - shown as Jul-30.</t>
      </text>
    </comment>
    <comment ref="J21" authorId="0" shapeId="0">
      <text>
        <t>Source: Moody's assigned Caa3 to the step-up notes with the Mar-2026 CFR downgrade to Caa2. https://therecycler.com/posts/moodys-ratings-downgrades-xerox-to-caa2-outlook-negative/</t>
      </text>
    </comment>
    <comment ref="D22" authorId="0" shapeId="0">
      <text>
        <t>Source: Xerox Corporation 4.80% Senior Notes, $250m (2Q'26 earnings presentation). https://investors.xerox.com/static-files/b7e7fa5f-f76d-4673-ba78-520392c48dc3</t>
      </text>
    </comment>
    <comment ref="F22" authorId="0" shapeId="0">
      <text>
        <t>Source: 4.80% Senior Notes due 2035 (10-K debt schedule). https://www.sec.gov/Archives/edgar/data/1770450/000177045026000009/xrx-20251231.htm</t>
      </text>
    </comment>
    <comment ref="I22" authorId="0" shapeId="0">
      <text>
        <t>Source: 1 Mar 2035 (10-K debt schedule).</t>
      </text>
    </comment>
    <comment ref="J22" authorId="0" shapeId="0">
      <text>
        <t>Source: S&amp;P 'CCC' senior unsecured (2025 action). Moody's NA.</t>
      </text>
    </comment>
    <comment ref="D23" authorId="0" shapeId="0">
      <text>
        <t>Source: Xerox Corporation 6.75% Senior Notes, $350m (2Q'26 earnings presentation). https://investors.xerox.com/static-files/b7e7fa5f-f76d-4673-ba78-520392c48dc3</t>
      </text>
    </comment>
    <comment ref="F23" authorId="0" shapeId="0">
      <text>
        <t>Source: 6.75% Senior Notes due 15 Dec 2039 (Cbonds). https://cbonds.com/bonds/57689/</t>
      </text>
    </comment>
    <comment ref="I23" authorId="0" shapeId="0">
      <text>
        <t>Source: 15 Dec 2039 (Cbonds). https://cbonds.com/bonds/57689/</t>
      </text>
    </comment>
    <comment ref="J23" authorId="0" shapeId="0">
      <text>
        <t>Source: S&amp;P 'CCC' senior unsecured (2025 action). Moody's NA.</t>
      </text>
    </comment>
    <comment ref="K23" authorId="0" shapeId="0">
      <text>
        <t>Source: NA - Investing.com quote (~38-39) undated.</t>
      </text>
    </comment>
    <comment ref="D25" authorId="0" shapeId="0">
      <text>
        <t>Source: 2Q'26 10-Q balance sheet, cash and cash equivalents $495m at 30 Jun 2026 (ties to RX Model BS!AA13). Excludes restricted cash (cash + restricted = $552m). https://www.sec.gov/Archives/edgar/data/1770450/000177045026000040/xrx-20260630.htm</t>
      </text>
    </comment>
    <comment ref="D27" authorId="0" shapeId="0">
      <text>
        <t>Source: 180,000 shares, $180m aggregate liquidation value; carried at $214m on the balance sheet (RX Model BS!AA53; 10-K equity note). https://www.sec.gov/Archives/edgar/data/1770450/000177045025000010/xrx-20241231.htm</t>
      </text>
    </comment>
    <comment ref="F27" authorId="0" shapeId="0">
      <text>
        <t>Source: 8% cumulative cash dividend, paid quarterly ($14m/yr); $20.00/share quarterly declared Feb 2026. Convertible into 37.4532 common shares/share (~$26.70 conversion price). https://investors.xerox.com/news-releases/news-release-details/xerox-holdings-corporation-declares-dividend-common-and-10</t>
      </text>
    </comment>
    <comment ref="I27" authorId="0" shapeId="0">
      <text>
        <t>Source: Perpetual - no maturity.</t>
      </text>
    </comment>
    <comment ref="D30" authorId="0" shapeId="0">
      <text>
        <t>Source: Xerox RX Model, IS tab cell AI63 (LTM 2Q'26 Adj. EBITDA = $719m), built from Xerox IR earnings slides 'Adjusted EBITDA and Margin Reconciliation' (2Q'26 deck, 30 Jul 2026, https://investors.xerox.com/static-files/b7e7fa5f-f76d-4673-ba78-520392c48dc3). Includes a $105m IEEPA tariff-refund benefit in 2Q'26; excl. that benefit LTM Adj. EBITDA = $614m (IS!AI68). Company-reported gross leverage 5.9x on this basis (2Q'26 earnings call).</t>
      </text>
    </comment>
    <comment ref="D32" authorId="0" shapeId="0">
      <text>
        <t>Source: 2Q'26 10-Q: ABL lender commitments $425m. https://www.sec.gov/Archives/edgar/data/1770450/000177045026000040/xrx-20260630.htm</t>
      </text>
    </comment>
    <comment ref="D33" authorId="0" shapeId="0">
      <text>
        <t>Source: 2Q'26 10-Q: as of 6 Aug 2026 ABL availability was $388m (borrowing-base constrained) before LCs; $388m - $425m = -$37m.</t>
      </text>
    </comment>
    <comment ref="D35" authorId="0" shapeId="0">
      <text>
        <t>Source: 2Q'26 10-Q: letters of credit of approximately $112m outstanding against the ABL (as of 6 Aug 2026).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9</col>
      <colOff>539750</colOff>
      <row>7</row>
      <rowOff>122237</rowOff>
    </from>
    <to>
      <col>18</col>
      <colOff>600075</colOff>
      <row>20</row>
      <rowOff>68262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oneCellAnchor>
    <from>
      <col>3</col>
      <colOff>0</colOff>
      <row>17</row>
      <rowOff>0</rowOff>
    </from>
    <ext cx="64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New HL Theme">
  <a:themeElements>
    <a:clrScheme name="Present 2015b">
      <a:dk1>
        <a:srgbClr val="525766"/>
      </a:dk1>
      <a:lt1>
        <a:srgbClr val="FFFFFF"/>
      </a:lt1>
      <a:dk2>
        <a:srgbClr val="002855"/>
      </a:dk2>
      <a:lt2>
        <a:srgbClr val="0067A5"/>
      </a:lt2>
      <a:accent1>
        <a:srgbClr val="508BC9"/>
      </a:accent1>
      <a:accent2>
        <a:srgbClr val="BCBFC6"/>
      </a:accent2>
      <a:accent3>
        <a:srgbClr val="7E8597"/>
      </a:accent3>
      <a:accent4>
        <a:srgbClr val="24B1B1"/>
      </a:accent4>
      <a:accent5>
        <a:srgbClr val="6C1E36"/>
      </a:accent5>
      <a:accent6>
        <a:srgbClr val="9FC3DA"/>
      </a:accent6>
      <a:hlink>
        <a:srgbClr val="0067A5"/>
      </a:hlink>
      <a:folHlink>
        <a:srgbClr val="7CACC6"/>
      </a:folHlink>
    </a:clrScheme>
    <a:fontScheme name="Present 2015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 w="6350">
          <a:solidFill>
            <a:schemeClr val="accent2">
              <a:lumMod val="75000"/>
            </a:schemeClr>
          </a:solidFill>
        </a:ln>
      </a:spPr>
      <a:bodyPr rot="0" spcFirstLastPara="0" vertOverflow="overflow" horzOverflow="overflow" vert="horz" wrap="square" lIns="91440" tIns="91440" rIns="91440" bIns="91440" numCol="1" spcCol="0" rtlCol="0" fromWordArt="0" anchor="ctr" anchorCtr="0" forceAA="0" compatLnSpc="1">
        <a:prstTxWarp prst="textNoShape">
          <a:avLst/>
        </a:prstTxWarp>
        <a:noAutofit/>
      </a:bodyPr>
      <a:lstStyle>
        <a:defPPr marL="0" marR="0" indent="0" algn="ctr" defTabSz="914400" eaLnBrk="1" fontAlgn="base" latinLnBrk="0" hangingPunct="1">
          <a:lnSpc>
            <a:spcPct val="113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kern="0" cap="none" spc="0" normalizeH="0" baseline="0" noProof="0" smtClean="0">
            <a:ln>
              <a:noFill/>
            </a:ln>
            <a:solidFill>
              <a:srgbClr val="BCBFC6">
                <a:lumMod val="75000"/>
              </a:srgbClr>
            </a:solidFill>
            <a:effectLst/>
            <a:uLnTx/>
            <a:uFillTx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tx2"/>
          </a:solidFill>
          <a:headEnd type="none" w="med" len="med"/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 vert="horz" wrap="square" lIns="0" tIns="0" rIns="0" bIns="0" rtlCol="0">
        <a:noAutofit/>
      </a:bodyPr>
      <a:lstStyle>
        <a:defPPr>
          <a:lnSpc>
            <a:spcPct val="114000"/>
          </a:lnSpc>
          <a:spcAft>
            <a:spcPts val="600"/>
          </a:spcAft>
          <a:buSzPct val="100000"/>
          <a:defRPr sz="1100" dirty="0" err="1" smtClean="0"/>
        </a:defPPr>
      </a:lstStyle>
    </a:txDef>
  </a:objectDefaults>
  <a:extraClrSchemeLst/>
  <a:custClrLst>
    <a:custClr name="Metalic Seaweed">
      <a:srgbClr val="1F808F"/>
    </a:custClr>
    <a:custClr name="Rust">
      <a:srgbClr val="B54E15"/>
    </a:custClr>
    <a:custClr name="English Lavender">
      <a:srgbClr val="B58D9A"/>
    </a:custClr>
    <a:custClr name="Swiss Coffee">
      <a:srgbClr val="D2C0B2"/>
    </a:custClr>
    <a:custClr name="Maize">
      <a:srgbClr val="E6C25B"/>
    </a:custClr>
    <a:custClr name="Metalic Sunburst">
      <a:srgbClr val="8C7337"/>
    </a:custClr>
    <a:custClr name="Maximum Green">
      <a:srgbClr val="508225"/>
    </a:custClr>
    <a:custClr name="Strikemaster">
      <a:srgbClr val="8E6C88"/>
    </a:custClr>
    <a:custClr name="Onyx">
      <a:srgbClr val="424142"/>
    </a:custClr>
    <a:custClr name="Oxford Blue">
      <a:srgbClr val="002855"/>
    </a:custClr>
    <a:custClr name="Custom Color 11">
      <a:srgbClr val="C7EDF3"/>
    </a:custClr>
    <a:custClr name="Custom Color 12">
      <a:srgbClr val="F8D9C7"/>
    </a:custClr>
    <a:custClr name="Custom Color 13">
      <a:srgbClr val="F0E8EA"/>
    </a:custClr>
    <a:custClr name="Custom Color 14">
      <a:srgbClr val="F6F2EF"/>
    </a:custClr>
    <a:custClr name="Custom Color 15">
      <a:srgbClr val="FAF2DE"/>
    </a:custClr>
    <a:custClr name="Custom Color 16">
      <a:srgbClr val="EDE5D1"/>
    </a:custClr>
    <a:custClr name="Custom Color 17">
      <a:srgbClr val="DBEFC9"/>
    </a:custClr>
    <a:custClr name="Custom Color 18">
      <a:srgbClr val="E8E1E7"/>
    </a:custClr>
    <a:custClr name="Custom Color 19">
      <a:srgbClr val="EAE9EA"/>
    </a:custClr>
    <a:custClr name="Custom Color 20">
      <a:srgbClr val="D4E8FF"/>
    </a:custClr>
    <a:custClr name="Custom Color 21">
      <a:srgbClr val="59C9DB"/>
    </a:custClr>
    <a:custClr name="Custom Color 22">
      <a:srgbClr val="EB8D59"/>
    </a:custClr>
    <a:custClr name="Custom Color 23">
      <a:srgbClr val="D2BAC2"/>
    </a:custClr>
    <a:custClr name="Custom Color 24">
      <a:srgbClr val="E3D9D0"/>
    </a:custClr>
    <a:custClr name="Custom Color 25">
      <a:srgbClr val="F0DA9C"/>
    </a:custClr>
    <a:custClr name="Custom Color 26">
      <a:srgbClr val="C9B177"/>
    </a:custClr>
    <a:custClr name="Custom Color 27">
      <a:srgbClr val="93D15E"/>
    </a:custClr>
    <a:custClr name="Custom Color 28">
      <a:srgbClr val="BBA6B7"/>
    </a:custClr>
    <a:custClr name="Custom Color 29">
      <a:srgbClr val="969496"/>
    </a:custClr>
    <a:custClr name="Custom Color 30">
      <a:srgbClr val="2A8EFE"/>
    </a:custClr>
    <a:custClr name="Custom Color 31">
      <a:srgbClr val="17606B"/>
    </a:custClr>
    <a:custClr name="Custom Color 32">
      <a:srgbClr val="873A0F"/>
    </a:custClr>
    <a:custClr name="Custom Color 33">
      <a:srgbClr val="925F6F"/>
    </a:custClr>
    <a:custClr name="Custom Color 34">
      <a:srgbClr val="AE8D74"/>
    </a:custClr>
    <a:custClr name="Custom Color 35">
      <a:srgbClr val="D0A31F"/>
    </a:custClr>
    <a:custClr name="Custom Color 36">
      <a:srgbClr val="614D1D"/>
    </a:custClr>
    <a:custClr name="Custom Color 37">
      <a:srgbClr val="3B611B"/>
    </a:custClr>
    <a:custClr name="Custom Color 38">
      <a:srgbClr val="6A5166"/>
    </a:custClr>
    <a:custClr name="Custom Color 39">
      <a:srgbClr val="615F61"/>
    </a:custClr>
    <a:custClr name="Custom Color 40">
      <a:srgbClr val="0059BF"/>
    </a:custClr>
    <a:custClr name="Custom Color 51">
      <a:srgbClr val="0F4047"/>
    </a:custClr>
    <a:custClr name="Custom Color 52">
      <a:srgbClr val="5A270A"/>
    </a:custClr>
    <a:custClr name="Custom Color 53">
      <a:srgbClr val="613F4A"/>
    </a:custClr>
    <a:custClr name="Custom Color 54">
      <a:srgbClr val="7A5D47"/>
    </a:custClr>
    <a:custClr name="Custom Color 55">
      <a:srgbClr val="8B6C15"/>
    </a:custClr>
    <a:custClr name="Custom Color 56">
      <a:srgbClr val="46391B"/>
    </a:custClr>
    <a:custClr name="Custom Color 57">
      <a:srgbClr val="274112"/>
    </a:custClr>
    <a:custClr name="Custom Color 58">
      <a:srgbClr val="473644"/>
    </a:custClr>
    <a:custClr name="Custom Color 59">
      <a:srgbClr val="413F41"/>
    </a:custClr>
    <a:custClr name="Custom Color 60">
      <a:srgbClr val="003C7F"/>
    </a:custClr>
  </a:custClrLst>
  <a:extLst>
    <a:ext uri="{05A4C25C-085E-4340-85A3-A5531E510DB2}">
      <thm15:themeFamily xmlns:thm15="http://schemas.microsoft.com/office/thememl/2012/main" name="New HL Theme" id="{694B041B-3AFB-4AA7-91E7-189A20A93C6F}" vid="{AA1CECE5-CF6F-4A2E-BC9E-44AC5BFB43C1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B3:Y79"/>
  <sheetViews>
    <sheetView showGridLines="0" tabSelected="1" view="pageBreakPreview" zoomScale="115" zoomScaleNormal="130" zoomScaleSheetLayoutView="115" workbookViewId="0">
      <selection activeCell="A1" sqref="A1"/>
    </sheetView>
  </sheetViews>
  <sheetFormatPr baseColWidth="8" defaultColWidth="8.7265625" defaultRowHeight="15" customHeight="1"/>
  <cols>
    <col width="2.7265625" customWidth="1" style="19" min="1" max="2"/>
    <col width="32.7265625" customWidth="1" style="19" min="3" max="3"/>
    <col width="7.7265625" customWidth="1" style="19" min="4" max="6"/>
    <col outlineLevel="1" width="7.7265625" customWidth="1" style="19" min="7" max="7"/>
    <col width="7.7265625" customWidth="1" style="19" min="8" max="12"/>
    <col hidden="1" outlineLevel="1" width="8.7265625" customWidth="1" style="19" min="13" max="14"/>
    <col collapsed="1" width="8.7265625" customWidth="1" style="19" min="15" max="15"/>
    <col width="8.7265625" customWidth="1" style="19" min="16" max="19"/>
    <col width="1.7265625" customWidth="1" style="19" min="20" max="20"/>
    <col width="8.7265625" customWidth="1" style="19" min="21" max="16384"/>
  </cols>
  <sheetData>
    <row r="2" ht="6" customHeight="1"/>
    <row r="3" ht="15" customHeight="1">
      <c r="C3" s="7" t="inlineStr">
        <is>
          <t>Xerox Holdings Corporation</t>
        </is>
      </c>
      <c r="D3" s="10" t="inlineStr">
        <is>
          <t>Today</t>
        </is>
      </c>
      <c r="E3" s="230">
        <f>TODAY()</f>
        <v/>
      </c>
      <c r="S3" s="13" t="inlineStr">
        <is>
          <t>DRAFT</t>
        </is>
      </c>
    </row>
    <row r="4" ht="15" customHeight="1" thickBot="1">
      <c r="C4" s="206" t="inlineStr">
        <is>
          <t>Capital Structure</t>
        </is>
      </c>
      <c r="D4" s="202" t="n"/>
      <c r="E4" s="202" t="n"/>
      <c r="F4" s="202" t="n"/>
      <c r="G4" s="202" t="n"/>
      <c r="H4" s="202" t="n"/>
      <c r="I4" s="202" t="n"/>
      <c r="J4" s="202" t="n"/>
      <c r="K4" s="202" t="n"/>
      <c r="L4" s="202" t="n"/>
      <c r="M4" s="202" t="n"/>
      <c r="N4" s="202" t="n"/>
      <c r="O4" s="202" t="n"/>
      <c r="P4" s="202" t="n"/>
      <c r="Q4" s="202" t="n"/>
      <c r="R4" s="202" t="n"/>
      <c r="S4" s="203" t="inlineStr">
        <is>
          <t>CONFIDENTIAL</t>
        </is>
      </c>
    </row>
    <row r="5" ht="15" customHeight="1">
      <c r="C5" s="242" t="n">
        <v>46203</v>
      </c>
    </row>
    <row r="6" ht="15" customHeight="1">
      <c r="C6" s="240" t="inlineStr">
        <is>
          <t>($ millions)</t>
        </is>
      </c>
    </row>
    <row r="8" ht="15" customHeight="1" thickBot="1">
      <c r="D8" s="171" t="inlineStr">
        <is>
          <t>Face</t>
        </is>
      </c>
      <c r="E8" s="171" t="inlineStr">
        <is>
          <t>Leverage</t>
        </is>
      </c>
      <c r="F8" s="171" t="inlineStr">
        <is>
          <t>Interest</t>
        </is>
      </c>
      <c r="G8" s="171" t="inlineStr">
        <is>
          <t xml:space="preserve">Effective </t>
        </is>
      </c>
      <c r="H8" s="171" t="inlineStr">
        <is>
          <t xml:space="preserve">Annual </t>
        </is>
      </c>
      <c r="I8" s="171" t="n"/>
      <c r="J8" s="171" t="inlineStr">
        <is>
          <t>Credit</t>
        </is>
      </c>
      <c r="K8" s="171" t="inlineStr">
        <is>
          <t>Trading</t>
        </is>
      </c>
      <c r="L8" s="171" t="n"/>
      <c r="M8" s="171" t="inlineStr">
        <is>
          <t>Market</t>
        </is>
      </c>
      <c r="N8" s="171" t="inlineStr">
        <is>
          <t>Leverage</t>
        </is>
      </c>
      <c r="Q8" s="204" t="inlineStr">
        <is>
          <t>Effective Rate Calculation</t>
        </is>
      </c>
      <c r="R8" s="205" t="n"/>
      <c r="S8" s="205" t="n"/>
    </row>
    <row r="9" ht="15" customHeight="1" thickBot="1">
      <c r="C9" s="172" t="inlineStr">
        <is>
          <t>Description</t>
        </is>
      </c>
      <c r="D9" s="173" t="inlineStr">
        <is>
          <t>Value</t>
        </is>
      </c>
      <c r="E9" s="173" t="inlineStr">
        <is>
          <t>(Face)</t>
        </is>
      </c>
      <c r="F9" s="173" t="inlineStr">
        <is>
          <t>Rate</t>
        </is>
      </c>
      <c r="G9" s="173" t="inlineStr">
        <is>
          <t>Rate</t>
        </is>
      </c>
      <c r="H9" s="173" t="inlineStr">
        <is>
          <t>Interest</t>
        </is>
      </c>
      <c r="I9" s="173" t="inlineStr">
        <is>
          <t>Maturity</t>
        </is>
      </c>
      <c r="J9" s="173" t="inlineStr">
        <is>
          <t>Rating</t>
        </is>
      </c>
      <c r="K9" s="173" t="inlineStr">
        <is>
          <t>Price</t>
        </is>
      </c>
      <c r="L9" s="173" t="inlineStr">
        <is>
          <t>YTM</t>
        </is>
      </c>
      <c r="M9" s="173" t="inlineStr">
        <is>
          <t>Value</t>
        </is>
      </c>
      <c r="N9" s="173" t="inlineStr">
        <is>
          <t>(Market)</t>
        </is>
      </c>
      <c r="Q9" s="173" t="inlineStr">
        <is>
          <t>SOFR</t>
        </is>
      </c>
      <c r="R9" s="173" t="inlineStr">
        <is>
          <t>Spread</t>
        </is>
      </c>
      <c r="S9" s="173" t="inlineStr">
        <is>
          <t>Effective</t>
        </is>
      </c>
    </row>
    <row r="10" ht="4" customHeight="1"/>
    <row r="11" ht="15" customHeight="1">
      <c r="B11" s="264" t="n"/>
      <c r="C11" s="148" t="inlineStr">
        <is>
          <t>ABL Revolving Credit Facility ($425mm)</t>
        </is>
      </c>
      <c r="D11" s="209" t="n">
        <v>0</v>
      </c>
      <c r="E11" s="243">
        <f>(D11)/$D$30</f>
        <v/>
      </c>
      <c r="F11" s="244" t="n">
        <v>150</v>
      </c>
      <c r="G11" s="245">
        <f>S11</f>
        <v/>
      </c>
      <c r="H11" s="209">
        <f>D11*G11</f>
        <v/>
      </c>
      <c r="I11" s="176" t="n">
        <v>46895</v>
      </c>
      <c r="J11" s="177" t="inlineStr">
        <is>
          <t>NA</t>
        </is>
      </c>
      <c r="K11" s="246" t="inlineStr">
        <is>
          <t>NA</t>
        </is>
      </c>
      <c r="L11" s="247" t="inlineStr">
        <is>
          <t>NA</t>
        </is>
      </c>
      <c r="M11" s="231" t="inlineStr">
        <is>
          <t>NA</t>
        </is>
      </c>
      <c r="N11" s="243">
        <f>E11</f>
        <v/>
      </c>
      <c r="O11" s="264" t="n"/>
      <c r="P11" s="264" t="n"/>
      <c r="Q11" s="265" t="n">
        <v>0.0387</v>
      </c>
      <c r="R11" s="179" t="n">
        <v>0.015</v>
      </c>
      <c r="S11" s="180">
        <f>SUM(Q11:R11)</f>
        <v/>
      </c>
      <c r="T11" s="264" t="n"/>
      <c r="U11" s="264" t="n"/>
      <c r="V11" s="264" t="n"/>
      <c r="W11" s="264" t="n"/>
      <c r="X11" s="264" t="n"/>
      <c r="Y11" s="264" t="n"/>
    </row>
    <row r="12" ht="15" customHeight="1">
      <c r="B12" s="264" t="n"/>
      <c r="C12" s="148" t="inlineStr">
        <is>
          <t>IPCo JV Secured Term Loans ($405mm)</t>
        </is>
      </c>
      <c r="D12" s="209" t="n">
        <v>405</v>
      </c>
      <c r="E12" s="243">
        <f>(D11+D12)/$D$30</f>
        <v/>
      </c>
      <c r="F12" s="244" t="n">
        <v>812.5</v>
      </c>
      <c r="G12" s="245">
        <f>S12</f>
        <v/>
      </c>
      <c r="H12" s="209">
        <f>D12*G12</f>
        <v/>
      </c>
      <c r="I12" s="176" t="n">
        <v>47896</v>
      </c>
      <c r="J12" s="177" t="inlineStr">
        <is>
          <t>NA</t>
        </is>
      </c>
      <c r="K12" s="246" t="inlineStr">
        <is>
          <t>NA</t>
        </is>
      </c>
      <c r="L12" s="247" t="inlineStr">
        <is>
          <t>NA</t>
        </is>
      </c>
      <c r="M12" s="231" t="inlineStr">
        <is>
          <t>NA</t>
        </is>
      </c>
      <c r="N12" s="243">
        <f>E12</f>
        <v/>
      </c>
      <c r="O12" s="264" t="n"/>
      <c r="P12" s="264" t="n"/>
      <c r="Q12" s="179">
        <f>Q11</f>
        <v/>
      </c>
      <c r="R12" s="179" t="n">
        <v>0.08125</v>
      </c>
      <c r="S12" s="179">
        <f>SUM(Q12:R12)</f>
        <v/>
      </c>
      <c r="T12" s="264" t="n"/>
      <c r="U12" s="264" t="n"/>
      <c r="V12" s="264" t="n"/>
      <c r="W12" s="264" t="n"/>
      <c r="X12" s="264" t="n"/>
      <c r="Y12" s="264" t="n"/>
    </row>
    <row r="13" ht="15" customHeight="1">
      <c r="B13" s="264" t="n"/>
      <c r="C13" s="148" t="inlineStr">
        <is>
          <t>IPCo Class A Units ($45mm)</t>
        </is>
      </c>
      <c r="D13" s="209" t="n">
        <v>45</v>
      </c>
      <c r="E13" s="243">
        <f>(D11+D12+D13)/$D$30</f>
        <v/>
      </c>
      <c r="F13" s="244" t="inlineStr">
        <is>
          <t>NA</t>
        </is>
      </c>
      <c r="G13" s="245" t="inlineStr">
        <is>
          <t>NA</t>
        </is>
      </c>
      <c r="H13" s="209" t="inlineStr">
        <is>
          <t>NA</t>
        </is>
      </c>
      <c r="I13" s="176" t="inlineStr">
        <is>
          <t>NA</t>
        </is>
      </c>
      <c r="J13" s="177" t="inlineStr">
        <is>
          <t>NA</t>
        </is>
      </c>
      <c r="K13" s="246" t="inlineStr">
        <is>
          <t>NA</t>
        </is>
      </c>
      <c r="L13" s="247" t="inlineStr">
        <is>
          <t>NA</t>
        </is>
      </c>
      <c r="M13" s="231" t="inlineStr">
        <is>
          <t>NA</t>
        </is>
      </c>
      <c r="N13" s="243">
        <f>E13</f>
        <v/>
      </c>
      <c r="O13" s="264" t="n"/>
      <c r="P13" s="264" t="n"/>
      <c r="Q13" s="264" t="n"/>
      <c r="R13" s="264" t="n"/>
      <c r="S13" s="264" t="n"/>
      <c r="T13" s="264" t="n"/>
      <c r="U13" s="264" t="n"/>
      <c r="V13" s="264" t="n"/>
      <c r="W13" s="264" t="n"/>
      <c r="X13" s="264" t="n"/>
      <c r="Y13" s="264" t="n"/>
    </row>
    <row r="14" ht="15" customHeight="1">
      <c r="B14" s="264" t="n"/>
      <c r="C14" s="148" t="inlineStr">
        <is>
          <t>1L Term Loan B ($705mm)</t>
        </is>
      </c>
      <c r="D14" s="209" t="n">
        <v>705</v>
      </c>
      <c r="E14" s="243">
        <f>(D11+D12+D13+D14)/$D$30</f>
        <v/>
      </c>
      <c r="F14" s="244" t="n">
        <v>400</v>
      </c>
      <c r="G14" s="245">
        <f>S14</f>
        <v/>
      </c>
      <c r="H14" s="209">
        <f>D14*G14</f>
        <v/>
      </c>
      <c r="I14" s="176" t="n">
        <v>47439</v>
      </c>
      <c r="J14" s="177" t="inlineStr">
        <is>
          <t>NA</t>
        </is>
      </c>
      <c r="K14" s="246" t="inlineStr">
        <is>
          <t>NA</t>
        </is>
      </c>
      <c r="L14" s="247" t="inlineStr">
        <is>
          <t>NA</t>
        </is>
      </c>
      <c r="M14" s="231" t="inlineStr">
        <is>
          <t>NA</t>
        </is>
      </c>
      <c r="N14" s="243">
        <f>E14</f>
        <v/>
      </c>
      <c r="O14" s="264" t="n"/>
      <c r="P14" s="264" t="n"/>
      <c r="Q14" s="179">
        <f>Q11</f>
        <v/>
      </c>
      <c r="R14" s="179" t="n">
        <v>0.04</v>
      </c>
      <c r="S14" s="179">
        <f>SUM(Q14:R14)</f>
        <v/>
      </c>
      <c r="T14" s="264" t="n"/>
      <c r="U14" s="264" t="n"/>
      <c r="V14" s="264" t="n"/>
      <c r="W14" s="264" t="n"/>
      <c r="X14" s="264" t="n"/>
      <c r="Y14" s="264" t="n"/>
    </row>
    <row r="15" ht="15" customHeight="1">
      <c r="B15" s="264" t="n"/>
      <c r="C15" s="148" t="inlineStr">
        <is>
          <t>1L Senior Secured Notes ($400mm)</t>
        </is>
      </c>
      <c r="D15" s="209" t="n">
        <v>400</v>
      </c>
      <c r="E15" s="243">
        <f>(D11+D12+D13+D14+D15)/$D$30</f>
        <v/>
      </c>
      <c r="F15" s="245" t="n">
        <v>0.1025</v>
      </c>
      <c r="G15" s="245">
        <f>F15</f>
        <v/>
      </c>
      <c r="H15" s="209">
        <f>D15*G15</f>
        <v/>
      </c>
      <c r="I15" s="176" t="n">
        <v>47771</v>
      </c>
      <c r="J15" s="177" t="inlineStr">
        <is>
          <t>NA / B</t>
        </is>
      </c>
      <c r="K15" s="246" t="inlineStr">
        <is>
          <t>NA</t>
        </is>
      </c>
      <c r="L15" s="247" t="inlineStr">
        <is>
          <t>NA</t>
        </is>
      </c>
      <c r="M15" s="231" t="inlineStr">
        <is>
          <t>NA</t>
        </is>
      </c>
      <c r="N15" s="243">
        <f>E15</f>
        <v/>
      </c>
      <c r="O15" s="264" t="n"/>
      <c r="P15" s="264" t="n"/>
      <c r="Q15" s="264" t="n"/>
      <c r="R15" s="264" t="n"/>
      <c r="S15" s="264" t="n"/>
      <c r="T15" s="264" t="n"/>
      <c r="U15" s="264" t="n"/>
      <c r="V15" s="264" t="n"/>
      <c r="W15" s="264" t="n"/>
      <c r="X15" s="264" t="n"/>
      <c r="Y15" s="264" t="n"/>
    </row>
    <row r="16" ht="15" customHeight="1">
      <c r="B16" s="264" t="n"/>
      <c r="C16" s="148" t="inlineStr">
        <is>
          <t>2L Senior Secured Notes ($494mm)</t>
        </is>
      </c>
      <c r="D16" s="209" t="n">
        <v>494</v>
      </c>
      <c r="E16" s="243">
        <f>(D11+D12+D13+D14+D15+D16)/$D$30</f>
        <v/>
      </c>
      <c r="F16" s="245" t="n">
        <v>0.135</v>
      </c>
      <c r="G16" s="245">
        <f>F16</f>
        <v/>
      </c>
      <c r="H16" s="209">
        <f>D16*G16</f>
        <v/>
      </c>
      <c r="I16" s="176" t="n">
        <v>47953</v>
      </c>
      <c r="J16" s="177" t="inlineStr">
        <is>
          <t>NA / CCC+</t>
        </is>
      </c>
      <c r="K16" s="246" t="inlineStr">
        <is>
          <t>NA</t>
        </is>
      </c>
      <c r="L16" s="247" t="inlineStr">
        <is>
          <t>NA</t>
        </is>
      </c>
      <c r="M16" s="231" t="inlineStr">
        <is>
          <t>NA</t>
        </is>
      </c>
      <c r="N16" s="243">
        <f>E16</f>
        <v/>
      </c>
      <c r="O16" s="264" t="n"/>
      <c r="P16" s="264" t="n"/>
      <c r="Q16" s="264" t="n"/>
      <c r="R16" s="264" t="n"/>
      <c r="S16" s="264" t="n"/>
      <c r="T16" s="264" t="n"/>
      <c r="U16" s="264" t="n"/>
      <c r="V16" s="264" t="n"/>
      <c r="W16" s="264" t="n"/>
      <c r="X16" s="264" t="n"/>
      <c r="Y16" s="264" t="n"/>
    </row>
    <row r="17" ht="15" customHeight="1" thickBot="1">
      <c r="B17" s="264" t="n"/>
      <c r="C17" s="149" t="inlineStr">
        <is>
          <t>Total Secured Debt</t>
        </is>
      </c>
      <c r="D17" s="248">
        <f>SUM(D11:D16)</f>
        <v/>
      </c>
      <c r="E17" s="249">
        <f>D17/$D$30</f>
        <v/>
      </c>
      <c r="F17" s="184" t="n"/>
      <c r="G17" s="184" t="n"/>
      <c r="H17" s="248">
        <f>SUM(H11:H16)</f>
        <v/>
      </c>
      <c r="I17" s="184" t="n"/>
      <c r="J17" s="199" t="n"/>
      <c r="K17" s="250" t="n"/>
      <c r="L17" s="185" t="n"/>
      <c r="M17" s="189" t="n"/>
      <c r="N17" s="251">
        <f>D17/$D$30</f>
        <v/>
      </c>
      <c r="O17" s="264" t="n"/>
      <c r="P17" s="264" t="n"/>
      <c r="Q17" s="264" t="n"/>
      <c r="R17" s="264" t="n"/>
      <c r="S17" s="264" t="n"/>
      <c r="T17" s="264" t="n"/>
      <c r="U17" s="264" t="n"/>
      <c r="V17" s="264" t="n"/>
      <c r="W17" s="264" t="n"/>
      <c r="X17" s="264" t="n"/>
      <c r="Y17" s="264" t="n"/>
    </row>
    <row r="18" ht="15" customHeight="1" thickBot="1">
      <c r="B18" s="264" t="n"/>
      <c r="C18" s="148" t="inlineStr">
        <is>
          <t>Senior Unsecured Notes due 2028 ($556mm)</t>
        </is>
      </c>
      <c r="D18" s="209" t="n">
        <v>556</v>
      </c>
      <c r="E18" s="243">
        <f>(D11+D12+D13+D14+D15+D16+D18)/$D$30</f>
        <v/>
      </c>
      <c r="F18" s="245" t="n">
        <v>0.055</v>
      </c>
      <c r="G18" s="245">
        <f>F18</f>
        <v/>
      </c>
      <c r="H18" s="209">
        <f>D18*G18</f>
        <v/>
      </c>
      <c r="I18" s="176" t="n">
        <v>46980</v>
      </c>
      <c r="J18" s="177" t="inlineStr">
        <is>
          <t>NA</t>
        </is>
      </c>
      <c r="K18" s="246" t="n">
        <v>58.6</v>
      </c>
      <c r="L18" s="247" t="inlineStr">
        <is>
          <t>NA</t>
        </is>
      </c>
      <c r="M18" s="231">
        <f>D18*K18/100</f>
        <v/>
      </c>
      <c r="N18" s="243">
        <f>E18</f>
        <v/>
      </c>
      <c r="O18" s="264" t="n"/>
      <c r="P18" s="264" t="n"/>
      <c r="Q18" s="264" t="n"/>
      <c r="R18" s="264" t="n"/>
      <c r="S18" s="264" t="n"/>
      <c r="T18" s="264" t="n"/>
      <c r="U18" s="264" t="n"/>
      <c r="V18" s="264" t="n"/>
      <c r="W18" s="264" t="n"/>
      <c r="X18" s="264" t="n"/>
      <c r="Y18" s="264" t="n"/>
    </row>
    <row r="19" ht="15" customHeight="1">
      <c r="B19" s="264" t="n"/>
      <c r="C19" s="148" t="inlineStr">
        <is>
          <t>Senior Unsecured Notes due 2029 ($500mm)</t>
        </is>
      </c>
      <c r="D19" s="209" t="n">
        <v>500</v>
      </c>
      <c r="E19" s="243">
        <f>(D11+D12+D13+D14+D15+D16+D18+D19)/$D$30</f>
        <v/>
      </c>
      <c r="F19" s="245" t="n">
        <v>0.08875</v>
      </c>
      <c r="G19" s="245">
        <f>F19</f>
        <v/>
      </c>
      <c r="H19" s="209">
        <f>D19*G19</f>
        <v/>
      </c>
      <c r="I19" s="176" t="n">
        <v>47452</v>
      </c>
      <c r="J19" s="177" t="inlineStr">
        <is>
          <t>NA / CCC</t>
        </is>
      </c>
      <c r="K19" s="246" t="n">
        <v>40.9</v>
      </c>
      <c r="L19" s="247" t="inlineStr">
        <is>
          <t>NA</t>
        </is>
      </c>
      <c r="M19" s="231">
        <f>D19*K19/100</f>
        <v/>
      </c>
      <c r="N19" s="243">
        <f>E19</f>
        <v/>
      </c>
      <c r="O19" s="264" t="n"/>
      <c r="P19" s="264" t="n"/>
      <c r="Q19" s="264" t="n"/>
      <c r="R19" s="264" t="n"/>
      <c r="S19" s="264" t="n"/>
      <c r="T19" s="264" t="n"/>
      <c r="U19" s="264" t="n"/>
      <c r="V19" s="264" t="n"/>
      <c r="W19" s="264" t="n"/>
      <c r="X19" s="264" t="n"/>
      <c r="Y19" s="264" t="n"/>
    </row>
    <row r="20" ht="15" customHeight="1">
      <c r="B20" s="264" t="n"/>
      <c r="C20" s="148" t="inlineStr">
        <is>
          <t>Convertible Senior Notes 2030 ($400mm)</t>
        </is>
      </c>
      <c r="D20" s="209" t="n">
        <v>400</v>
      </c>
      <c r="E20" s="243">
        <f>(D11+D12+D13+D14+D15+D16+D18+D19+D20)/$D$30</f>
        <v/>
      </c>
      <c r="F20" s="245" t="n">
        <v>0.0375</v>
      </c>
      <c r="G20" s="245">
        <f>F20</f>
        <v/>
      </c>
      <c r="H20" s="209">
        <f>D20*G20</f>
        <v/>
      </c>
      <c r="I20" s="176" t="n">
        <v>47557</v>
      </c>
      <c r="J20" s="177" t="inlineStr">
        <is>
          <t>NA / CCC</t>
        </is>
      </c>
      <c r="K20" s="246" t="inlineStr">
        <is>
          <t>NA</t>
        </is>
      </c>
      <c r="L20" s="247" t="inlineStr">
        <is>
          <t>NA</t>
        </is>
      </c>
      <c r="M20" s="231" t="inlineStr">
        <is>
          <t>NA</t>
        </is>
      </c>
      <c r="N20" s="243">
        <f>E20</f>
        <v/>
      </c>
      <c r="O20" s="264" t="n"/>
      <c r="P20" s="264" t="n"/>
      <c r="Q20" s="264" t="n"/>
      <c r="R20" s="264" t="n"/>
      <c r="S20" s="264" t="n"/>
      <c r="T20" s="264" t="n"/>
      <c r="U20" s="264" t="n"/>
      <c r="V20" s="264" t="n"/>
      <c r="W20" s="264" t="n"/>
      <c r="X20" s="264" t="n"/>
      <c r="Y20" s="264" t="n"/>
    </row>
    <row r="21" ht="15" customHeight="1">
      <c r="B21" s="264" t="n"/>
      <c r="C21" s="148" t="inlineStr">
        <is>
          <t>Step-Up Senior Notes due 2030 ($250mm)</t>
        </is>
      </c>
      <c r="D21" s="209" t="n">
        <v>250</v>
      </c>
      <c r="E21" s="243">
        <f>(D11+D12+D13+D14+D15+D16+D18+D19+D20+D21)/$D$30</f>
        <v/>
      </c>
      <c r="F21" s="245" t="n">
        <v>0.135</v>
      </c>
      <c r="G21" s="245">
        <f>F21</f>
        <v/>
      </c>
      <c r="H21" s="209">
        <f>D21*G21</f>
        <v/>
      </c>
      <c r="I21" s="176" t="n">
        <v>47665</v>
      </c>
      <c r="J21" s="177" t="inlineStr">
        <is>
          <t>Caa3 / NA</t>
        </is>
      </c>
      <c r="K21" s="246" t="inlineStr">
        <is>
          <t>NA</t>
        </is>
      </c>
      <c r="L21" s="247" t="inlineStr">
        <is>
          <t>NA</t>
        </is>
      </c>
      <c r="M21" s="231" t="inlineStr">
        <is>
          <t>NA</t>
        </is>
      </c>
      <c r="N21" s="243">
        <f>E21</f>
        <v/>
      </c>
      <c r="O21" s="264" t="n"/>
      <c r="P21" s="264" t="n"/>
      <c r="Q21" s="264" t="n"/>
      <c r="R21" s="264" t="n"/>
      <c r="S21" s="264" t="n"/>
      <c r="T21" s="264" t="n"/>
      <c r="U21" s="264" t="n"/>
      <c r="V21" s="264" t="n"/>
      <c r="W21" s="264" t="n"/>
      <c r="X21" s="264" t="n"/>
      <c r="Y21" s="264" t="n"/>
    </row>
    <row r="22" ht="15" customHeight="1">
      <c r="B22" s="264" t="n"/>
      <c r="C22" s="148" t="inlineStr">
        <is>
          <t>Xerox Corp. Senior Notes 2035 ($250mm)</t>
        </is>
      </c>
      <c r="D22" s="209" t="n">
        <v>250</v>
      </c>
      <c r="E22" s="243">
        <f>(D11+D12+D13+D14+D15+D16+D18+D19+D20+D21+D22)/$D$30</f>
        <v/>
      </c>
      <c r="F22" s="245" t="n">
        <v>0.048</v>
      </c>
      <c r="G22" s="245">
        <f>F22</f>
        <v/>
      </c>
      <c r="H22" s="209">
        <f>D22*G22</f>
        <v/>
      </c>
      <c r="I22" s="176" t="n">
        <v>49369</v>
      </c>
      <c r="J22" s="177" t="inlineStr">
        <is>
          <t>NA / CCC</t>
        </is>
      </c>
      <c r="K22" s="246" t="inlineStr">
        <is>
          <t>NA</t>
        </is>
      </c>
      <c r="L22" s="247" t="inlineStr">
        <is>
          <t>NA</t>
        </is>
      </c>
      <c r="M22" s="231" t="inlineStr">
        <is>
          <t>NA</t>
        </is>
      </c>
      <c r="N22" s="243">
        <f>E22</f>
        <v/>
      </c>
      <c r="O22" s="264" t="n"/>
      <c r="P22" s="264" t="n"/>
      <c r="Q22" s="264" t="n"/>
      <c r="R22" s="264" t="n"/>
      <c r="S22" s="264" t="n"/>
      <c r="T22" s="264" t="n"/>
      <c r="U22" s="264" t="n"/>
      <c r="V22" s="264" t="n"/>
      <c r="W22" s="264" t="n"/>
      <c r="X22" s="264" t="n"/>
      <c r="Y22" s="264" t="n"/>
    </row>
    <row r="23" ht="15" customHeight="1">
      <c r="B23" s="264" t="n"/>
      <c r="C23" s="148" t="inlineStr">
        <is>
          <t>Xerox Corp. Senior Notes 2039 ($350mm)</t>
        </is>
      </c>
      <c r="D23" s="209" t="n">
        <v>350</v>
      </c>
      <c r="E23" s="243">
        <f>(D11+D12+D13+D14+D15+D16+D18+D19+D20+D21+D22+D23)/$D$30</f>
        <v/>
      </c>
      <c r="F23" s="245" t="n">
        <v>0.0675</v>
      </c>
      <c r="G23" s="245">
        <f>F23</f>
        <v/>
      </c>
      <c r="H23" s="209">
        <f>D23*G23</f>
        <v/>
      </c>
      <c r="I23" s="176" t="n">
        <v>51119</v>
      </c>
      <c r="J23" s="177" t="inlineStr">
        <is>
          <t>NA / CCC</t>
        </is>
      </c>
      <c r="K23" s="246" t="inlineStr">
        <is>
          <t>NA</t>
        </is>
      </c>
      <c r="L23" s="247" t="inlineStr">
        <is>
          <t>NA</t>
        </is>
      </c>
      <c r="M23" s="231" t="inlineStr">
        <is>
          <t>NA</t>
        </is>
      </c>
      <c r="N23" s="243">
        <f>E23</f>
        <v/>
      </c>
      <c r="O23" s="264" t="n"/>
      <c r="P23" s="264" t="n"/>
      <c r="Q23" s="264" t="n"/>
      <c r="R23" s="264" t="n"/>
      <c r="S23" s="264" t="n"/>
      <c r="T23" s="264" t="n"/>
      <c r="U23" s="264" t="n"/>
      <c r="V23" s="264" t="n"/>
      <c r="W23" s="264" t="n"/>
      <c r="X23" s="264" t="n"/>
      <c r="Y23" s="264" t="n"/>
    </row>
    <row r="24" ht="15" customHeight="1">
      <c r="B24" s="264" t="n"/>
      <c r="C24" s="149" t="inlineStr">
        <is>
          <t>Total Debt</t>
        </is>
      </c>
      <c r="D24" s="248">
        <f>SUM(D17:D23)</f>
        <v/>
      </c>
      <c r="E24" s="249">
        <f>D24/$D$30</f>
        <v/>
      </c>
      <c r="F24" s="184" t="n"/>
      <c r="G24" s="184" t="n"/>
      <c r="H24" s="248">
        <f>SUM(H17:H23)</f>
        <v/>
      </c>
      <c r="I24" s="184" t="n"/>
      <c r="J24" s="199" t="n"/>
      <c r="K24" s="250" t="n"/>
      <c r="L24" s="185" t="n"/>
      <c r="M24" s="189" t="n"/>
      <c r="N24" s="251">
        <f>D24/$D$30</f>
        <v/>
      </c>
      <c r="O24" s="264" t="n"/>
      <c r="P24" s="264" t="n"/>
      <c r="Q24" s="264" t="n"/>
      <c r="R24" s="264" t="n"/>
      <c r="S24" s="264" t="n"/>
      <c r="T24" s="264" t="n"/>
      <c r="U24" s="264" t="n"/>
      <c r="V24" s="264" t="n"/>
      <c r="W24" s="264" t="n"/>
      <c r="X24" s="264" t="n"/>
      <c r="Y24" s="264" t="n"/>
    </row>
    <row r="25" ht="15" customHeight="1">
      <c r="B25" s="264" t="n"/>
      <c r="C25" s="148" t="inlineStr">
        <is>
          <t>Less: Cash &amp; Cash Equivalents</t>
        </is>
      </c>
      <c r="D25" s="210" t="n">
        <v>-495</v>
      </c>
      <c r="E25" s="254">
        <f>D25/$D$30</f>
        <v/>
      </c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  <c r="P25" s="264" t="n"/>
      <c r="Q25" s="264" t="n"/>
      <c r="R25" s="264" t="n"/>
      <c r="S25" s="264" t="n"/>
      <c r="T25" s="264" t="n"/>
      <c r="U25" s="264" t="n"/>
      <c r="V25" s="264" t="n"/>
      <c r="W25" s="264" t="n"/>
      <c r="X25" s="264" t="n"/>
      <c r="Y25" s="264" t="n"/>
    </row>
    <row r="26" ht="15" customHeight="1">
      <c r="B26" s="264" t="n"/>
      <c r="C26" s="150" t="inlineStr">
        <is>
          <t>Net Debt</t>
        </is>
      </c>
      <c r="D26" s="212">
        <f>SUM(D24:D25)</f>
        <v/>
      </c>
      <c r="E26" s="256">
        <f>D26/$D$30</f>
        <v/>
      </c>
      <c r="F26" s="182" t="n"/>
      <c r="G26" s="182" t="n"/>
      <c r="H26" s="257">
        <f>SUM(H24:H25)</f>
        <v/>
      </c>
      <c r="I26" s="182" t="n"/>
      <c r="J26" s="194" t="n"/>
      <c r="K26" s="194" t="n"/>
      <c r="L26" s="183" t="n"/>
      <c r="M26" s="182" t="n"/>
      <c r="N26" s="258">
        <f>D26/$D$30</f>
        <v/>
      </c>
      <c r="O26" s="264" t="n"/>
      <c r="P26" s="264" t="n"/>
      <c r="Q26" s="264" t="n"/>
      <c r="R26" s="264" t="n"/>
      <c r="S26" s="264" t="n"/>
      <c r="T26" s="264" t="n"/>
      <c r="U26" s="264" t="n"/>
      <c r="V26" s="264" t="n"/>
      <c r="W26" s="264" t="n"/>
      <c r="X26" s="264" t="n"/>
      <c r="Y26" s="264" t="n"/>
    </row>
    <row r="27" ht="15" customHeight="1">
      <c r="B27" s="264" t="n"/>
      <c r="C27" s="148" t="inlineStr">
        <is>
          <t>Series A Conv. Preferred ($180mm)</t>
        </is>
      </c>
      <c r="D27" s="209" t="n">
        <v>180</v>
      </c>
      <c r="E27" s="243">
        <f>(D11+D12+D13+D14+D15+D16+D18+D19+D20+D21+D22+D23+D27)/$D$30</f>
        <v/>
      </c>
      <c r="F27" s="245" t="n">
        <v>0.08</v>
      </c>
      <c r="G27" s="245">
        <f>F27</f>
        <v/>
      </c>
      <c r="H27" s="209">
        <f>D27*G27</f>
        <v/>
      </c>
      <c r="I27" s="176" t="inlineStr">
        <is>
          <t>NA</t>
        </is>
      </c>
      <c r="J27" s="177" t="inlineStr">
        <is>
          <t>NA</t>
        </is>
      </c>
      <c r="K27" s="246" t="inlineStr">
        <is>
          <t>NA</t>
        </is>
      </c>
      <c r="L27" s="247" t="inlineStr">
        <is>
          <t>NA</t>
        </is>
      </c>
      <c r="M27" s="231" t="inlineStr">
        <is>
          <t>NA</t>
        </is>
      </c>
      <c r="N27" s="243">
        <f>E27</f>
        <v/>
      </c>
      <c r="O27" s="264" t="n"/>
      <c r="P27" s="264" t="n"/>
      <c r="Q27" s="264" t="n"/>
      <c r="R27" s="264" t="n"/>
      <c r="S27" s="264" t="n"/>
      <c r="T27" s="264" t="n"/>
      <c r="U27" s="264" t="n"/>
      <c r="V27" s="264" t="n"/>
      <c r="W27" s="264" t="n"/>
      <c r="X27" s="264" t="n"/>
      <c r="Y27" s="264" t="n"/>
    </row>
    <row r="28" ht="15" customHeight="1">
      <c r="B28" s="264" t="n"/>
      <c r="C28" s="149" t="inlineStr">
        <is>
          <t>Net Debt &amp; Preferred Equity</t>
        </is>
      </c>
      <c r="D28" s="248">
        <f>SUM(D26:D27)</f>
        <v/>
      </c>
      <c r="E28" s="249">
        <f>D28/$D$30</f>
        <v/>
      </c>
      <c r="F28" s="184" t="n"/>
      <c r="G28" s="184" t="n"/>
      <c r="H28" s="248">
        <f>SUM(H26:H27)</f>
        <v/>
      </c>
      <c r="I28" s="184" t="n"/>
      <c r="J28" s="199" t="n"/>
      <c r="K28" s="250" t="n"/>
      <c r="L28" s="185" t="n"/>
      <c r="M28" s="189" t="n"/>
      <c r="N28" s="251">
        <f>D28/$D$30</f>
        <v/>
      </c>
      <c r="O28" s="264" t="n"/>
      <c r="P28" s="264" t="n"/>
      <c r="Q28" s="264" t="n"/>
      <c r="R28" s="264" t="n"/>
      <c r="S28" s="264" t="n"/>
      <c r="T28" s="264" t="n"/>
      <c r="U28" s="264" t="n"/>
      <c r="V28" s="264" t="n"/>
      <c r="W28" s="264" t="n"/>
      <c r="X28" s="264" t="n"/>
      <c r="Y28" s="264" t="n"/>
    </row>
    <row r="29" ht="6" customHeight="1">
      <c r="B29" s="264" t="n"/>
      <c r="C29" s="264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  <c r="P29" s="264" t="n"/>
      <c r="Q29" s="264" t="n"/>
      <c r="R29" s="264" t="n"/>
      <c r="S29" s="264" t="n"/>
      <c r="T29" s="264" t="n"/>
      <c r="U29" s="264" t="n"/>
      <c r="V29" s="264" t="n"/>
      <c r="W29" s="264" t="n"/>
      <c r="X29" s="264" t="n"/>
      <c r="Y29" s="264" t="n"/>
    </row>
    <row r="30" ht="15" customHeight="1">
      <c r="B30" s="264" t="n"/>
      <c r="C30" s="200" t="inlineStr">
        <is>
          <t>Memo: LTM 2Q'26 Adj. EBITDA</t>
        </is>
      </c>
      <c r="D30" s="260" t="n">
        <v>719</v>
      </c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  <c r="P30" s="264" t="n"/>
      <c r="Q30" s="264" t="n"/>
      <c r="R30" s="264" t="n"/>
      <c r="S30" s="264" t="n"/>
      <c r="T30" s="264" t="n"/>
      <c r="U30" s="264" t="n"/>
      <c r="V30" s="264" t="n"/>
      <c r="W30" s="264" t="n"/>
      <c r="X30" s="264" t="n"/>
      <c r="Y30" s="264" t="n"/>
    </row>
    <row r="31" ht="15" customHeight="1">
      <c r="B31" s="264" t="n"/>
      <c r="C31" s="264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  <c r="P31" s="264" t="n"/>
      <c r="Q31" s="264" t="n"/>
      <c r="R31" s="264" t="n"/>
      <c r="S31" s="264" t="n"/>
      <c r="T31" s="264" t="n"/>
      <c r="U31" s="264" t="n"/>
      <c r="V31" s="264" t="n"/>
      <c r="W31" s="264" t="n"/>
      <c r="X31" s="264" t="n"/>
      <c r="Y31" s="264" t="n"/>
    </row>
    <row r="32" ht="15" customHeight="1">
      <c r="B32" s="264" t="n"/>
      <c r="C32" s="7" t="inlineStr">
        <is>
          <t>ABL Commitments</t>
        </is>
      </c>
      <c r="D32" s="188" t="n">
        <v>425</v>
      </c>
      <c r="E32" s="264" t="n"/>
      <c r="F32" s="264" t="n"/>
      <c r="G32" s="264" t="n"/>
      <c r="H32" s="264" t="n"/>
      <c r="I32" s="264" t="n"/>
      <c r="J32" s="264" t="n"/>
      <c r="K32" s="264" t="n"/>
      <c r="L32" s="264" t="n"/>
      <c r="M32" s="264" t="n"/>
      <c r="N32" s="264" t="n"/>
      <c r="O32" s="264" t="n"/>
      <c r="P32" s="264" t="n"/>
      <c r="Q32" s="264" t="n"/>
      <c r="R32" s="264" t="n"/>
      <c r="S32" s="264" t="n"/>
      <c r="T32" s="264" t="n"/>
      <c r="U32" s="264" t="n"/>
      <c r="V32" s="264" t="n"/>
      <c r="W32" s="264" t="n"/>
      <c r="X32" s="264" t="n"/>
      <c r="Y32" s="264" t="n"/>
    </row>
    <row r="33" ht="15" customHeight="1">
      <c r="B33" s="264" t="n"/>
      <c r="C33" s="148" t="inlineStr">
        <is>
          <t>Less: Borrowing Base Limitation</t>
        </is>
      </c>
      <c r="D33" s="210" t="n">
        <v>-37</v>
      </c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  <c r="P33" s="264" t="n"/>
      <c r="Q33" s="264" t="n"/>
      <c r="R33" s="264" t="n"/>
      <c r="S33" s="264" t="n"/>
      <c r="T33" s="264" t="n"/>
      <c r="U33" s="264" t="n"/>
      <c r="V33" s="264" t="n"/>
      <c r="W33" s="264" t="n"/>
      <c r="X33" s="264" t="n"/>
      <c r="Y33" s="264" t="n"/>
    </row>
    <row r="34" ht="15" customHeight="1">
      <c r="B34" s="264" t="n"/>
      <c r="C34" s="148" t="inlineStr">
        <is>
          <t>Less: Outstanding Borrowings</t>
        </is>
      </c>
      <c r="D34" s="210">
        <f>-D11</f>
        <v/>
      </c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  <c r="P34" s="264" t="n"/>
      <c r="Q34" s="264" t="n"/>
      <c r="R34" s="264" t="n"/>
      <c r="S34" s="264" t="n"/>
      <c r="T34" s="264" t="n"/>
      <c r="U34" s="264" t="n"/>
      <c r="V34" s="264" t="n"/>
      <c r="W34" s="264" t="n"/>
      <c r="X34" s="264" t="n"/>
      <c r="Y34" s="264" t="n"/>
    </row>
    <row r="35" ht="15" customHeight="1">
      <c r="B35" s="264" t="n"/>
      <c r="C35" s="148" t="inlineStr">
        <is>
          <t>Less: Letters of Credit</t>
        </is>
      </c>
      <c r="D35" s="210" t="n">
        <v>-112</v>
      </c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  <c r="P35" s="264" t="n"/>
      <c r="Q35" s="264" t="n"/>
      <c r="R35" s="264" t="n"/>
      <c r="S35" s="264" t="n"/>
      <c r="T35" s="264" t="n"/>
      <c r="U35" s="264" t="n"/>
      <c r="V35" s="264" t="n"/>
      <c r="W35" s="264" t="n"/>
      <c r="X35" s="264" t="n"/>
      <c r="Y35" s="264" t="n"/>
    </row>
    <row r="36" ht="15" customHeight="1">
      <c r="B36" s="264" t="n"/>
      <c r="C36" s="149" t="inlineStr">
        <is>
          <t>ABL Availability</t>
        </is>
      </c>
      <c r="D36" s="226">
        <f>SUM(D32:D35)</f>
        <v/>
      </c>
      <c r="E36" s="264" t="n"/>
      <c r="F36" s="264" t="n"/>
      <c r="G36" s="264" t="n"/>
      <c r="H36" s="264" t="n"/>
      <c r="I36" s="264" t="n"/>
      <c r="J36" s="264" t="n"/>
      <c r="K36" s="264" t="n"/>
      <c r="L36" s="264" t="n"/>
      <c r="M36" s="264" t="n"/>
      <c r="N36" s="264" t="n"/>
      <c r="O36" s="264" t="n"/>
      <c r="P36" s="264" t="n"/>
      <c r="Q36" s="264" t="n"/>
      <c r="R36" s="264" t="n"/>
      <c r="S36" s="264" t="n"/>
      <c r="T36" s="264" t="n"/>
      <c r="U36" s="264" t="n"/>
      <c r="V36" s="264" t="n"/>
      <c r="W36" s="264" t="n"/>
      <c r="X36" s="264" t="n"/>
      <c r="Y36" s="264" t="n"/>
    </row>
    <row r="37" ht="15" customHeight="1">
      <c r="B37" s="264" t="n"/>
      <c r="C37" s="148" t="inlineStr">
        <is>
          <t>Plus: Cash and Equivalents</t>
        </is>
      </c>
      <c r="D37" s="210">
        <f>-D25</f>
        <v/>
      </c>
      <c r="E37" s="264" t="n"/>
      <c r="F37" s="264" t="n"/>
      <c r="G37" s="264" t="n"/>
      <c r="H37" s="264" t="n"/>
      <c r="I37" s="264" t="n"/>
      <c r="J37" s="264" t="n"/>
      <c r="K37" s="264" t="n"/>
      <c r="L37" s="264" t="n"/>
      <c r="M37" s="264" t="n"/>
      <c r="N37" s="264" t="n"/>
      <c r="O37" s="264" t="n"/>
      <c r="P37" s="264" t="n"/>
      <c r="Q37" s="264" t="n"/>
      <c r="R37" s="264" t="n"/>
      <c r="S37" s="264" t="n"/>
      <c r="T37" s="264" t="n"/>
      <c r="U37" s="264" t="n"/>
      <c r="V37" s="264" t="n"/>
      <c r="W37" s="264" t="n"/>
      <c r="X37" s="264" t="n"/>
      <c r="Y37" s="264" t="n"/>
    </row>
    <row r="38" ht="15" customHeight="1">
      <c r="B38" s="264" t="n"/>
      <c r="C38" s="175" t="inlineStr">
        <is>
          <t>Total Liquidity</t>
        </is>
      </c>
      <c r="D38" s="227">
        <f>SUM(D36:D37)</f>
        <v/>
      </c>
      <c r="E38" s="264" t="n"/>
      <c r="F38" s="264" t="n"/>
      <c r="G38" s="264" t="n"/>
      <c r="H38" s="264" t="n"/>
      <c r="I38" s="264" t="n"/>
      <c r="J38" s="264" t="n"/>
      <c r="K38" s="264" t="n"/>
      <c r="L38" s="264" t="n"/>
      <c r="M38" s="264" t="n"/>
      <c r="N38" s="264" t="n"/>
      <c r="O38" s="264" t="n"/>
      <c r="P38" s="264" t="n"/>
      <c r="Q38" s="264" t="n"/>
      <c r="R38" s="264" t="n"/>
      <c r="S38" s="264" t="n"/>
      <c r="T38" s="264" t="n"/>
      <c r="U38" s="264" t="n"/>
      <c r="V38" s="264" t="n"/>
      <c r="W38" s="264" t="n"/>
      <c r="X38" s="264" t="n"/>
      <c r="Y38" s="264" t="n"/>
    </row>
    <row r="39" ht="15" customHeight="1">
      <c r="B39" s="264" t="n"/>
      <c r="C39" s="264" t="n"/>
      <c r="D39" s="264" t="n"/>
      <c r="E39" s="264" t="n"/>
      <c r="F39" s="264" t="n"/>
      <c r="G39" s="264" t="n"/>
      <c r="H39" s="264" t="n"/>
      <c r="I39" s="264" t="n"/>
      <c r="J39" s="264" t="n"/>
      <c r="K39" s="264" t="n"/>
      <c r="L39" s="264" t="n"/>
      <c r="M39" s="264" t="n"/>
      <c r="N39" s="264" t="n"/>
      <c r="O39" s="264" t="n"/>
      <c r="P39" s="264" t="n"/>
      <c r="Q39" s="264" t="n"/>
      <c r="R39" s="264" t="n"/>
      <c r="S39" s="264" t="n"/>
      <c r="T39" s="264" t="n"/>
      <c r="U39" s="264" t="n"/>
      <c r="V39" s="264" t="n"/>
      <c r="W39" s="264" t="n"/>
      <c r="X39" s="264" t="n"/>
      <c r="Y39" s="264" t="n"/>
    </row>
    <row r="40" ht="15" customHeight="1">
      <c r="B40" s="264" t="n"/>
      <c r="C40" s="10" t="inlineStr">
        <is>
          <t>Source: 2Q'26 10-Q (filed 6-Aug-26) and 2Q'26 earnings deck. Principal shown; B/S carrying value $4,223m (net of ~$134m OID/fees). Excl. $90m tariff-monetization liability.</t>
        </is>
      </c>
      <c r="D40" s="264" t="n"/>
      <c r="E40" s="264" t="n"/>
      <c r="F40" s="264" t="n"/>
      <c r="G40" s="264" t="n"/>
      <c r="H40" s="264" t="n"/>
      <c r="I40" s="264" t="n"/>
      <c r="J40" s="264" t="n"/>
      <c r="K40" s="264" t="n"/>
      <c r="L40" s="264" t="n"/>
      <c r="M40" s="264" t="n"/>
      <c r="N40" s="264" t="n"/>
      <c r="O40" s="264" t="n"/>
      <c r="P40" s="264" t="n"/>
      <c r="Q40" s="264" t="n"/>
      <c r="R40" s="264" t="n"/>
      <c r="S40" s="264" t="n"/>
      <c r="T40" s="264" t="n"/>
      <c r="U40" s="264" t="n"/>
      <c r="V40" s="264" t="n"/>
      <c r="W40" s="264" t="n"/>
      <c r="X40" s="264" t="n"/>
      <c r="Y40" s="264" t="n"/>
    </row>
    <row r="41" ht="15" customHeight="1">
      <c r="B41" s="264" t="n"/>
      <c r="C41" s="10" t="inlineStr">
        <is>
          <t>Tie-out: 1Q'26 principal $4,581m less 2Q'26 activity ($125m 2026 notes repaid; $93m 2028s and $6m 2Ls repurchased) = ~$4,357m vs. $4,355m shown.</t>
        </is>
      </c>
      <c r="D41" s="264" t="n"/>
      <c r="E41" s="264" t="n"/>
      <c r="F41" s="264" t="n"/>
      <c r="G41" s="264" t="n"/>
      <c r="H41" s="264" t="n"/>
      <c r="I41" s="264" t="n"/>
      <c r="J41" s="264" t="n"/>
      <c r="K41" s="264" t="n"/>
      <c r="L41" s="264" t="n"/>
      <c r="M41" s="264" t="n"/>
      <c r="N41" s="264" t="n"/>
      <c r="O41" s="264" t="n"/>
      <c r="P41" s="264" t="n"/>
      <c r="Q41" s="264" t="n"/>
      <c r="R41" s="264" t="n"/>
      <c r="S41" s="264" t="n"/>
      <c r="T41" s="264" t="n"/>
      <c r="U41" s="264" t="n"/>
      <c r="V41" s="264" t="n"/>
      <c r="W41" s="264" t="n"/>
      <c r="X41" s="264" t="n"/>
      <c r="Y41" s="264" t="n"/>
    </row>
    <row r="42" ht="15" customHeight="1">
      <c r="B42" s="264" t="n"/>
      <c r="C42" s="10" t="inlineStr">
        <is>
          <t>IPCo JV (Feb-26, TPG): $405m TL + $45m Class A Units at XRX Brandco Holdings, secured by contributed IP; company treats both as debt. Units have no stated rate / maturity.</t>
        </is>
      </c>
      <c r="D42" s="264" t="n"/>
      <c r="E42" s="264" t="n"/>
      <c r="F42" s="264" t="n"/>
      <c r="G42" s="264" t="n"/>
      <c r="H42" s="264" t="n"/>
      <c r="I42" s="264" t="n"/>
      <c r="J42" s="264" t="n"/>
      <c r="K42" s="264" t="n"/>
      <c r="L42" s="264" t="n"/>
      <c r="M42" s="264" t="n"/>
      <c r="N42" s="264" t="n"/>
      <c r="O42" s="264" t="n"/>
      <c r="P42" s="264" t="n"/>
      <c r="Q42" s="264" t="n"/>
      <c r="R42" s="264" t="n"/>
      <c r="S42" s="264" t="n"/>
      <c r="T42" s="264" t="n"/>
      <c r="U42" s="264" t="n"/>
      <c r="V42" s="264" t="n"/>
      <c r="W42" s="264" t="n"/>
      <c r="X42" s="264" t="n"/>
      <c r="Y42" s="264" t="n"/>
    </row>
    <row r="43" ht="15" customHeight="1">
      <c r="B43" s="264" t="n"/>
      <c r="C43" s="10" t="inlineStr">
        <is>
          <t>~$1.3bn of debt funds the finance-receivables book; core debt ~$2.9bn. Mgmt gross / net leverage 5.9x / 5.1x (carrying value).</t>
        </is>
      </c>
      <c r="D43" s="264" t="n"/>
      <c r="E43" s="264" t="n"/>
      <c r="F43" s="264" t="n"/>
      <c r="G43" s="264" t="n"/>
      <c r="H43" s="264" t="n"/>
      <c r="I43" s="264" t="n"/>
      <c r="J43" s="264" t="n"/>
      <c r="K43" s="264" t="n"/>
      <c r="L43" s="264" t="n"/>
      <c r="M43" s="264" t="n"/>
      <c r="N43" s="264" t="n"/>
      <c r="O43" s="264" t="n"/>
      <c r="P43" s="264" t="n"/>
      <c r="Q43" s="264" t="n"/>
      <c r="R43" s="264" t="n"/>
      <c r="S43" s="264" t="n"/>
      <c r="T43" s="264" t="n"/>
      <c r="U43" s="264" t="n"/>
      <c r="V43" s="264" t="n"/>
      <c r="W43" s="264" t="n"/>
      <c r="X43" s="264" t="n"/>
      <c r="Y43" s="264" t="n"/>
    </row>
    <row r="44" ht="15" customHeight="1">
      <c r="B44" s="264" t="n"/>
      <c r="C44" s="10" t="inlineStr">
        <is>
          <t>LTM Adj. EBITDA includes a $105m IEEPA tariff-refund benefit; excl. it EBITDA is $614m (~7.1x gross leverage on principal).</t>
        </is>
      </c>
      <c r="D44" s="264" t="n"/>
      <c r="E44" s="264" t="n"/>
      <c r="F44" s="264" t="n"/>
      <c r="G44" s="264" t="n"/>
      <c r="H44" s="264" t="n"/>
      <c r="I44" s="264" t="n"/>
      <c r="J44" s="264" t="n"/>
      <c r="K44" s="264" t="n"/>
      <c r="L44" s="264" t="n"/>
      <c r="M44" s="264" t="n"/>
      <c r="N44" s="264" t="n"/>
      <c r="O44" s="264" t="n"/>
      <c r="P44" s="264" t="n"/>
      <c r="Q44" s="264" t="n"/>
      <c r="R44" s="264" t="n"/>
      <c r="S44" s="264" t="n"/>
      <c r="T44" s="264" t="n"/>
      <c r="U44" s="264" t="n"/>
      <c r="V44" s="264" t="n"/>
      <c r="W44" s="264" t="n"/>
      <c r="X44" s="264" t="n"/>
      <c r="Y44" s="264" t="n"/>
    </row>
    <row r="45" ht="15" customHeight="1">
      <c r="B45" s="264" t="n"/>
      <c r="C45" s="10" t="inlineStr">
        <is>
          <t>Ratings: Moody's CFR Caa2 / neg. (Mar-26); S&amp;P CCC+ / neg. (16-Jun-26, restored from SD after the below-par 2028 note buyback). Issue ratings Moody's / S&amp;P.</t>
        </is>
      </c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  <c r="Y45" s="264" t="n"/>
    </row>
    <row r="46" ht="15" customHeight="1">
      <c r="B46" s="264" t="n"/>
      <c r="C46" s="10" t="inlineStr">
        <is>
          <t>Feb-26 warrants ($8.00 strike, exp. Feb-28) can be exercised by tendering designated notes at par; uptake to date minimal.</t>
        </is>
      </c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  <c r="Y46" s="264" t="n"/>
    </row>
    <row r="47" ht="15" customHeight="1">
      <c r="B47" s="264" t="n"/>
      <c r="C47" s="10" t="inlineStr">
        <is>
          <t>Prices: indicative TRACE-based quotes, early Oct-26 (not Bloomberg/Octus). SOFR 3.87% (13-Oct-26). XRX equity ~$3.06 (30-Aug-26).</t>
        </is>
      </c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  <c r="Y47" s="264" t="n"/>
    </row>
    <row r="48" ht="15" customHeight="1">
      <c r="B48" s="264" t="n"/>
      <c r="C48" s="264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  <c r="Y48" s="264" t="n"/>
    </row>
    <row r="49" ht="15" customHeight="1">
      <c r="B49" s="264" t="n"/>
      <c r="C49" s="264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  <c r="Y49" s="264" t="n"/>
    </row>
    <row r="50" ht="15" customHeight="1">
      <c r="B50" s="264" t="n"/>
      <c r="C50" s="264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  <c r="Y50" s="264" t="n"/>
    </row>
    <row r="51" ht="15" customHeight="1">
      <c r="B51" s="264" t="n"/>
      <c r="C51" s="264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  <c r="Y51" s="264" t="n"/>
    </row>
    <row r="52" ht="15" customHeight="1">
      <c r="B52" s="264" t="n"/>
      <c r="C52" s="264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  <c r="Y52" s="264" t="n"/>
    </row>
    <row r="53" ht="15" customHeight="1">
      <c r="B53" s="264" t="n"/>
      <c r="C53" s="264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  <c r="Y53" s="264" t="n"/>
    </row>
    <row r="54" ht="15" customHeight="1">
      <c r="B54" s="264" t="n"/>
      <c r="C54" s="264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  <c r="Y54" s="264" t="n"/>
    </row>
    <row r="55" ht="15" customHeight="1">
      <c r="B55" s="264" t="n"/>
      <c r="C55" s="264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  <c r="Y55" s="264" t="n"/>
    </row>
    <row r="56" ht="15" customHeight="1">
      <c r="B56" s="264" t="n"/>
      <c r="C56" s="264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  <c r="W56" s="264" t="n"/>
      <c r="X56" s="264" t="n"/>
      <c r="Y56" s="264" t="n"/>
    </row>
    <row r="57" ht="15" customHeight="1">
      <c r="B57" s="264" t="n"/>
      <c r="C57" s="264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  <c r="W57" s="264" t="n"/>
      <c r="X57" s="264" t="n"/>
      <c r="Y57" s="264" t="n"/>
    </row>
    <row r="58" ht="15" customHeight="1">
      <c r="B58" s="264" t="n"/>
      <c r="C58" s="264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  <c r="W58" s="264" t="n"/>
      <c r="X58" s="264" t="n"/>
      <c r="Y58" s="264" t="n"/>
    </row>
    <row r="59" ht="15" customHeight="1">
      <c r="B59" s="264" t="n"/>
      <c r="C59" s="264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  <c r="W59" s="264" t="n"/>
      <c r="X59" s="264" t="n"/>
      <c r="Y59" s="264" t="n"/>
    </row>
    <row r="60" ht="15" customHeight="1">
      <c r="B60" s="264" t="n"/>
      <c r="C60" s="264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  <c r="W60" s="264" t="n"/>
      <c r="X60" s="264" t="n"/>
      <c r="Y60" s="264" t="n"/>
    </row>
    <row r="61" ht="15" customHeight="1">
      <c r="B61" s="264" t="n"/>
      <c r="C61" s="264" t="n"/>
      <c r="D61" s="264" t="n"/>
      <c r="E61" s="264" t="n"/>
      <c r="F61" s="264" t="n"/>
      <c r="G61" s="264" t="n"/>
      <c r="H61" s="264" t="n"/>
      <c r="I61" s="264" t="n"/>
      <c r="J61" s="264" t="n"/>
      <c r="K61" s="264" t="n"/>
      <c r="L61" s="264" t="n"/>
      <c r="M61" s="264" t="n"/>
      <c r="N61" s="264" t="n"/>
      <c r="O61" s="264" t="n"/>
      <c r="P61" s="264" t="n"/>
      <c r="Q61" s="264" t="n"/>
      <c r="R61" s="264" t="n"/>
      <c r="S61" s="264" t="n"/>
      <c r="T61" s="264" t="n"/>
      <c r="U61" s="264" t="n"/>
      <c r="V61" s="264" t="n"/>
      <c r="W61" s="264" t="n"/>
      <c r="X61" s="264" t="n"/>
      <c r="Y61" s="264" t="n"/>
    </row>
    <row r="62" ht="15" customHeight="1">
      <c r="B62" s="264" t="n"/>
      <c r="C62" s="264" t="n"/>
      <c r="D62" s="264" t="n"/>
      <c r="E62" s="264" t="n"/>
      <c r="F62" s="264" t="n"/>
      <c r="G62" s="264" t="n"/>
      <c r="H62" s="264" t="n"/>
      <c r="I62" s="264" t="n"/>
      <c r="J62" s="264" t="n"/>
      <c r="K62" s="264" t="n"/>
      <c r="L62" s="264" t="n"/>
      <c r="M62" s="264" t="n"/>
      <c r="N62" s="264" t="n"/>
      <c r="O62" s="264" t="n"/>
      <c r="P62" s="264" t="n"/>
      <c r="Q62" s="264" t="n"/>
      <c r="R62" s="264" t="n"/>
      <c r="S62" s="264" t="n"/>
      <c r="T62" s="264" t="n"/>
      <c r="U62" s="264" t="n"/>
      <c r="V62" s="264" t="n"/>
      <c r="W62" s="264" t="n"/>
      <c r="X62" s="264" t="n"/>
      <c r="Y62" s="264" t="n"/>
    </row>
    <row r="63" ht="15" customHeight="1">
      <c r="B63" s="264" t="n"/>
      <c r="C63" s="264" t="n"/>
      <c r="D63" s="264" t="n"/>
      <c r="E63" s="264" t="n"/>
      <c r="F63" s="264" t="n"/>
      <c r="G63" s="264" t="n"/>
      <c r="H63" s="264" t="n"/>
      <c r="I63" s="264" t="n"/>
      <c r="J63" s="264" t="n"/>
      <c r="K63" s="264" t="n"/>
      <c r="L63" s="264" t="n"/>
      <c r="M63" s="264" t="n"/>
      <c r="N63" s="264" t="n"/>
      <c r="O63" s="264" t="n"/>
      <c r="P63" s="264" t="n"/>
      <c r="Q63" s="264" t="n"/>
      <c r="R63" s="264" t="n"/>
      <c r="S63" s="264" t="n"/>
      <c r="T63" s="264" t="n"/>
      <c r="U63" s="264" t="n"/>
      <c r="V63" s="264" t="n"/>
      <c r="W63" s="264" t="n"/>
      <c r="X63" s="264" t="n"/>
      <c r="Y63" s="264" t="n"/>
    </row>
    <row r="64" ht="15" customHeight="1">
      <c r="B64" s="264" t="n"/>
      <c r="C64" s="264" t="n"/>
      <c r="D64" s="264" t="n"/>
      <c r="E64" s="264" t="n"/>
      <c r="F64" s="264" t="n"/>
      <c r="G64" s="264" t="n"/>
      <c r="H64" s="264" t="n"/>
      <c r="I64" s="264" t="n"/>
      <c r="J64" s="264" t="n"/>
      <c r="K64" s="264" t="n"/>
      <c r="L64" s="264" t="n"/>
      <c r="M64" s="264" t="n"/>
      <c r="N64" s="264" t="n"/>
      <c r="O64" s="264" t="n"/>
      <c r="P64" s="264" t="n"/>
      <c r="Q64" s="264" t="n"/>
      <c r="R64" s="264" t="n"/>
      <c r="S64" s="264" t="n"/>
      <c r="T64" s="264" t="n"/>
      <c r="U64" s="264" t="n"/>
      <c r="V64" s="264" t="n"/>
      <c r="W64" s="264" t="n"/>
      <c r="X64" s="264" t="n"/>
      <c r="Y64" s="264" t="n"/>
    </row>
    <row r="65" ht="15" customHeight="1">
      <c r="B65" s="264" t="n"/>
      <c r="C65" s="264" t="n"/>
      <c r="D65" s="264" t="n"/>
      <c r="E65" s="264" t="n"/>
      <c r="F65" s="264" t="n"/>
      <c r="G65" s="264" t="n"/>
      <c r="H65" s="264" t="n"/>
      <c r="I65" s="264" t="n"/>
      <c r="J65" s="264" t="n"/>
      <c r="K65" s="264" t="n"/>
      <c r="L65" s="264" t="n"/>
      <c r="M65" s="264" t="n"/>
      <c r="N65" s="264" t="n"/>
      <c r="O65" s="264" t="n"/>
      <c r="P65" s="264" t="n"/>
      <c r="Q65" s="264" t="n"/>
      <c r="R65" s="264" t="n"/>
      <c r="S65" s="264" t="n"/>
      <c r="T65" s="264" t="n"/>
      <c r="U65" s="264" t="n"/>
      <c r="V65" s="264" t="n"/>
      <c r="W65" s="264" t="n"/>
      <c r="X65" s="264" t="n"/>
      <c r="Y65" s="264" t="n"/>
    </row>
    <row r="66" ht="15" customHeight="1">
      <c r="B66" s="264" t="n"/>
      <c r="C66" s="264" t="n"/>
      <c r="D66" s="264" t="n"/>
      <c r="E66" s="264" t="n"/>
      <c r="F66" s="264" t="n"/>
      <c r="G66" s="264" t="n"/>
      <c r="H66" s="264" t="n"/>
      <c r="I66" s="264" t="n"/>
      <c r="J66" s="264" t="n"/>
      <c r="K66" s="264" t="n"/>
      <c r="L66" s="264" t="n"/>
      <c r="M66" s="264" t="n"/>
      <c r="N66" s="264" t="n"/>
      <c r="O66" s="264" t="n"/>
      <c r="P66" s="264" t="n"/>
      <c r="Q66" s="264" t="n"/>
      <c r="R66" s="264" t="n"/>
      <c r="S66" s="264" t="n"/>
      <c r="T66" s="264" t="n"/>
      <c r="U66" s="264" t="n"/>
      <c r="V66" s="264" t="n"/>
      <c r="W66" s="264" t="n"/>
      <c r="X66" s="264" t="n"/>
      <c r="Y66" s="264" t="n"/>
    </row>
    <row r="67" ht="15" customHeight="1">
      <c r="B67" s="264" t="n"/>
      <c r="C67" s="264" t="n"/>
      <c r="D67" s="264" t="n"/>
      <c r="E67" s="264" t="n"/>
      <c r="F67" s="264" t="n"/>
      <c r="G67" s="264" t="n"/>
      <c r="H67" s="264" t="n"/>
      <c r="I67" s="264" t="n"/>
      <c r="J67" s="264" t="n"/>
      <c r="K67" s="264" t="n"/>
      <c r="L67" s="264" t="n"/>
      <c r="M67" s="264" t="n"/>
      <c r="N67" s="264" t="n"/>
      <c r="O67" s="264" t="n"/>
      <c r="P67" s="264" t="n"/>
      <c r="Q67" s="264" t="n"/>
      <c r="R67" s="264" t="n"/>
      <c r="S67" s="264" t="n"/>
      <c r="T67" s="264" t="n"/>
      <c r="U67" s="264" t="n"/>
      <c r="V67" s="264" t="n"/>
      <c r="W67" s="264" t="n"/>
      <c r="X67" s="264" t="n"/>
      <c r="Y67" s="264" t="n"/>
    </row>
    <row r="68" ht="15" customHeight="1">
      <c r="B68" s="264" t="n"/>
      <c r="C68" s="264" t="n"/>
      <c r="D68" s="264" t="n"/>
      <c r="E68" s="264" t="n"/>
      <c r="F68" s="264" t="n"/>
      <c r="G68" s="264" t="n"/>
      <c r="H68" s="264" t="n"/>
      <c r="I68" s="264" t="n"/>
      <c r="J68" s="264" t="n"/>
      <c r="K68" s="264" t="n"/>
      <c r="L68" s="264" t="n"/>
      <c r="M68" s="264" t="n"/>
      <c r="N68" s="264" t="n"/>
      <c r="O68" s="264" t="n"/>
      <c r="P68" s="264" t="n"/>
      <c r="Q68" s="264" t="n"/>
      <c r="R68" s="264" t="n"/>
      <c r="S68" s="264" t="n"/>
      <c r="T68" s="264" t="n"/>
      <c r="U68" s="264" t="n"/>
      <c r="V68" s="264" t="n"/>
      <c r="W68" s="264" t="n"/>
      <c r="X68" s="264" t="n"/>
      <c r="Y68" s="264" t="n"/>
    </row>
    <row r="69" ht="15" customHeight="1">
      <c r="B69" s="264" t="n"/>
      <c r="C69" s="264" t="n"/>
      <c r="D69" s="264" t="n"/>
      <c r="E69" s="264" t="n"/>
      <c r="F69" s="264" t="n"/>
      <c r="G69" s="264" t="n"/>
      <c r="H69" s="264" t="n"/>
      <c r="I69" s="264" t="n"/>
      <c r="J69" s="264" t="n"/>
      <c r="K69" s="264" t="n"/>
      <c r="L69" s="264" t="n"/>
      <c r="M69" s="264" t="n"/>
      <c r="N69" s="264" t="n"/>
      <c r="O69" s="264" t="n"/>
      <c r="P69" s="264" t="n"/>
      <c r="Q69" s="264" t="n"/>
      <c r="R69" s="264" t="n"/>
      <c r="S69" s="264" t="n"/>
      <c r="T69" s="264" t="n"/>
      <c r="U69" s="264" t="n"/>
      <c r="V69" s="264" t="n"/>
      <c r="W69" s="264" t="n"/>
      <c r="X69" s="264" t="n"/>
      <c r="Y69" s="264" t="n"/>
    </row>
    <row r="70" ht="15" customHeight="1">
      <c r="B70" s="264" t="n"/>
      <c r="C70" s="264" t="n"/>
      <c r="D70" s="264" t="n"/>
      <c r="E70" s="264" t="n"/>
      <c r="F70" s="264" t="n"/>
      <c r="G70" s="264" t="n"/>
      <c r="H70" s="264" t="n"/>
      <c r="I70" s="264" t="n"/>
      <c r="J70" s="264" t="n"/>
      <c r="K70" s="264" t="n"/>
      <c r="L70" s="264" t="n"/>
      <c r="M70" s="264" t="n"/>
      <c r="N70" s="264" t="n"/>
      <c r="O70" s="264" t="n"/>
      <c r="P70" s="264" t="n"/>
      <c r="Q70" s="264" t="n"/>
      <c r="R70" s="264" t="n"/>
      <c r="S70" s="264" t="n"/>
      <c r="T70" s="264" t="n"/>
      <c r="U70" s="264" t="n"/>
      <c r="V70" s="264" t="n"/>
      <c r="W70" s="264" t="n"/>
      <c r="X70" s="264" t="n"/>
      <c r="Y70" s="264" t="n"/>
    </row>
    <row r="71" ht="15" customHeight="1">
      <c r="B71" s="264" t="n"/>
      <c r="C71" s="264" t="n"/>
      <c r="D71" s="264" t="n"/>
      <c r="E71" s="264" t="n"/>
      <c r="F71" s="264" t="n"/>
      <c r="G71" s="264" t="n"/>
      <c r="H71" s="264" t="n"/>
      <c r="I71" s="264" t="n"/>
      <c r="J71" s="264" t="n"/>
      <c r="K71" s="264" t="n"/>
      <c r="L71" s="264" t="n"/>
      <c r="M71" s="264" t="n"/>
      <c r="N71" s="264" t="n"/>
      <c r="O71" s="264" t="n"/>
      <c r="P71" s="264" t="n"/>
      <c r="Q71" s="264" t="n"/>
      <c r="R71" s="264" t="n"/>
      <c r="S71" s="264" t="n"/>
      <c r="T71" s="264" t="n"/>
      <c r="U71" s="264" t="n"/>
      <c r="V71" s="264" t="n"/>
      <c r="W71" s="264" t="n"/>
      <c r="X71" s="264" t="n"/>
      <c r="Y71" s="264" t="n"/>
    </row>
    <row r="72" ht="15" customHeight="1">
      <c r="B72" s="264" t="n"/>
      <c r="C72" s="264" t="n"/>
      <c r="D72" s="264" t="n"/>
      <c r="E72" s="264" t="n"/>
      <c r="F72" s="264" t="n"/>
      <c r="G72" s="264" t="n"/>
      <c r="H72" s="264" t="n"/>
      <c r="I72" s="264" t="n"/>
      <c r="J72" s="264" t="n"/>
      <c r="K72" s="264" t="n"/>
      <c r="L72" s="264" t="n"/>
      <c r="M72" s="264" t="n"/>
      <c r="N72" s="264" t="n"/>
      <c r="O72" s="264" t="n"/>
      <c r="P72" s="264" t="n"/>
      <c r="Q72" s="264" t="n"/>
      <c r="R72" s="264" t="n"/>
      <c r="S72" s="264" t="n"/>
      <c r="T72" s="264" t="n"/>
      <c r="U72" s="264" t="n"/>
      <c r="V72" s="264" t="n"/>
      <c r="W72" s="264" t="n"/>
      <c r="X72" s="264" t="n"/>
      <c r="Y72" s="264" t="n"/>
    </row>
    <row r="73" ht="15" customHeight="1">
      <c r="B73" s="264" t="n"/>
      <c r="C73" s="264" t="n"/>
      <c r="D73" s="264" t="n"/>
      <c r="E73" s="264" t="n"/>
      <c r="F73" s="264" t="n"/>
      <c r="G73" s="264" t="n"/>
      <c r="H73" s="264" t="n"/>
      <c r="I73" s="264" t="n"/>
      <c r="J73" s="264" t="n"/>
      <c r="K73" s="264" t="n"/>
      <c r="L73" s="264" t="n"/>
      <c r="M73" s="264" t="n"/>
      <c r="N73" s="264" t="n"/>
      <c r="O73" s="264" t="n"/>
      <c r="P73" s="264" t="n"/>
      <c r="Q73" s="264" t="n"/>
      <c r="R73" s="264" t="n"/>
      <c r="S73" s="264" t="n"/>
      <c r="T73" s="264" t="n"/>
      <c r="U73" s="264" t="n"/>
      <c r="V73" s="264" t="n"/>
      <c r="W73" s="264" t="n"/>
      <c r="X73" s="264" t="n"/>
      <c r="Y73" s="264" t="n"/>
    </row>
    <row r="74" ht="15" customHeight="1">
      <c r="B74" s="264" t="n"/>
      <c r="C74" s="264" t="n"/>
      <c r="D74" s="264" t="n"/>
      <c r="E74" s="264" t="n"/>
      <c r="F74" s="264" t="n"/>
      <c r="G74" s="264" t="n"/>
      <c r="H74" s="264" t="n"/>
      <c r="I74" s="264" t="n"/>
      <c r="J74" s="264" t="n"/>
      <c r="K74" s="264" t="n"/>
      <c r="L74" s="264" t="n"/>
      <c r="M74" s="264" t="n"/>
      <c r="N74" s="264" t="n"/>
      <c r="O74" s="264" t="n"/>
      <c r="P74" s="264" t="n"/>
      <c r="Q74" s="264" t="n"/>
      <c r="R74" s="264" t="n"/>
      <c r="S74" s="264" t="n"/>
      <c r="T74" s="264" t="n"/>
      <c r="U74" s="264" t="n"/>
      <c r="V74" s="264" t="n"/>
      <c r="W74" s="264" t="n"/>
      <c r="X74" s="264" t="n"/>
      <c r="Y74" s="264" t="n"/>
    </row>
    <row r="75" ht="15" customHeight="1">
      <c r="B75" s="264" t="n"/>
      <c r="C75" s="264" t="n"/>
      <c r="D75" s="264" t="n"/>
      <c r="E75" s="264" t="n"/>
      <c r="F75" s="264" t="n"/>
      <c r="G75" s="264" t="n"/>
      <c r="H75" s="264" t="n"/>
      <c r="I75" s="264" t="n"/>
      <c r="J75" s="264" t="n"/>
      <c r="K75" s="264" t="n"/>
      <c r="L75" s="264" t="n"/>
      <c r="M75" s="264" t="n"/>
      <c r="N75" s="264" t="n"/>
      <c r="O75" s="264" t="n"/>
      <c r="P75" s="264" t="n"/>
      <c r="Q75" s="264" t="n"/>
      <c r="R75" s="264" t="n"/>
      <c r="S75" s="264" t="n"/>
      <c r="T75" s="264" t="n"/>
      <c r="U75" s="264" t="n"/>
      <c r="V75" s="264" t="n"/>
      <c r="W75" s="264" t="n"/>
      <c r="X75" s="264" t="n"/>
      <c r="Y75" s="264" t="n"/>
    </row>
    <row r="76" ht="15" customHeight="1">
      <c r="B76" s="264" t="n"/>
      <c r="C76" s="264" t="n"/>
      <c r="D76" s="264" t="n"/>
      <c r="E76" s="264" t="n"/>
      <c r="F76" s="264" t="n"/>
      <c r="G76" s="264" t="n"/>
      <c r="H76" s="264" t="n"/>
      <c r="I76" s="264" t="n"/>
      <c r="J76" s="264" t="n"/>
      <c r="K76" s="264" t="n"/>
      <c r="L76" s="264" t="n"/>
      <c r="M76" s="264" t="n"/>
      <c r="N76" s="264" t="n"/>
      <c r="O76" s="264" t="n"/>
      <c r="P76" s="264" t="n"/>
      <c r="Q76" s="264" t="n"/>
      <c r="R76" s="264" t="n"/>
      <c r="S76" s="264" t="n"/>
      <c r="T76" s="264" t="n"/>
      <c r="U76" s="264" t="n"/>
      <c r="V76" s="264" t="n"/>
      <c r="W76" s="264" t="n"/>
      <c r="X76" s="264" t="n"/>
      <c r="Y76" s="264" t="n"/>
    </row>
    <row r="77" ht="15" customHeight="1">
      <c r="B77" s="264" t="n"/>
      <c r="C77" s="264" t="n"/>
      <c r="D77" s="264" t="n"/>
      <c r="E77" s="264" t="n"/>
      <c r="F77" s="264" t="n"/>
      <c r="G77" s="264" t="n"/>
      <c r="H77" s="264" t="n"/>
      <c r="I77" s="264" t="n"/>
      <c r="J77" s="264" t="n"/>
      <c r="K77" s="264" t="n"/>
      <c r="L77" s="264" t="n"/>
      <c r="M77" s="264" t="n"/>
      <c r="N77" s="264" t="n"/>
      <c r="O77" s="264" t="n"/>
      <c r="P77" s="264" t="n"/>
      <c r="Q77" s="264" t="n"/>
      <c r="R77" s="264" t="n"/>
      <c r="S77" s="264" t="n"/>
      <c r="T77" s="264" t="n"/>
      <c r="U77" s="264" t="n"/>
      <c r="V77" s="264" t="n"/>
      <c r="W77" s="264" t="n"/>
      <c r="X77" s="264" t="n"/>
      <c r="Y77" s="264" t="n"/>
    </row>
    <row r="78" ht="15" customHeight="1">
      <c r="B78" s="264" t="n"/>
      <c r="C78" s="264" t="n"/>
      <c r="D78" s="264" t="n"/>
      <c r="E78" s="264" t="n"/>
      <c r="F78" s="264" t="n"/>
      <c r="G78" s="264" t="n"/>
      <c r="H78" s="264" t="n"/>
      <c r="I78" s="264" t="n"/>
      <c r="J78" s="264" t="n"/>
      <c r="K78" s="264" t="n"/>
      <c r="L78" s="264" t="n"/>
      <c r="M78" s="264" t="n"/>
      <c r="N78" s="264" t="n"/>
      <c r="O78" s="264" t="n"/>
      <c r="P78" s="264" t="n"/>
      <c r="Q78" s="264" t="n"/>
      <c r="R78" s="264" t="n"/>
      <c r="S78" s="264" t="n"/>
      <c r="T78" s="264" t="n"/>
      <c r="U78" s="264" t="n"/>
      <c r="V78" s="264" t="n"/>
      <c r="W78" s="264" t="n"/>
      <c r="X78" s="264" t="n"/>
      <c r="Y78" s="264" t="n"/>
    </row>
    <row r="79" ht="15" customHeight="1">
      <c r="B79" s="264" t="n"/>
      <c r="C79" s="264" t="n"/>
      <c r="D79" s="264" t="n"/>
      <c r="E79" s="264" t="n"/>
      <c r="F79" s="264" t="n"/>
      <c r="G79" s="264" t="n"/>
      <c r="H79" s="264" t="n"/>
      <c r="I79" s="264" t="n"/>
      <c r="J79" s="264" t="n"/>
      <c r="K79" s="264" t="n"/>
      <c r="L79" s="264" t="n"/>
      <c r="M79" s="264" t="n"/>
      <c r="N79" s="264" t="n"/>
      <c r="O79" s="264" t="n"/>
      <c r="P79" s="264" t="n"/>
      <c r="Q79" s="264" t="n"/>
      <c r="R79" s="264" t="n"/>
      <c r="S79" s="264" t="n"/>
      <c r="T79" s="264" t="n"/>
      <c r="U79" s="264" t="n"/>
      <c r="V79" s="264" t="n"/>
      <c r="W79" s="264" t="n"/>
      <c r="X79" s="264" t="n"/>
      <c r="Y79" s="264" t="n"/>
    </row>
  </sheetData>
  <conditionalFormatting sqref="C6 C9:N9 D8:N8">
    <cfRule type="expression" priority="4" dxfId="0">
      <formula>IF($F$3=1,1,0)</formula>
    </cfRule>
  </conditionalFormatting>
  <conditionalFormatting sqref="C23:D23">
    <cfRule type="expression" priority="1" dxfId="0">
      <formula>IF($F$2=1,1,0)</formula>
    </cfRule>
  </conditionalFormatting>
  <conditionalFormatting sqref="Q9:S9">
    <cfRule type="expression" priority="3" dxfId="0">
      <formula>IF($F$3=1,1,0)</formula>
    </cfRule>
  </conditionalFormatting>
  <conditionalFormatting sqref="Q20:S20">
    <cfRule type="expression" priority="2" dxfId="0">
      <formula>IF($F$3=1,1,0)</formula>
    </cfRule>
  </conditionalFormatting>
  <pageMargins left="0.7" right="0.7" top="0.75" bottom="0.75" header="0.3" footer="0.3"/>
  <pageSetup orientation="portrait" scale="5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B3:K762"/>
  <sheetViews>
    <sheetView showGridLines="0" zoomScaleNormal="100" workbookViewId="0">
      <selection activeCell="E7" sqref="E7"/>
    </sheetView>
  </sheetViews>
  <sheetFormatPr baseColWidth="8" defaultRowHeight="12.5"/>
  <cols>
    <col width="13.26953125" customWidth="1" style="164" min="2" max="2"/>
    <col width="10.7265625" customWidth="1" style="165" min="3" max="3"/>
    <col width="12.7265625" customWidth="1" min="5" max="5"/>
  </cols>
  <sheetData>
    <row r="3" ht="13" customHeight="1">
      <c r="B3" s="166" t="inlineStr">
        <is>
          <t>NA - no pricing source found</t>
        </is>
      </c>
    </row>
    <row r="4"/>
    <row r="5" ht="26" customFormat="1" customHeight="1" s="4">
      <c r="B5" s="169" t="n"/>
      <c r="C5" s="170" t="n"/>
      <c r="D5" s="170" t="n"/>
      <c r="E5" s="170" t="n"/>
    </row>
    <row r="6" ht="14.5" customFormat="1" customHeight="1" s="165">
      <c r="B6" s="168" t="n"/>
      <c r="C6" s="167" t="n"/>
      <c r="D6" s="167" t="n"/>
      <c r="E6" s="167" t="n"/>
    </row>
    <row r="7">
      <c r="B7" s="262" t="n"/>
      <c r="C7" s="214" t="n"/>
      <c r="D7" s="214" t="n"/>
      <c r="E7" s="214" t="n"/>
    </row>
    <row r="8">
      <c r="B8" s="262" t="n"/>
      <c r="C8" s="214" t="n"/>
      <c r="D8" s="214" t="n"/>
      <c r="E8" s="214" t="n"/>
    </row>
    <row r="9">
      <c r="B9" s="262" t="n"/>
      <c r="C9" s="214" t="n"/>
      <c r="D9" s="214" t="n"/>
      <c r="E9" s="214" t="n"/>
    </row>
    <row r="10">
      <c r="B10" s="262" t="n"/>
      <c r="C10" s="214" t="n"/>
      <c r="D10" s="214" t="n"/>
      <c r="E10" s="214" t="n"/>
    </row>
    <row r="11">
      <c r="B11" s="262" t="n"/>
      <c r="C11" s="214" t="n"/>
      <c r="D11" s="214" t="n"/>
      <c r="E11" s="214" t="n"/>
    </row>
    <row r="12">
      <c r="B12" s="262" t="n"/>
      <c r="C12" s="214" t="n"/>
      <c r="D12" s="214" t="n"/>
      <c r="E12" s="214" t="n"/>
    </row>
    <row r="13">
      <c r="B13" s="262" t="n"/>
      <c r="C13" s="214" t="n"/>
      <c r="D13" s="214" t="n"/>
      <c r="E13" s="214" t="n"/>
    </row>
    <row r="14">
      <c r="B14" s="262" t="n"/>
      <c r="C14" s="214" t="n"/>
      <c r="D14" s="214" t="n"/>
      <c r="E14" s="214" t="n"/>
    </row>
    <row r="15">
      <c r="B15" s="262" t="n"/>
      <c r="C15" s="214" t="n"/>
      <c r="D15" s="214" t="n"/>
      <c r="E15" s="214" t="n"/>
    </row>
    <row r="16">
      <c r="B16" s="262" t="n"/>
      <c r="C16" s="214" t="n"/>
      <c r="D16" s="214" t="n"/>
      <c r="E16" s="214" t="n"/>
    </row>
    <row r="17">
      <c r="B17" s="262" t="n"/>
      <c r="C17" s="214" t="n"/>
      <c r="D17" s="214" t="n"/>
      <c r="E17" s="214" t="n"/>
    </row>
    <row r="18">
      <c r="B18" s="262" t="n"/>
      <c r="C18" s="214" t="n"/>
      <c r="D18" s="214" t="n"/>
      <c r="E18" s="214" t="n"/>
    </row>
    <row r="19">
      <c r="B19" s="262" t="n"/>
      <c r="C19" s="214" t="n"/>
      <c r="D19" s="214" t="n"/>
      <c r="E19" s="214" t="n"/>
    </row>
    <row r="20">
      <c r="B20" s="262" t="n"/>
      <c r="C20" s="214" t="n"/>
      <c r="D20" s="214" t="n"/>
      <c r="E20" s="214" t="n"/>
    </row>
    <row r="21">
      <c r="B21" s="262" t="n"/>
      <c r="C21" s="214" t="n"/>
      <c r="D21" s="214" t="n"/>
      <c r="E21" s="214" t="n"/>
    </row>
    <row r="22">
      <c r="B22" s="262" t="n"/>
      <c r="C22" s="214" t="n"/>
      <c r="D22" s="214" t="n"/>
      <c r="E22" s="214" t="n"/>
    </row>
    <row r="23">
      <c r="B23" s="262" t="n"/>
      <c r="C23" s="214" t="n"/>
      <c r="D23" s="214" t="n"/>
      <c r="E23" s="214" t="n"/>
    </row>
    <row r="24">
      <c r="B24" s="262" t="n"/>
      <c r="C24" s="214" t="n"/>
      <c r="D24" s="214" t="n"/>
      <c r="E24" s="214" t="n"/>
    </row>
    <row r="25">
      <c r="B25" s="262" t="n"/>
      <c r="C25" s="214" t="n"/>
      <c r="D25" s="214" t="n"/>
      <c r="E25" s="214" t="n"/>
    </row>
    <row r="26">
      <c r="B26" s="262" t="n"/>
      <c r="C26" s="214" t="n"/>
      <c r="D26" s="214" t="n"/>
      <c r="E26" s="214" t="n"/>
    </row>
    <row r="27">
      <c r="B27" s="262" t="n"/>
      <c r="C27" s="214" t="n"/>
      <c r="D27" s="214" t="n"/>
      <c r="E27" s="214" t="n"/>
    </row>
    <row r="28">
      <c r="B28" s="262" t="n"/>
      <c r="C28" s="214" t="n"/>
      <c r="D28" s="214" t="n"/>
      <c r="E28" s="214" t="n"/>
    </row>
    <row r="29">
      <c r="B29" s="262" t="n"/>
      <c r="C29" s="214" t="n"/>
      <c r="D29" s="214" t="n"/>
      <c r="E29" s="214" t="n"/>
    </row>
    <row r="30">
      <c r="B30" s="262" t="n"/>
      <c r="C30" s="214" t="n"/>
      <c r="D30" s="214" t="n"/>
      <c r="E30" s="214" t="n"/>
    </row>
    <row r="31">
      <c r="B31" s="262" t="n"/>
      <c r="C31" s="214" t="n"/>
      <c r="D31" s="214" t="n"/>
      <c r="E31" s="214" t="n"/>
    </row>
    <row r="32">
      <c r="B32" s="262" t="n"/>
      <c r="C32" s="214" t="n"/>
      <c r="D32" s="214" t="n"/>
      <c r="E32" s="214" t="n"/>
    </row>
    <row r="33">
      <c r="B33" s="262" t="n"/>
      <c r="C33" s="214" t="n"/>
      <c r="D33" s="214" t="n"/>
      <c r="E33" s="214" t="n"/>
    </row>
    <row r="34">
      <c r="B34" s="262" t="n"/>
      <c r="C34" s="214" t="n"/>
      <c r="D34" s="214" t="n"/>
      <c r="E34" s="214" t="n"/>
    </row>
    <row r="35">
      <c r="B35" s="262" t="n"/>
      <c r="C35" s="214" t="n"/>
      <c r="D35" s="214" t="n"/>
      <c r="E35" s="214" t="n"/>
    </row>
    <row r="36">
      <c r="B36" s="262" t="n"/>
      <c r="C36" s="214" t="n"/>
      <c r="D36" s="214" t="n"/>
      <c r="E36" s="214" t="n"/>
    </row>
    <row r="37">
      <c r="B37" s="262" t="n"/>
      <c r="C37" s="214" t="n"/>
      <c r="D37" s="214" t="n"/>
      <c r="E37" s="214" t="n"/>
    </row>
    <row r="38">
      <c r="B38" s="262" t="n"/>
      <c r="C38" s="214" t="n"/>
      <c r="D38" s="214" t="n"/>
      <c r="E38" s="214" t="n"/>
    </row>
    <row r="39">
      <c r="B39" s="262" t="n"/>
      <c r="C39" s="214" t="n"/>
      <c r="D39" s="214" t="n"/>
      <c r="E39" s="214" t="n"/>
    </row>
    <row r="40">
      <c r="B40" s="262" t="n"/>
      <c r="C40" s="214" t="n"/>
      <c r="D40" s="214" t="n"/>
      <c r="E40" s="214" t="n"/>
    </row>
    <row r="41">
      <c r="B41" s="262" t="n"/>
      <c r="C41" s="214" t="n"/>
      <c r="D41" s="214" t="n"/>
      <c r="E41" s="214" t="n"/>
    </row>
    <row r="42">
      <c r="B42" s="262" t="n"/>
      <c r="C42" s="214" t="n"/>
      <c r="D42" s="214" t="n"/>
      <c r="E42" s="214" t="n"/>
    </row>
    <row r="43">
      <c r="B43" s="262" t="n"/>
      <c r="C43" s="214" t="n"/>
      <c r="D43" s="214" t="n"/>
      <c r="E43" s="214" t="n"/>
    </row>
    <row r="44">
      <c r="B44" s="262" t="n"/>
      <c r="C44" s="214" t="n"/>
      <c r="D44" s="214" t="n"/>
      <c r="E44" s="214" t="n"/>
    </row>
    <row r="45">
      <c r="B45" s="262" t="n"/>
      <c r="C45" s="214" t="n"/>
      <c r="D45" s="214" t="n"/>
      <c r="E45" s="214" t="n"/>
    </row>
    <row r="46">
      <c r="B46" s="262" t="n"/>
      <c r="C46" s="214" t="n"/>
      <c r="D46" s="214" t="n"/>
      <c r="E46" s="214" t="n"/>
    </row>
    <row r="47">
      <c r="B47" s="262" t="n"/>
      <c r="C47" s="214" t="n"/>
      <c r="D47" s="214" t="n"/>
      <c r="E47" s="214" t="n"/>
    </row>
    <row r="48">
      <c r="B48" s="262" t="n"/>
      <c r="C48" s="214" t="n"/>
      <c r="D48" s="214" t="n"/>
      <c r="E48" s="214" t="n"/>
    </row>
    <row r="49">
      <c r="B49" s="262" t="n"/>
      <c r="C49" s="214" t="n"/>
      <c r="D49" s="214" t="n"/>
      <c r="E49" s="214" t="n"/>
    </row>
    <row r="50">
      <c r="B50" s="262" t="n"/>
      <c r="C50" s="214" t="n"/>
      <c r="D50" s="214" t="n"/>
      <c r="E50" s="214" t="n"/>
    </row>
    <row r="51">
      <c r="B51" s="262" t="n"/>
      <c r="C51" s="214" t="n"/>
      <c r="D51" s="214" t="n"/>
      <c r="E51" s="214" t="n"/>
    </row>
    <row r="52">
      <c r="B52" s="262" t="n"/>
      <c r="C52" s="214" t="n"/>
      <c r="D52" s="214" t="n"/>
      <c r="E52" s="214" t="n"/>
    </row>
    <row r="53">
      <c r="B53" s="262" t="n"/>
      <c r="C53" s="214" t="n"/>
      <c r="D53" s="214" t="n"/>
      <c r="E53" s="214" t="n"/>
    </row>
    <row r="54">
      <c r="B54" s="262" t="n"/>
      <c r="C54" s="214" t="n"/>
      <c r="D54" s="214" t="n"/>
      <c r="E54" s="214" t="n"/>
    </row>
    <row r="55">
      <c r="B55" s="262" t="n"/>
      <c r="C55" s="214" t="n"/>
      <c r="D55" s="214" t="n"/>
      <c r="E55" s="214" t="n"/>
    </row>
    <row r="56">
      <c r="B56" s="262" t="n"/>
      <c r="C56" s="214" t="n"/>
      <c r="D56" s="214" t="n"/>
      <c r="E56" s="214" t="n"/>
    </row>
    <row r="57">
      <c r="B57" s="262" t="n"/>
      <c r="C57" s="214" t="n"/>
      <c r="D57" s="214" t="n"/>
      <c r="E57" s="214" t="n"/>
    </row>
    <row r="58">
      <c r="B58" s="262" t="n"/>
      <c r="C58" s="214" t="n"/>
      <c r="D58" s="214" t="n"/>
      <c r="E58" s="214" t="n"/>
    </row>
    <row r="59">
      <c r="B59" s="262" t="n"/>
      <c r="C59" s="214" t="n"/>
      <c r="D59" s="214" t="n"/>
      <c r="E59" s="214" t="n"/>
    </row>
    <row r="60">
      <c r="B60" s="262" t="n"/>
      <c r="C60" s="214" t="n"/>
      <c r="D60" s="214" t="n"/>
      <c r="E60" s="214" t="n"/>
    </row>
    <row r="61">
      <c r="B61" s="262" t="n"/>
      <c r="C61" s="214" t="n"/>
      <c r="D61" s="214" t="n"/>
      <c r="E61" s="214" t="n"/>
    </row>
    <row r="62">
      <c r="B62" s="262" t="n"/>
      <c r="C62" s="214" t="n"/>
      <c r="D62" s="214" t="n"/>
      <c r="E62" s="214" t="n"/>
    </row>
    <row r="63">
      <c r="B63" s="262" t="n"/>
      <c r="C63" s="214" t="n"/>
      <c r="D63" s="214" t="n"/>
      <c r="E63" s="214" t="n"/>
    </row>
    <row r="64">
      <c r="B64" s="262" t="n"/>
      <c r="C64" s="214" t="n"/>
      <c r="D64" s="214" t="n"/>
      <c r="E64" s="214" t="n"/>
    </row>
    <row r="65">
      <c r="B65" s="262" t="n"/>
      <c r="C65" s="214" t="n"/>
      <c r="D65" s="214" t="n"/>
      <c r="E65" s="214" t="n"/>
    </row>
    <row r="66">
      <c r="B66" s="262" t="n"/>
      <c r="C66" s="214" t="n"/>
      <c r="D66" s="214" t="n"/>
      <c r="E66" s="214" t="n"/>
    </row>
    <row r="67">
      <c r="B67" s="262" t="n"/>
      <c r="C67" s="214" t="n"/>
      <c r="D67" s="214" t="n"/>
      <c r="E67" s="214" t="n"/>
    </row>
    <row r="68">
      <c r="B68" s="262" t="n"/>
      <c r="C68" s="214" t="n"/>
      <c r="D68" s="214" t="n"/>
      <c r="E68" s="214" t="n"/>
    </row>
    <row r="69">
      <c r="B69" s="262" t="n"/>
      <c r="C69" s="214" t="n"/>
      <c r="D69" s="214" t="n"/>
      <c r="E69" s="214" t="n"/>
    </row>
    <row r="70">
      <c r="B70" s="262" t="n"/>
      <c r="C70" s="214" t="n"/>
      <c r="D70" s="214" t="n"/>
      <c r="E70" s="214" t="n"/>
    </row>
    <row r="71">
      <c r="B71" s="262" t="n"/>
      <c r="C71" s="214" t="n"/>
      <c r="D71" s="214" t="n"/>
      <c r="E71" s="214" t="n"/>
    </row>
    <row r="72">
      <c r="B72" s="262" t="n"/>
      <c r="C72" s="214" t="n"/>
      <c r="D72" s="214" t="n"/>
      <c r="E72" s="214" t="n"/>
    </row>
    <row r="73">
      <c r="B73" s="262" t="n"/>
      <c r="C73" s="214" t="n"/>
      <c r="D73" s="214" t="n"/>
      <c r="E73" s="214" t="n"/>
    </row>
    <row r="74">
      <c r="B74" s="262" t="n"/>
      <c r="C74" s="214" t="n"/>
      <c r="D74" s="214" t="n"/>
      <c r="E74" s="214" t="n"/>
    </row>
    <row r="75">
      <c r="B75" s="262" t="n"/>
      <c r="C75" s="214" t="n"/>
      <c r="D75" s="214" t="n"/>
      <c r="E75" s="214" t="n"/>
    </row>
    <row r="76">
      <c r="B76" s="262" t="n"/>
      <c r="C76" s="214" t="n"/>
      <c r="D76" s="214" t="n"/>
      <c r="E76" s="214" t="n"/>
    </row>
    <row r="77">
      <c r="B77" s="262" t="n"/>
      <c r="C77" s="214" t="n"/>
      <c r="D77" s="214" t="n"/>
      <c r="E77" s="214" t="n"/>
    </row>
    <row r="78">
      <c r="B78" s="262" t="n"/>
      <c r="C78" s="214" t="n"/>
      <c r="D78" s="214" t="n"/>
      <c r="E78" s="214" t="n"/>
    </row>
    <row r="79">
      <c r="B79" s="262" t="n"/>
      <c r="C79" s="214" t="n"/>
      <c r="D79" s="214" t="n"/>
      <c r="E79" s="214" t="n"/>
    </row>
    <row r="80">
      <c r="B80" s="262" t="n"/>
      <c r="C80" s="214" t="n"/>
      <c r="D80" s="214" t="n"/>
      <c r="E80" s="214" t="n"/>
    </row>
    <row r="81">
      <c r="B81" s="262" t="n"/>
      <c r="C81" s="214" t="n"/>
      <c r="D81" s="214" t="n"/>
      <c r="E81" s="214" t="n"/>
    </row>
    <row r="82">
      <c r="B82" s="262" t="n"/>
      <c r="C82" s="214" t="n"/>
      <c r="D82" s="214" t="n"/>
      <c r="E82" s="214" t="n"/>
    </row>
    <row r="83">
      <c r="B83" s="262" t="n"/>
      <c r="C83" s="214" t="n"/>
      <c r="D83" s="214" t="n"/>
      <c r="E83" s="214" t="n"/>
    </row>
    <row r="84">
      <c r="B84" s="262" t="n"/>
      <c r="C84" s="214" t="n"/>
      <c r="D84" s="214" t="n"/>
      <c r="E84" s="214" t="n"/>
    </row>
    <row r="85">
      <c r="B85" s="262" t="n"/>
      <c r="C85" s="214" t="n"/>
      <c r="D85" s="214" t="n"/>
      <c r="E85" s="214" t="n"/>
    </row>
    <row r="86">
      <c r="B86" s="262" t="n"/>
      <c r="C86" s="214" t="n"/>
      <c r="D86" s="214" t="n"/>
      <c r="E86" s="214" t="n"/>
    </row>
    <row r="87">
      <c r="B87" s="262" t="n"/>
      <c r="C87" s="214" t="n"/>
      <c r="D87" s="214" t="n"/>
      <c r="E87" s="214" t="n"/>
    </row>
    <row r="88">
      <c r="B88" s="262" t="n"/>
      <c r="C88" s="214" t="n"/>
      <c r="D88" s="214" t="n"/>
      <c r="E88" s="214" t="n"/>
    </row>
    <row r="89">
      <c r="B89" s="262" t="n"/>
      <c r="C89" s="214" t="n"/>
      <c r="D89" s="214" t="n"/>
      <c r="E89" s="214" t="n"/>
    </row>
    <row r="90">
      <c r="B90" s="262" t="n"/>
      <c r="C90" s="214" t="n"/>
      <c r="D90" s="214" t="n"/>
      <c r="E90" s="214" t="n"/>
    </row>
    <row r="91">
      <c r="B91" s="262" t="n"/>
      <c r="C91" s="214" t="n"/>
      <c r="D91" s="214" t="n"/>
      <c r="E91" s="214" t="n"/>
    </row>
    <row r="92">
      <c r="B92" s="262" t="n"/>
      <c r="C92" s="214" t="n"/>
      <c r="D92" s="214" t="n"/>
      <c r="E92" s="214" t="n"/>
    </row>
    <row r="93">
      <c r="B93" s="262" t="n"/>
      <c r="C93" s="214" t="n"/>
      <c r="D93" s="214" t="n"/>
      <c r="E93" s="214" t="n"/>
    </row>
    <row r="94">
      <c r="B94" s="262" t="n"/>
      <c r="C94" s="214" t="n"/>
      <c r="D94" s="214" t="n"/>
      <c r="E94" s="214" t="n"/>
    </row>
    <row r="95">
      <c r="B95" s="262" t="n"/>
      <c r="C95" s="214" t="n"/>
      <c r="D95" s="214" t="n"/>
      <c r="E95" s="214" t="n"/>
    </row>
    <row r="96">
      <c r="B96" s="262" t="n"/>
      <c r="C96" s="214" t="n"/>
      <c r="D96" s="214" t="n"/>
      <c r="E96" s="214" t="n"/>
    </row>
    <row r="97">
      <c r="B97" s="262" t="n"/>
      <c r="C97" s="214" t="n"/>
      <c r="D97" s="214" t="n"/>
      <c r="E97" s="214" t="n"/>
    </row>
    <row r="98">
      <c r="B98" s="262" t="n"/>
      <c r="C98" s="214" t="n"/>
      <c r="D98" s="214" t="n"/>
      <c r="E98" s="214" t="n"/>
    </row>
    <row r="99">
      <c r="B99" s="262" t="n"/>
      <c r="C99" s="214" t="n"/>
      <c r="D99" s="214" t="n"/>
      <c r="E99" s="214" t="n"/>
    </row>
    <row r="100">
      <c r="B100" s="262" t="n"/>
      <c r="C100" s="214" t="n"/>
      <c r="D100" s="214" t="n"/>
      <c r="E100" s="214" t="n"/>
    </row>
    <row r="101">
      <c r="B101" s="262" t="n"/>
      <c r="C101" s="214" t="n"/>
      <c r="D101" s="214" t="n"/>
      <c r="E101" s="214" t="n"/>
    </row>
    <row r="102">
      <c r="B102" s="262" t="n"/>
      <c r="C102" s="214" t="n"/>
      <c r="D102" s="214" t="n"/>
      <c r="E102" s="214" t="n"/>
    </row>
    <row r="103">
      <c r="B103" s="262" t="n"/>
      <c r="C103" s="214" t="n"/>
      <c r="D103" s="214" t="n"/>
      <c r="E103" s="214" t="n"/>
    </row>
    <row r="104">
      <c r="B104" s="262" t="n"/>
      <c r="C104" s="214" t="n"/>
      <c r="D104" s="214" t="n"/>
      <c r="E104" s="214" t="n"/>
    </row>
    <row r="105">
      <c r="B105" s="262" t="n"/>
      <c r="C105" s="214" t="n"/>
      <c r="D105" s="214" t="n"/>
      <c r="E105" s="214" t="n"/>
    </row>
    <row r="106">
      <c r="B106" s="262" t="n"/>
      <c r="C106" s="214" t="n"/>
      <c r="D106" s="214" t="n"/>
      <c r="E106" s="214" t="n"/>
    </row>
    <row r="107">
      <c r="B107" s="262" t="n"/>
      <c r="C107" s="214" t="n"/>
      <c r="D107" s="214" t="n"/>
      <c r="E107" s="214" t="n"/>
    </row>
    <row r="108">
      <c r="B108" s="262" t="n"/>
      <c r="C108" s="214" t="n"/>
      <c r="D108" s="214" t="n"/>
      <c r="E108" s="214" t="n"/>
    </row>
    <row r="109">
      <c r="B109" s="262" t="n"/>
      <c r="C109" s="214" t="n"/>
      <c r="D109" s="214" t="n"/>
      <c r="E109" s="214" t="n"/>
    </row>
    <row r="110">
      <c r="B110" s="262" t="n"/>
      <c r="C110" s="214" t="n"/>
      <c r="D110" s="214" t="n"/>
      <c r="E110" s="214" t="n"/>
    </row>
    <row r="111">
      <c r="B111" s="262" t="n"/>
      <c r="C111" s="214" t="n"/>
      <c r="D111" s="214" t="n"/>
      <c r="E111" s="214" t="n"/>
    </row>
    <row r="112">
      <c r="B112" s="262" t="n"/>
      <c r="C112" s="214" t="n"/>
      <c r="D112" s="214" t="n"/>
      <c r="E112" s="214" t="n"/>
    </row>
    <row r="113">
      <c r="B113" s="262" t="n"/>
      <c r="C113" s="214" t="n"/>
      <c r="D113" s="214" t="n"/>
      <c r="E113" s="214" t="n"/>
    </row>
    <row r="114">
      <c r="B114" s="262" t="n"/>
      <c r="C114" s="214" t="n"/>
      <c r="D114" s="214" t="n"/>
      <c r="E114" s="214" t="n"/>
    </row>
    <row r="115">
      <c r="B115" s="262" t="n"/>
      <c r="C115" s="214" t="n"/>
      <c r="D115" s="214" t="n"/>
      <c r="E115" s="214" t="n"/>
    </row>
    <row r="116">
      <c r="B116" s="262" t="n"/>
      <c r="C116" s="214" t="n"/>
      <c r="D116" s="214" t="n"/>
      <c r="E116" s="214" t="n"/>
    </row>
    <row r="117">
      <c r="B117" s="262" t="n"/>
      <c r="C117" s="214" t="n"/>
      <c r="D117" s="214" t="n"/>
      <c r="E117" s="214" t="n"/>
    </row>
    <row r="118">
      <c r="B118" s="262" t="n"/>
      <c r="C118" s="214" t="n"/>
      <c r="D118" s="214" t="n"/>
      <c r="E118" s="214" t="n"/>
    </row>
    <row r="119">
      <c r="B119" s="262" t="n"/>
      <c r="C119" s="214" t="n"/>
      <c r="D119" s="214" t="n"/>
      <c r="E119" s="214" t="n"/>
    </row>
    <row r="120">
      <c r="B120" s="262" t="n"/>
      <c r="C120" s="214" t="n"/>
      <c r="D120" s="214" t="n"/>
      <c r="E120" s="214" t="n"/>
    </row>
    <row r="121">
      <c r="B121" s="262" t="n"/>
      <c r="C121" s="214" t="n"/>
      <c r="D121" s="214" t="n"/>
      <c r="E121" s="214" t="n"/>
    </row>
    <row r="122">
      <c r="B122" s="262" t="n"/>
      <c r="C122" s="214" t="n"/>
      <c r="D122" s="214" t="n"/>
      <c r="E122" s="214" t="n"/>
    </row>
    <row r="123">
      <c r="B123" s="262" t="n"/>
      <c r="C123" s="214" t="n"/>
      <c r="D123" s="214" t="n"/>
      <c r="E123" s="214" t="n"/>
    </row>
    <row r="124">
      <c r="B124" s="262" t="n"/>
      <c r="C124" s="214" t="n"/>
      <c r="D124" s="214" t="n"/>
      <c r="E124" s="214" t="n"/>
    </row>
    <row r="125">
      <c r="B125" s="262" t="n"/>
      <c r="C125" s="214" t="n"/>
      <c r="D125" s="214" t="n"/>
      <c r="E125" s="214" t="n"/>
    </row>
    <row r="126">
      <c r="B126" s="262" t="n"/>
      <c r="C126" s="214" t="n"/>
      <c r="D126" s="214" t="n"/>
      <c r="E126" s="214" t="n"/>
    </row>
    <row r="127">
      <c r="B127" s="262" t="n"/>
      <c r="C127" s="214" t="n"/>
      <c r="D127" s="214" t="n"/>
      <c r="E127" s="214" t="n"/>
    </row>
    <row r="128">
      <c r="B128" s="262" t="n"/>
      <c r="C128" s="214" t="n"/>
      <c r="D128" s="214" t="n"/>
      <c r="E128" s="214" t="n"/>
    </row>
    <row r="129">
      <c r="B129" s="262" t="n"/>
      <c r="C129" s="214" t="n"/>
      <c r="D129" s="214" t="n"/>
      <c r="E129" s="214" t="n"/>
    </row>
    <row r="130">
      <c r="B130" s="262" t="n"/>
      <c r="C130" s="214" t="n"/>
      <c r="D130" s="214" t="n"/>
      <c r="E130" s="214" t="n"/>
    </row>
    <row r="131">
      <c r="B131" s="262" t="n"/>
      <c r="C131" s="214" t="n"/>
      <c r="D131" s="214" t="n"/>
      <c r="E131" s="214" t="n"/>
    </row>
    <row r="132">
      <c r="B132" s="262" t="n"/>
      <c r="C132" s="214" t="n"/>
      <c r="D132" s="214" t="n"/>
      <c r="E132" s="214" t="n"/>
    </row>
    <row r="133">
      <c r="B133" s="262" t="n"/>
      <c r="C133" s="214" t="n"/>
      <c r="D133" s="214" t="n"/>
      <c r="E133" s="214" t="n"/>
    </row>
    <row r="134">
      <c r="B134" s="262" t="n"/>
      <c r="C134" s="214" t="n"/>
      <c r="D134" s="214" t="n"/>
      <c r="E134" s="214" t="n"/>
    </row>
    <row r="135">
      <c r="B135" s="262" t="n"/>
      <c r="C135" s="214" t="n"/>
      <c r="D135" s="214" t="n"/>
      <c r="E135" s="214" t="n"/>
    </row>
    <row r="136">
      <c r="B136" s="262" t="n"/>
      <c r="C136" s="214" t="n"/>
      <c r="D136" s="214" t="n"/>
      <c r="E136" s="214" t="n"/>
    </row>
    <row r="137">
      <c r="B137" s="262" t="n"/>
      <c r="C137" s="214" t="n"/>
      <c r="D137" s="214" t="n"/>
      <c r="E137" s="214" t="n"/>
    </row>
    <row r="138">
      <c r="B138" s="262" t="n"/>
      <c r="C138" s="214" t="n"/>
      <c r="D138" s="214" t="n"/>
      <c r="E138" s="214" t="n"/>
    </row>
    <row r="139">
      <c r="B139" s="262" t="n"/>
      <c r="C139" s="214" t="n"/>
      <c r="D139" s="214" t="n"/>
      <c r="E139" s="214" t="n"/>
    </row>
    <row r="140">
      <c r="B140" s="262" t="n"/>
      <c r="C140" s="214" t="n"/>
      <c r="D140" s="214" t="n"/>
      <c r="E140" s="214" t="n"/>
    </row>
    <row r="141">
      <c r="B141" s="262" t="n"/>
      <c r="C141" s="214" t="n"/>
      <c r="D141" s="214" t="n"/>
      <c r="E141" s="214" t="n"/>
    </row>
    <row r="142">
      <c r="B142" s="262" t="n"/>
      <c r="C142" s="214" t="n"/>
      <c r="D142" s="214" t="n"/>
      <c r="E142" s="214" t="n"/>
    </row>
    <row r="143">
      <c r="B143" s="262" t="n"/>
      <c r="C143" s="214" t="n"/>
      <c r="D143" s="214" t="n"/>
      <c r="E143" s="214" t="n"/>
    </row>
    <row r="144">
      <c r="B144" s="262" t="n"/>
      <c r="C144" s="214" t="n"/>
      <c r="D144" s="214" t="n"/>
      <c r="E144" s="214" t="n"/>
    </row>
    <row r="145">
      <c r="B145" s="262" t="n"/>
      <c r="C145" s="214" t="n"/>
      <c r="D145" s="214" t="n"/>
      <c r="E145" s="214" t="n"/>
    </row>
    <row r="146">
      <c r="B146" s="262" t="n"/>
      <c r="C146" s="214" t="n"/>
      <c r="D146" s="214" t="n"/>
      <c r="E146" s="214" t="n"/>
    </row>
    <row r="147">
      <c r="B147" s="262" t="n"/>
      <c r="C147" s="214" t="n"/>
      <c r="D147" s="214" t="n"/>
      <c r="E147" s="214" t="n"/>
    </row>
    <row r="148">
      <c r="B148" s="262" t="n"/>
      <c r="C148" s="214" t="n"/>
      <c r="D148" s="214" t="n"/>
      <c r="E148" s="214" t="n"/>
    </row>
    <row r="149">
      <c r="B149" s="262" t="n"/>
      <c r="C149" s="214" t="n"/>
      <c r="D149" s="214" t="n"/>
      <c r="E149" s="214" t="n"/>
    </row>
    <row r="150">
      <c r="B150" s="262" t="n"/>
      <c r="C150" s="214" t="n"/>
      <c r="D150" s="214" t="n"/>
      <c r="E150" s="214" t="n"/>
    </row>
    <row r="151">
      <c r="B151" s="262" t="n"/>
      <c r="C151" s="214" t="n"/>
      <c r="D151" s="214" t="n"/>
      <c r="E151" s="214" t="n"/>
    </row>
    <row r="152">
      <c r="B152" s="262" t="n"/>
      <c r="C152" s="214" t="n"/>
      <c r="D152" s="214" t="n"/>
      <c r="E152" s="214" t="n"/>
    </row>
    <row r="153">
      <c r="B153" s="262" t="n"/>
      <c r="C153" s="214" t="n"/>
      <c r="D153" s="214" t="n"/>
      <c r="E153" s="214" t="n"/>
    </row>
    <row r="154">
      <c r="B154" s="262" t="n"/>
      <c r="C154" s="214" t="n"/>
      <c r="D154" s="214" t="n"/>
      <c r="E154" s="214" t="n"/>
    </row>
    <row r="155">
      <c r="B155" s="262" t="n"/>
      <c r="C155" s="214" t="n"/>
      <c r="D155" s="214" t="n"/>
      <c r="E155" s="214" t="n"/>
    </row>
    <row r="156">
      <c r="B156" s="262" t="n"/>
      <c r="C156" s="214" t="n"/>
      <c r="D156" s="214" t="n"/>
      <c r="E156" s="214" t="n"/>
    </row>
    <row r="157">
      <c r="B157" s="262" t="n"/>
      <c r="C157" s="214" t="n"/>
      <c r="D157" s="214" t="n"/>
      <c r="E157" s="214" t="n"/>
    </row>
    <row r="158">
      <c r="B158" s="262" t="n"/>
      <c r="C158" s="214" t="n"/>
      <c r="D158" s="214" t="n"/>
      <c r="E158" s="214" t="n"/>
    </row>
    <row r="159">
      <c r="B159" s="262" t="n"/>
      <c r="C159" s="214" t="n"/>
      <c r="D159" s="214" t="n"/>
      <c r="E159" s="214" t="n"/>
    </row>
    <row r="160">
      <c r="B160" s="262" t="n"/>
      <c r="C160" s="214" t="n"/>
      <c r="D160" s="214" t="n"/>
      <c r="E160" s="214" t="n"/>
    </row>
    <row r="161">
      <c r="B161" s="262" t="n"/>
      <c r="C161" s="214" t="n"/>
      <c r="D161" s="214" t="n"/>
      <c r="E161" s="214" t="n"/>
    </row>
    <row r="162">
      <c r="B162" s="262" t="n"/>
      <c r="C162" s="214" t="n"/>
      <c r="D162" s="214" t="n"/>
      <c r="E162" s="214" t="n"/>
    </row>
    <row r="163">
      <c r="B163" s="262" t="n"/>
      <c r="C163" s="214" t="n"/>
      <c r="D163" s="214" t="n"/>
      <c r="E163" s="214" t="n"/>
    </row>
    <row r="164">
      <c r="B164" s="262" t="n"/>
      <c r="C164" s="214" t="n"/>
      <c r="D164" s="214" t="n"/>
      <c r="E164" s="214" t="n"/>
    </row>
    <row r="165">
      <c r="B165" s="262" t="n"/>
      <c r="C165" s="214" t="n"/>
      <c r="D165" s="214" t="n"/>
      <c r="E165" s="214" t="n"/>
    </row>
    <row r="166">
      <c r="B166" s="262" t="n"/>
      <c r="C166" s="214" t="n"/>
      <c r="D166" s="214" t="n"/>
      <c r="E166" s="214" t="n"/>
    </row>
    <row r="167">
      <c r="B167" s="262" t="n"/>
      <c r="C167" s="214" t="n"/>
      <c r="D167" s="214" t="n"/>
      <c r="E167" s="214" t="n"/>
    </row>
    <row r="168">
      <c r="B168" s="262" t="n"/>
      <c r="C168" s="214" t="n"/>
      <c r="D168" s="214" t="n"/>
      <c r="E168" s="214" t="n"/>
    </row>
    <row r="169">
      <c r="B169" s="262" t="n"/>
      <c r="C169" s="214" t="n"/>
      <c r="D169" s="214" t="n"/>
      <c r="E169" s="214" t="n"/>
    </row>
    <row r="170">
      <c r="B170" s="262" t="n"/>
      <c r="C170" s="214" t="n"/>
      <c r="D170" s="214" t="n"/>
      <c r="E170" s="214" t="n"/>
    </row>
    <row r="171">
      <c r="B171" s="262" t="n"/>
      <c r="C171" s="214" t="n"/>
      <c r="D171" s="214" t="n"/>
      <c r="E171" s="214" t="n"/>
    </row>
    <row r="172">
      <c r="B172" s="262" t="n"/>
      <c r="C172" s="214" t="n"/>
      <c r="D172" s="214" t="n"/>
      <c r="E172" s="214" t="n"/>
    </row>
    <row r="173">
      <c r="B173" s="262" t="n"/>
      <c r="C173" s="214" t="n"/>
      <c r="D173" s="214" t="n"/>
      <c r="E173" s="214" t="n"/>
    </row>
    <row r="174">
      <c r="B174" s="262" t="n"/>
      <c r="C174" s="214" t="n"/>
      <c r="D174" s="214" t="n"/>
      <c r="E174" s="214" t="n"/>
    </row>
    <row r="175">
      <c r="B175" s="262" t="n"/>
      <c r="C175" s="214" t="n"/>
      <c r="D175" s="214" t="n"/>
      <c r="E175" s="214" t="n"/>
    </row>
    <row r="176">
      <c r="B176" s="262" t="n"/>
      <c r="C176" s="214" t="n"/>
      <c r="D176" s="214" t="n"/>
      <c r="E176" s="214" t="n"/>
    </row>
    <row r="177">
      <c r="B177" s="262" t="n"/>
      <c r="C177" s="214" t="n"/>
      <c r="D177" s="214" t="n"/>
      <c r="E177" s="214" t="n"/>
    </row>
    <row r="178">
      <c r="B178" s="262" t="n"/>
      <c r="C178" s="214" t="n"/>
      <c r="D178" s="214" t="n"/>
      <c r="E178" s="214" t="n"/>
    </row>
    <row r="179">
      <c r="B179" s="262" t="n"/>
      <c r="C179" s="214" t="n"/>
      <c r="D179" s="214" t="n"/>
      <c r="E179" s="214" t="n"/>
    </row>
    <row r="180">
      <c r="B180" s="262" t="n"/>
      <c r="C180" s="214" t="n"/>
      <c r="D180" s="214" t="n"/>
      <c r="E180" s="214" t="n"/>
    </row>
    <row r="181">
      <c r="B181" s="262" t="n"/>
      <c r="C181" s="214" t="n"/>
      <c r="D181" s="214" t="n"/>
      <c r="E181" s="214" t="n"/>
    </row>
    <row r="182">
      <c r="B182" s="262" t="n"/>
      <c r="C182" s="214" t="n"/>
      <c r="D182" s="214" t="n"/>
      <c r="E182" s="214" t="n"/>
    </row>
    <row r="183">
      <c r="B183" s="262" t="n"/>
      <c r="C183" s="214" t="n"/>
      <c r="D183" s="214" t="n"/>
      <c r="E183" s="214" t="n"/>
    </row>
    <row r="184">
      <c r="B184" s="262" t="n"/>
      <c r="C184" s="214" t="n"/>
      <c r="D184" s="214" t="n"/>
      <c r="E184" s="214" t="n"/>
    </row>
    <row r="185">
      <c r="B185" s="262" t="n"/>
      <c r="C185" s="214" t="n"/>
      <c r="D185" s="214" t="n"/>
      <c r="E185" s="214" t="n"/>
    </row>
    <row r="186">
      <c r="B186" s="262" t="n"/>
      <c r="C186" s="214" t="n"/>
      <c r="D186" s="214" t="n"/>
      <c r="E186" s="214" t="n"/>
    </row>
    <row r="187">
      <c r="B187" s="262" t="n"/>
      <c r="C187" s="214" t="n"/>
      <c r="D187" s="214" t="n"/>
      <c r="E187" s="214" t="n"/>
    </row>
    <row r="188">
      <c r="B188" s="262" t="n"/>
      <c r="C188" s="214" t="n"/>
      <c r="D188" s="214" t="n"/>
      <c r="E188" s="214" t="n"/>
    </row>
    <row r="189">
      <c r="B189" s="262" t="n"/>
      <c r="C189" s="214" t="n"/>
      <c r="D189" s="214" t="n"/>
      <c r="E189" s="214" t="n"/>
    </row>
    <row r="190">
      <c r="B190" s="262" t="n"/>
      <c r="C190" s="214" t="n"/>
      <c r="D190" s="214" t="n"/>
      <c r="E190" s="214" t="n"/>
    </row>
    <row r="191">
      <c r="B191" s="262" t="n"/>
      <c r="C191" s="214" t="n"/>
      <c r="D191" s="214" t="n"/>
      <c r="E191" s="214" t="n"/>
    </row>
    <row r="192">
      <c r="B192" s="262" t="n"/>
      <c r="C192" s="214" t="n"/>
      <c r="D192" s="214" t="n"/>
      <c r="E192" s="214" t="n"/>
    </row>
    <row r="193">
      <c r="B193" s="262" t="n"/>
      <c r="C193" s="214" t="n"/>
      <c r="D193" s="214" t="n"/>
      <c r="E193" s="214" t="n"/>
    </row>
    <row r="194">
      <c r="B194" s="262" t="n"/>
      <c r="C194" s="214" t="n"/>
      <c r="D194" s="214" t="n"/>
      <c r="E194" s="214" t="n"/>
    </row>
    <row r="195">
      <c r="B195" s="262" t="n"/>
      <c r="C195" s="214" t="n"/>
      <c r="D195" s="214" t="n"/>
      <c r="E195" s="214" t="n"/>
    </row>
    <row r="196">
      <c r="B196" s="262" t="n"/>
      <c r="C196" s="214" t="n"/>
      <c r="D196" s="214" t="n"/>
      <c r="E196" s="214" t="n"/>
    </row>
    <row r="197">
      <c r="B197" s="262" t="n"/>
      <c r="C197" s="214" t="n"/>
      <c r="D197" s="214" t="n"/>
      <c r="E197" s="214" t="n"/>
    </row>
    <row r="198">
      <c r="B198" s="262" t="n"/>
      <c r="C198" s="214" t="n"/>
      <c r="D198" s="214" t="n"/>
      <c r="E198" s="214" t="n"/>
    </row>
    <row r="199">
      <c r="B199" s="262" t="n"/>
      <c r="C199" s="214" t="n"/>
      <c r="D199" s="214" t="n"/>
      <c r="E199" s="214" t="n"/>
    </row>
    <row r="200">
      <c r="B200" s="262" t="n"/>
      <c r="C200" s="214" t="n"/>
      <c r="D200" s="214" t="n"/>
      <c r="E200" s="214" t="n"/>
    </row>
    <row r="201">
      <c r="B201" s="262" t="n"/>
      <c r="C201" s="214" t="n"/>
      <c r="D201" s="214" t="n"/>
      <c r="E201" s="214" t="n"/>
    </row>
    <row r="202">
      <c r="B202" s="262" t="n"/>
      <c r="C202" s="214" t="n"/>
      <c r="D202" s="214" t="n"/>
      <c r="E202" s="214" t="n"/>
    </row>
    <row r="203">
      <c r="B203" s="262" t="n"/>
      <c r="C203" s="214" t="n"/>
      <c r="D203" s="214" t="n"/>
      <c r="E203" s="214" t="n"/>
    </row>
    <row r="204">
      <c r="B204" s="262" t="n"/>
      <c r="C204" s="214" t="n"/>
      <c r="D204" s="214" t="n"/>
      <c r="E204" s="214" t="n"/>
    </row>
    <row r="205">
      <c r="B205" s="262" t="n"/>
      <c r="C205" s="214" t="n"/>
      <c r="D205" s="214" t="n"/>
      <c r="E205" s="214" t="n"/>
    </row>
    <row r="206">
      <c r="B206" s="262" t="n"/>
      <c r="C206" s="214" t="n"/>
      <c r="D206" s="214" t="n"/>
      <c r="E206" s="214" t="n"/>
    </row>
    <row r="207">
      <c r="B207" s="262" t="n"/>
      <c r="C207" s="214" t="n"/>
      <c r="D207" s="214" t="n"/>
      <c r="E207" s="214" t="n"/>
    </row>
    <row r="208">
      <c r="B208" s="262" t="n"/>
      <c r="C208" s="214" t="n"/>
      <c r="D208" s="214" t="n"/>
      <c r="E208" s="214" t="n"/>
    </row>
    <row r="209">
      <c r="B209" s="262" t="n"/>
      <c r="C209" s="214" t="n"/>
      <c r="D209" s="214" t="n"/>
      <c r="E209" s="214" t="n"/>
    </row>
    <row r="210">
      <c r="B210" s="262" t="n"/>
      <c r="C210" s="214" t="n"/>
      <c r="D210" s="214" t="n"/>
      <c r="E210" s="214" t="n"/>
    </row>
    <row r="211">
      <c r="B211" s="262" t="n"/>
      <c r="C211" s="214" t="n"/>
      <c r="D211" s="214" t="n"/>
      <c r="E211" s="214" t="n"/>
    </row>
    <row r="212">
      <c r="B212" s="262" t="n"/>
      <c r="C212" s="214" t="n"/>
      <c r="D212" s="214" t="n"/>
      <c r="E212" s="214" t="n"/>
    </row>
    <row r="213">
      <c r="B213" s="262" t="n"/>
      <c r="C213" s="214" t="n"/>
      <c r="D213" s="214" t="n"/>
      <c r="E213" s="214" t="n"/>
    </row>
    <row r="214">
      <c r="B214" s="262" t="n"/>
      <c r="C214" s="214" t="n"/>
      <c r="D214" s="214" t="n"/>
      <c r="E214" s="214" t="n"/>
    </row>
    <row r="215">
      <c r="B215" s="262" t="n"/>
      <c r="C215" s="214" t="n"/>
      <c r="D215" s="214" t="n"/>
      <c r="E215" s="214" t="n"/>
    </row>
    <row r="216">
      <c r="B216" s="262" t="n"/>
      <c r="C216" s="214" t="n"/>
      <c r="D216" s="214" t="n"/>
      <c r="E216" s="214" t="n"/>
    </row>
    <row r="217">
      <c r="B217" s="262" t="n"/>
      <c r="C217" s="214" t="n"/>
      <c r="D217" s="214" t="n"/>
      <c r="E217" s="214" t="n"/>
    </row>
    <row r="218">
      <c r="B218" s="262" t="n"/>
      <c r="C218" s="214" t="n"/>
      <c r="D218" s="214" t="n"/>
      <c r="E218" s="214" t="n"/>
    </row>
    <row r="219">
      <c r="B219" s="262" t="n"/>
      <c r="C219" s="214" t="n"/>
      <c r="D219" s="214" t="n"/>
      <c r="E219" s="214" t="n"/>
    </row>
    <row r="220">
      <c r="B220" s="262" t="n"/>
      <c r="C220" s="214" t="n"/>
      <c r="D220" s="214" t="n"/>
      <c r="E220" s="214" t="n"/>
    </row>
    <row r="221">
      <c r="B221" s="262" t="n"/>
      <c r="C221" s="214" t="n"/>
      <c r="D221" s="214" t="n"/>
      <c r="E221" s="214" t="n"/>
    </row>
    <row r="222">
      <c r="B222" s="262" t="n"/>
      <c r="C222" s="214" t="n"/>
      <c r="D222" s="214" t="n"/>
      <c r="E222" s="214" t="n"/>
    </row>
    <row r="223">
      <c r="B223" s="262" t="n"/>
      <c r="C223" s="214" t="n"/>
      <c r="D223" s="214" t="n"/>
      <c r="E223" s="214" t="n"/>
    </row>
    <row r="224">
      <c r="B224" s="262" t="n"/>
      <c r="C224" s="214" t="n"/>
      <c r="D224" s="214" t="n"/>
      <c r="E224" s="214" t="n"/>
    </row>
    <row r="225">
      <c r="B225" s="262" t="n"/>
      <c r="C225" s="214" t="n"/>
      <c r="D225" s="214" t="n"/>
      <c r="E225" s="214" t="n"/>
    </row>
    <row r="226">
      <c r="B226" s="262" t="n"/>
      <c r="C226" s="214" t="n"/>
      <c r="D226" s="214" t="n"/>
      <c r="E226" s="214" t="n"/>
    </row>
    <row r="227">
      <c r="B227" s="262" t="n"/>
      <c r="C227" s="214" t="n"/>
      <c r="D227" s="214" t="n"/>
      <c r="E227" s="214" t="n"/>
    </row>
    <row r="228">
      <c r="B228" s="262" t="n"/>
      <c r="C228" s="214" t="n"/>
      <c r="D228" s="214" t="n"/>
      <c r="E228" s="214" t="n"/>
    </row>
    <row r="229">
      <c r="B229" s="262" t="n"/>
      <c r="C229" s="214" t="n"/>
      <c r="D229" s="214" t="n"/>
      <c r="E229" s="214" t="n"/>
    </row>
    <row r="230">
      <c r="B230" s="262" t="n"/>
      <c r="C230" s="214" t="n"/>
      <c r="D230" s="214" t="n"/>
      <c r="E230" s="214" t="n"/>
    </row>
    <row r="231">
      <c r="B231" s="262" t="n"/>
      <c r="C231" s="214" t="n"/>
      <c r="D231" s="214" t="n"/>
      <c r="E231" s="214" t="n"/>
    </row>
    <row r="232">
      <c r="B232" s="262" t="n"/>
      <c r="C232" s="214" t="n"/>
      <c r="D232" s="214" t="n"/>
      <c r="E232" s="214" t="n"/>
    </row>
    <row r="233">
      <c r="B233" s="262" t="n"/>
      <c r="C233" s="214" t="n"/>
      <c r="D233" s="214" t="n"/>
      <c r="E233" s="214" t="n"/>
    </row>
    <row r="234">
      <c r="B234" s="262" t="n"/>
      <c r="C234" s="214" t="n"/>
      <c r="D234" s="214" t="n"/>
      <c r="E234" s="214" t="n"/>
    </row>
    <row r="235">
      <c r="B235" s="262" t="n"/>
      <c r="C235" s="214" t="n"/>
      <c r="D235" s="214" t="n"/>
      <c r="E235" s="214" t="n"/>
    </row>
    <row r="236">
      <c r="B236" s="262" t="n"/>
      <c r="C236" s="214" t="n"/>
      <c r="D236" s="214" t="n"/>
      <c r="E236" s="214" t="n"/>
    </row>
    <row r="237">
      <c r="B237" s="262" t="n"/>
      <c r="C237" s="214" t="n"/>
      <c r="D237" s="214" t="n"/>
      <c r="E237" s="214" t="n"/>
    </row>
    <row r="238">
      <c r="B238" s="262" t="n"/>
      <c r="C238" s="214" t="n"/>
      <c r="D238" s="214" t="n"/>
      <c r="E238" s="214" t="n"/>
    </row>
    <row r="239">
      <c r="B239" s="262" t="n"/>
      <c r="C239" s="214" t="n"/>
      <c r="D239" s="214" t="n"/>
      <c r="E239" s="214" t="n"/>
    </row>
    <row r="240">
      <c r="B240" s="262" t="n"/>
      <c r="C240" s="214" t="n"/>
      <c r="D240" s="214" t="n"/>
      <c r="E240" s="214" t="n"/>
    </row>
    <row r="241">
      <c r="B241" s="262" t="n"/>
      <c r="C241" s="214" t="n"/>
      <c r="D241" s="214" t="n"/>
      <c r="E241" s="214" t="n"/>
    </row>
    <row r="242">
      <c r="B242" s="262" t="n"/>
      <c r="C242" s="214" t="n"/>
      <c r="D242" s="214" t="n"/>
      <c r="E242" s="214" t="n"/>
    </row>
    <row r="243">
      <c r="B243" s="262" t="n"/>
      <c r="C243" s="214" t="n"/>
      <c r="D243" s="214" t="n"/>
      <c r="E243" s="214" t="n"/>
    </row>
    <row r="244">
      <c r="B244" s="262" t="n"/>
      <c r="C244" s="214" t="n"/>
      <c r="D244" s="214" t="n"/>
      <c r="E244" s="214" t="n"/>
    </row>
    <row r="245">
      <c r="B245" s="262" t="n"/>
      <c r="C245" s="214" t="n"/>
      <c r="D245" s="214" t="n"/>
      <c r="E245" s="214" t="n"/>
    </row>
    <row r="246">
      <c r="B246" s="262" t="n"/>
      <c r="C246" s="214" t="n"/>
      <c r="D246" s="214" t="n"/>
      <c r="E246" s="214" t="n"/>
    </row>
    <row r="247">
      <c r="B247" s="262" t="n"/>
      <c r="C247" s="214" t="n"/>
      <c r="D247" s="214" t="n"/>
      <c r="E247" s="214" t="n"/>
    </row>
    <row r="248">
      <c r="B248" s="262" t="n"/>
      <c r="C248" s="214" t="n"/>
      <c r="D248" s="214" t="n"/>
      <c r="E248" s="214" t="n"/>
    </row>
    <row r="249">
      <c r="B249" s="262" t="n"/>
      <c r="C249" s="214" t="n"/>
      <c r="D249" s="214" t="n"/>
      <c r="E249" s="214" t="n"/>
    </row>
    <row r="250">
      <c r="B250" s="262" t="n"/>
      <c r="C250" s="214" t="n"/>
      <c r="D250" s="214" t="n"/>
      <c r="E250" s="214" t="n"/>
    </row>
    <row r="251">
      <c r="B251" s="262" t="n"/>
      <c r="C251" s="214" t="n"/>
      <c r="D251" s="214" t="n"/>
      <c r="E251" s="214" t="n"/>
    </row>
    <row r="252">
      <c r="B252" s="262" t="n"/>
      <c r="C252" s="214" t="n"/>
      <c r="D252" s="214" t="n"/>
      <c r="E252" s="214" t="n"/>
    </row>
    <row r="253">
      <c r="B253" s="262" t="n"/>
      <c r="C253" s="214" t="n"/>
      <c r="D253" s="214" t="n"/>
      <c r="E253" s="214" t="n"/>
    </row>
    <row r="254">
      <c r="B254" s="262" t="n"/>
      <c r="C254" s="214" t="n"/>
      <c r="D254" s="214" t="n"/>
      <c r="E254" s="214" t="n"/>
    </row>
    <row r="255">
      <c r="B255" s="262" t="n"/>
      <c r="C255" s="214" t="n"/>
      <c r="D255" s="214" t="n"/>
      <c r="E255" s="214" t="n"/>
    </row>
    <row r="256">
      <c r="B256" s="262" t="n"/>
      <c r="C256" s="214" t="n"/>
      <c r="D256" s="214" t="n"/>
      <c r="E256" s="214" t="n"/>
    </row>
    <row r="257">
      <c r="B257" s="262" t="n"/>
      <c r="C257" s="214" t="n"/>
      <c r="D257" s="214" t="n"/>
      <c r="E257" s="214" t="n"/>
    </row>
    <row r="258">
      <c r="B258" s="262" t="n"/>
      <c r="C258" s="214" t="n"/>
      <c r="D258" s="214" t="n"/>
      <c r="E258" s="214" t="n"/>
    </row>
    <row r="259">
      <c r="B259" s="262" t="n"/>
      <c r="C259" s="214" t="n"/>
      <c r="D259" s="214" t="n"/>
      <c r="E259" s="214" t="n"/>
    </row>
    <row r="260">
      <c r="B260" s="262" t="n"/>
      <c r="C260" s="214" t="n"/>
      <c r="D260" s="214" t="n"/>
      <c r="E260" s="214" t="n"/>
    </row>
    <row r="261">
      <c r="B261" s="262" t="n"/>
      <c r="C261" s="214" t="n"/>
      <c r="D261" s="214" t="n"/>
      <c r="E261" s="214" t="n"/>
    </row>
    <row r="262">
      <c r="B262" s="262" t="n"/>
      <c r="C262" s="214" t="n"/>
      <c r="D262" s="214" t="n"/>
      <c r="E262" s="214" t="n"/>
    </row>
    <row r="263">
      <c r="B263" s="262" t="n"/>
      <c r="C263" s="214" t="n"/>
      <c r="D263" s="214" t="n"/>
      <c r="E263" s="214" t="n"/>
    </row>
    <row r="264">
      <c r="B264" s="262" t="n"/>
      <c r="C264" s="214" t="n"/>
      <c r="D264" s="214" t="n"/>
      <c r="E264" s="214" t="n"/>
    </row>
    <row r="265">
      <c r="B265" s="262" t="n"/>
      <c r="C265" s="214" t="n"/>
      <c r="D265" s="214" t="n"/>
      <c r="E265" s="214" t="n"/>
    </row>
    <row r="266">
      <c r="B266" s="262" t="n"/>
      <c r="C266" s="214" t="n"/>
      <c r="D266" s="214" t="n"/>
      <c r="E266" s="214" t="n"/>
    </row>
    <row r="267">
      <c r="B267" s="262" t="n"/>
      <c r="C267" s="214" t="n"/>
      <c r="D267" s="214" t="n"/>
      <c r="E267" s="214" t="n"/>
    </row>
    <row r="268">
      <c r="B268" s="262" t="n"/>
      <c r="C268" s="214" t="n"/>
    </row>
    <row r="269">
      <c r="B269" s="263" t="n"/>
      <c r="C269" s="198" t="n"/>
    </row>
    <row r="270">
      <c r="B270" s="263" t="n"/>
      <c r="C270" s="198" t="n"/>
    </row>
    <row r="271">
      <c r="B271" s="263" t="n"/>
      <c r="C271" s="198" t="n"/>
    </row>
    <row r="272">
      <c r="B272" s="263" t="n"/>
      <c r="C272" s="198" t="n"/>
    </row>
    <row r="273">
      <c r="B273" s="263" t="n"/>
      <c r="C273" s="198" t="n"/>
    </row>
    <row r="274">
      <c r="B274" s="263" t="n"/>
      <c r="C274" s="198" t="n"/>
    </row>
    <row r="275">
      <c r="B275" s="263" t="n"/>
      <c r="C275" s="198" t="n"/>
    </row>
    <row r="276">
      <c r="B276" s="263" t="n"/>
      <c r="C276" s="198" t="n"/>
    </row>
    <row r="277">
      <c r="B277" s="263" t="n"/>
      <c r="C277" s="198" t="n"/>
    </row>
    <row r="278">
      <c r="B278" s="263" t="n"/>
      <c r="C278" s="198" t="n"/>
    </row>
    <row r="279">
      <c r="B279" s="263" t="n"/>
      <c r="C279" s="198" t="n"/>
    </row>
    <row r="280">
      <c r="B280" s="263" t="n"/>
      <c r="C280" s="198" t="n"/>
    </row>
    <row r="281">
      <c r="B281" s="263" t="n"/>
      <c r="C281" s="198" t="n"/>
    </row>
    <row r="282">
      <c r="B282" s="263" t="n"/>
      <c r="C282" s="198" t="n"/>
    </row>
    <row r="283">
      <c r="B283" s="263" t="n"/>
      <c r="C283" s="198" t="n"/>
    </row>
    <row r="284">
      <c r="B284" s="263" t="n"/>
      <c r="C284" s="198" t="n"/>
    </row>
    <row r="285">
      <c r="B285" s="263" t="n"/>
      <c r="C285" s="198" t="n"/>
    </row>
    <row r="286">
      <c r="B286" s="263" t="n"/>
      <c r="C286" s="198" t="n"/>
    </row>
    <row r="287">
      <c r="B287" s="263" t="n"/>
      <c r="C287" s="198" t="n"/>
    </row>
    <row r="288">
      <c r="B288" s="263" t="n"/>
      <c r="C288" s="198" t="n"/>
    </row>
    <row r="289">
      <c r="B289" s="263" t="n"/>
      <c r="C289" s="198" t="n"/>
    </row>
    <row r="290">
      <c r="B290" s="263" t="n"/>
      <c r="C290" s="198" t="n"/>
    </row>
    <row r="291">
      <c r="B291" s="263" t="n"/>
      <c r="C291" s="198" t="n"/>
    </row>
    <row r="292">
      <c r="B292" s="263" t="n"/>
      <c r="C292" s="198" t="n"/>
    </row>
    <row r="293">
      <c r="B293" s="263" t="n"/>
      <c r="C293" s="198" t="n"/>
    </row>
    <row r="294">
      <c r="B294" s="263" t="n"/>
      <c r="C294" s="198" t="n"/>
    </row>
    <row r="295">
      <c r="B295" s="263" t="n"/>
      <c r="C295" s="198" t="n"/>
    </row>
    <row r="296">
      <c r="B296" s="263" t="n"/>
      <c r="C296" s="198" t="n"/>
    </row>
    <row r="297">
      <c r="B297" s="263" t="n"/>
      <c r="C297" s="198" t="n"/>
    </row>
    <row r="298">
      <c r="B298" s="263" t="n"/>
      <c r="C298" s="198" t="n"/>
    </row>
    <row r="299">
      <c r="B299" s="263" t="n"/>
      <c r="C299" s="198" t="n"/>
    </row>
    <row r="300">
      <c r="B300" s="263" t="n"/>
      <c r="C300" s="198" t="n"/>
    </row>
    <row r="301">
      <c r="B301" s="263" t="n"/>
      <c r="C301" s="198" t="n"/>
    </row>
    <row r="302">
      <c r="B302" s="263" t="n"/>
      <c r="C302" s="198" t="n"/>
      <c r="F302" s="1" t="n"/>
    </row>
    <row r="303">
      <c r="B303" s="263" t="n"/>
      <c r="C303" s="198" t="n"/>
      <c r="F303" s="1" t="n"/>
    </row>
    <row r="304">
      <c r="B304" s="263" t="n"/>
      <c r="C304" s="198" t="n"/>
      <c r="F304" s="1" t="n"/>
    </row>
    <row r="305">
      <c r="B305" s="263" t="n"/>
      <c r="C305" s="198" t="n"/>
      <c r="F305" s="1" t="n"/>
    </row>
    <row r="306">
      <c r="B306" s="263" t="n"/>
      <c r="C306" s="198" t="n"/>
      <c r="F306" s="1" t="n"/>
    </row>
    <row r="307">
      <c r="B307" s="263" t="n"/>
      <c r="C307" s="198" t="n"/>
      <c r="F307" s="1" t="n"/>
    </row>
    <row r="308">
      <c r="B308" s="263" t="n"/>
      <c r="C308" s="198" t="n"/>
      <c r="F308" s="1" t="n"/>
    </row>
    <row r="309">
      <c r="B309" s="263" t="n"/>
      <c r="C309" s="198" t="n"/>
      <c r="F309" s="1" t="n"/>
    </row>
    <row r="310">
      <c r="B310" s="263" t="n"/>
      <c r="C310" s="198" t="n"/>
      <c r="F310" s="1" t="n"/>
    </row>
    <row r="311">
      <c r="B311" s="263" t="n"/>
      <c r="C311" s="198" t="n"/>
      <c r="F311" s="1" t="n"/>
    </row>
    <row r="312">
      <c r="B312" s="263" t="n"/>
      <c r="C312" s="198" t="n"/>
      <c r="F312" s="1" t="n"/>
    </row>
    <row r="313">
      <c r="B313" s="263" t="n"/>
      <c r="C313" s="198" t="n"/>
      <c r="F313" s="1" t="n"/>
    </row>
    <row r="314">
      <c r="B314" s="263" t="n"/>
      <c r="C314" s="198" t="n"/>
      <c r="F314" s="1" t="n"/>
    </row>
    <row r="315">
      <c r="B315" s="263" t="n"/>
      <c r="C315" s="198" t="n"/>
      <c r="F315" s="1" t="n"/>
    </row>
    <row r="316">
      <c r="B316" s="263" t="n"/>
      <c r="C316" s="198" t="n"/>
      <c r="F316" s="1" t="n"/>
    </row>
    <row r="317">
      <c r="B317" s="263" t="n"/>
      <c r="C317" s="198" t="n"/>
      <c r="F317" s="1" t="n"/>
    </row>
    <row r="318">
      <c r="B318" s="263" t="n"/>
      <c r="C318" s="198" t="n"/>
      <c r="F318" s="1" t="n"/>
    </row>
    <row r="319">
      <c r="B319" s="263" t="n"/>
      <c r="C319" s="198" t="n"/>
      <c r="F319" s="1" t="n"/>
    </row>
    <row r="320">
      <c r="B320" s="263" t="n"/>
      <c r="C320" s="198" t="n"/>
    </row>
    <row r="321">
      <c r="B321" s="263" t="n"/>
      <c r="C321" s="198" t="n"/>
    </row>
    <row r="322">
      <c r="B322" s="263" t="n"/>
      <c r="C322" s="198" t="n"/>
    </row>
    <row r="323">
      <c r="B323" s="263" t="n"/>
      <c r="C323" s="198" t="n"/>
      <c r="E323" s="1" t="n"/>
    </row>
    <row r="324">
      <c r="B324" s="263" t="n"/>
      <c r="C324" s="198" t="n"/>
      <c r="E324" s="1" t="n"/>
    </row>
    <row r="325">
      <c r="B325" s="263" t="n"/>
      <c r="C325" s="198" t="n"/>
      <c r="E325" s="1" t="n"/>
    </row>
    <row r="326">
      <c r="B326" s="263" t="n"/>
      <c r="C326" s="198" t="n"/>
      <c r="E326" s="1" t="n"/>
    </row>
    <row r="327">
      <c r="B327" s="263" t="n"/>
      <c r="C327" s="198" t="n"/>
      <c r="E327" s="1" t="n"/>
    </row>
    <row r="328">
      <c r="B328" s="263" t="n"/>
      <c r="C328" s="198" t="n"/>
      <c r="E328" s="1" t="n"/>
    </row>
    <row r="329">
      <c r="B329" s="263" t="n"/>
      <c r="C329" s="198" t="n"/>
      <c r="E329" s="1" t="n"/>
    </row>
    <row r="330">
      <c r="B330" s="263" t="n"/>
      <c r="C330" s="198" t="n"/>
      <c r="E330" s="1" t="n"/>
    </row>
    <row r="331">
      <c r="B331" s="263" t="n"/>
      <c r="C331" s="198" t="n"/>
      <c r="E331" s="1" t="n"/>
    </row>
    <row r="332">
      <c r="B332" s="263" t="n"/>
      <c r="C332" s="198" t="n"/>
      <c r="E332" s="1" t="n"/>
    </row>
    <row r="333">
      <c r="B333" s="263" t="n"/>
      <c r="C333" s="198" t="n"/>
      <c r="E333" s="1" t="n"/>
    </row>
    <row r="334">
      <c r="B334" s="263" t="n"/>
      <c r="C334" s="198" t="n"/>
      <c r="E334" s="1" t="n"/>
    </row>
    <row r="335">
      <c r="B335" s="263" t="n"/>
      <c r="C335" s="198" t="n"/>
      <c r="E335" s="1" t="n"/>
    </row>
    <row r="336">
      <c r="B336" s="263" t="n"/>
      <c r="C336" s="198" t="n"/>
      <c r="E336" s="1" t="n"/>
    </row>
    <row r="337">
      <c r="B337" s="263" t="n"/>
      <c r="C337" s="198" t="n"/>
      <c r="E337" s="1" t="n"/>
    </row>
    <row r="338">
      <c r="B338" s="263" t="n"/>
      <c r="C338" s="198" t="n"/>
      <c r="E338" s="1" t="n"/>
    </row>
    <row r="339">
      <c r="B339" s="263" t="n"/>
      <c r="C339" s="198" t="n"/>
      <c r="E339" s="1" t="n"/>
    </row>
    <row r="340">
      <c r="B340" s="263" t="n"/>
      <c r="C340" s="198" t="n"/>
      <c r="E340" s="1" t="n"/>
    </row>
    <row r="341">
      <c r="B341" s="263" t="n"/>
      <c r="C341" s="198" t="n"/>
      <c r="E341" s="1" t="n"/>
    </row>
    <row r="342">
      <c r="B342" s="263" t="n"/>
      <c r="C342" s="198" t="n"/>
      <c r="E342" s="1" t="n"/>
    </row>
    <row r="343">
      <c r="B343" s="263" t="n"/>
      <c r="C343" s="198" t="n"/>
      <c r="E343" s="1" t="n"/>
    </row>
    <row r="344">
      <c r="B344" s="263" t="n"/>
      <c r="C344" s="198" t="n"/>
      <c r="E344" s="1" t="n"/>
    </row>
    <row r="345">
      <c r="B345" s="263" t="n"/>
      <c r="C345" s="198" t="n"/>
      <c r="E345" s="1" t="n"/>
    </row>
    <row r="346">
      <c r="B346" s="263" t="n"/>
      <c r="C346" s="198" t="n"/>
      <c r="E346" s="1" t="n"/>
    </row>
    <row r="347">
      <c r="B347" s="263" t="n"/>
      <c r="C347" s="198" t="n"/>
      <c r="E347" s="1" t="n"/>
    </row>
    <row r="348">
      <c r="B348" s="263" t="n"/>
      <c r="C348" s="198" t="n"/>
      <c r="E348" s="1" t="n"/>
    </row>
    <row r="349">
      <c r="B349" s="263" t="n"/>
      <c r="C349" s="198" t="n"/>
      <c r="E349" s="1" t="n"/>
    </row>
    <row r="350">
      <c r="B350" s="263" t="n"/>
      <c r="C350" s="198" t="n"/>
      <c r="E350" s="1" t="n"/>
    </row>
    <row r="351">
      <c r="B351" s="263" t="n"/>
      <c r="C351" s="198" t="n"/>
      <c r="E351" s="1" t="n"/>
    </row>
    <row r="352">
      <c r="B352" s="263" t="n"/>
      <c r="C352" s="198" t="n"/>
      <c r="E352" s="1" t="n"/>
    </row>
    <row r="353">
      <c r="B353" s="263" t="n"/>
      <c r="C353" s="198" t="n"/>
      <c r="E353" s="1" t="n"/>
    </row>
    <row r="354">
      <c r="B354" s="263" t="n"/>
      <c r="C354" s="198" t="n"/>
      <c r="E354" s="1" t="n"/>
    </row>
    <row r="355">
      <c r="B355" s="263" t="n"/>
      <c r="C355" s="198" t="n"/>
      <c r="E355" s="1" t="n"/>
    </row>
    <row r="356">
      <c r="B356" s="263" t="n"/>
      <c r="C356" s="198" t="n"/>
      <c r="E356" s="1" t="n"/>
    </row>
    <row r="357">
      <c r="B357" s="263" t="n"/>
      <c r="C357" s="198" t="n"/>
      <c r="E357" s="1" t="n"/>
    </row>
    <row r="358">
      <c r="B358" s="263" t="n"/>
      <c r="C358" s="198" t="n"/>
      <c r="E358" s="1" t="n"/>
    </row>
    <row r="359">
      <c r="B359" s="263" t="n"/>
      <c r="C359" s="198" t="n"/>
      <c r="D359" s="2" t="n"/>
      <c r="E359" s="3" t="n"/>
      <c r="G359" s="2" t="n"/>
      <c r="H359" s="3" t="n"/>
    </row>
    <row r="360">
      <c r="B360" s="263" t="n"/>
      <c r="C360" s="198" t="n"/>
      <c r="D360" s="2" t="n"/>
      <c r="E360" s="3" t="n"/>
      <c r="G360" s="2" t="n"/>
      <c r="H360" s="3" t="n"/>
    </row>
    <row r="361">
      <c r="B361" s="263" t="n"/>
      <c r="C361" s="198" t="n"/>
      <c r="D361" s="2" t="n"/>
      <c r="E361" s="3" t="n"/>
      <c r="G361" s="2" t="n"/>
      <c r="H361" s="3" t="n"/>
    </row>
    <row r="362">
      <c r="B362" s="263" t="n"/>
      <c r="C362" s="198" t="n"/>
      <c r="D362" s="2" t="n"/>
      <c r="E362" s="3" t="n"/>
      <c r="G362" s="2" t="n"/>
      <c r="H362" s="3" t="n"/>
    </row>
    <row r="363">
      <c r="B363" s="263" t="n"/>
      <c r="C363" s="198" t="n"/>
      <c r="D363" s="2" t="n"/>
      <c r="E363" s="3" t="n"/>
      <c r="G363" s="2" t="n"/>
      <c r="H363" s="3" t="n"/>
    </row>
    <row r="364">
      <c r="B364" s="263" t="n"/>
      <c r="C364" s="198" t="n"/>
      <c r="D364" s="2" t="n"/>
      <c r="E364" s="3" t="n"/>
      <c r="G364" s="2" t="n"/>
      <c r="H364" s="3" t="n"/>
    </row>
    <row r="365">
      <c r="B365" s="263" t="n"/>
      <c r="C365" s="198" t="n"/>
      <c r="D365" s="2" t="n"/>
      <c r="E365" s="3" t="n"/>
      <c r="G365" s="2" t="n"/>
      <c r="H365" s="3" t="n"/>
    </row>
    <row r="366">
      <c r="B366" s="263" t="n"/>
      <c r="C366" s="198" t="n"/>
      <c r="D366" s="2" t="n"/>
      <c r="E366" s="3" t="n"/>
      <c r="G366" s="2" t="n"/>
      <c r="H366" s="3" t="n"/>
    </row>
    <row r="367">
      <c r="B367" s="263" t="n"/>
      <c r="C367" s="198" t="n"/>
      <c r="D367" s="2" t="n"/>
      <c r="E367" s="3" t="n"/>
      <c r="G367" s="2" t="n"/>
      <c r="H367" s="3" t="n"/>
    </row>
    <row r="368">
      <c r="B368" s="263" t="n"/>
      <c r="C368" s="198" t="n"/>
      <c r="D368" s="2" t="n"/>
      <c r="E368" s="3" t="n"/>
      <c r="G368" s="2" t="n"/>
      <c r="H368" s="3" t="n"/>
    </row>
    <row r="369">
      <c r="B369" s="263" t="n"/>
      <c r="C369" s="198" t="n"/>
      <c r="D369" s="2" t="n"/>
      <c r="E369" s="3" t="n"/>
      <c r="G369" s="2" t="n"/>
      <c r="H369" s="3" t="n"/>
    </row>
    <row r="370">
      <c r="B370" s="263" t="n"/>
      <c r="C370" s="198" t="n"/>
      <c r="D370" s="2" t="n"/>
      <c r="E370" s="3" t="n"/>
      <c r="G370" s="2" t="n"/>
      <c r="H370" s="3" t="n"/>
    </row>
    <row r="371">
      <c r="B371" s="263" t="n"/>
      <c r="C371" s="198" t="n"/>
      <c r="D371" s="2" t="n"/>
      <c r="E371" s="3" t="n"/>
      <c r="G371" s="2" t="n"/>
      <c r="H371" s="3" t="n"/>
    </row>
    <row r="372">
      <c r="B372" s="263" t="n"/>
      <c r="C372" s="198" t="n"/>
      <c r="D372" s="2" t="n"/>
      <c r="E372" s="3" t="n"/>
      <c r="G372" s="2" t="n"/>
      <c r="H372" s="3" t="n"/>
    </row>
    <row r="373">
      <c r="B373" s="263" t="n"/>
      <c r="C373" s="198" t="n"/>
      <c r="D373" s="2" t="n"/>
      <c r="E373" s="3" t="n"/>
      <c r="G373" s="2" t="n"/>
      <c r="H373" s="3" t="n"/>
    </row>
    <row r="374">
      <c r="B374" s="263" t="n"/>
      <c r="C374" s="198" t="n"/>
      <c r="D374" s="2" t="n"/>
      <c r="E374" s="3" t="n"/>
      <c r="G374" s="2" t="n"/>
      <c r="H374" s="3" t="n"/>
    </row>
    <row r="375">
      <c r="B375" s="263" t="n"/>
      <c r="C375" s="198" t="n"/>
      <c r="D375" s="2" t="n"/>
      <c r="E375" s="3" t="n"/>
      <c r="G375" s="2" t="n"/>
      <c r="H375" s="3" t="n"/>
    </row>
    <row r="376">
      <c r="B376" s="263" t="n"/>
      <c r="C376" s="198" t="n"/>
      <c r="D376" s="2" t="n"/>
      <c r="E376" s="3" t="n"/>
      <c r="G376" s="2" t="n"/>
      <c r="H376" s="3" t="n"/>
    </row>
    <row r="377">
      <c r="B377" s="263" t="n"/>
      <c r="C377" s="198" t="n"/>
      <c r="D377" s="2" t="n"/>
      <c r="E377" s="3" t="n"/>
      <c r="G377" s="2" t="n"/>
      <c r="H377" s="3" t="n"/>
    </row>
    <row r="378">
      <c r="B378" s="263" t="n"/>
      <c r="C378" s="198" t="n"/>
      <c r="D378" s="2" t="n"/>
      <c r="E378" s="3" t="n"/>
      <c r="G378" s="2" t="n"/>
      <c r="H378" s="3" t="n"/>
    </row>
    <row r="379">
      <c r="B379" s="263" t="n"/>
      <c r="C379" s="198" t="n"/>
      <c r="D379" s="2" t="n"/>
      <c r="E379" s="3" t="n"/>
      <c r="G379" s="2" t="n"/>
      <c r="H379" s="3" t="n"/>
    </row>
    <row r="380">
      <c r="B380" s="263" t="n"/>
      <c r="C380" s="198" t="n"/>
      <c r="D380" s="2" t="n"/>
      <c r="E380" s="3" t="n"/>
      <c r="G380" s="2" t="n"/>
      <c r="H380" s="3" t="n"/>
    </row>
    <row r="381">
      <c r="B381" s="263" t="n"/>
      <c r="C381" s="198" t="n"/>
      <c r="D381" s="2" t="n"/>
      <c r="E381" s="3" t="n"/>
      <c r="G381" s="2" t="n"/>
      <c r="H381" s="3" t="n"/>
    </row>
    <row r="382">
      <c r="B382" s="263" t="n"/>
      <c r="C382" s="198" t="n"/>
      <c r="D382" s="2" t="n"/>
      <c r="E382" s="3" t="n"/>
      <c r="G382" s="2" t="n"/>
      <c r="H382" s="3" t="n"/>
    </row>
    <row r="383">
      <c r="B383" s="263" t="n"/>
      <c r="C383" s="198" t="n"/>
      <c r="D383" s="2" t="n"/>
      <c r="E383" s="3" t="n"/>
      <c r="G383" s="2" t="n"/>
      <c r="H383" s="3" t="n"/>
    </row>
    <row r="384">
      <c r="B384" s="263" t="n"/>
      <c r="C384" s="198" t="n"/>
      <c r="D384" s="2" t="n"/>
      <c r="E384" s="3" t="n"/>
      <c r="G384" s="2" t="n"/>
      <c r="H384" s="3" t="n"/>
    </row>
    <row r="385">
      <c r="B385" s="263" t="n"/>
      <c r="C385" s="198" t="n"/>
      <c r="D385" s="2" t="n"/>
      <c r="E385" s="3" t="n"/>
      <c r="G385" s="2" t="n"/>
      <c r="H385" s="3" t="n"/>
    </row>
    <row r="386">
      <c r="B386" s="263" t="n"/>
      <c r="C386" s="198" t="n"/>
      <c r="D386" s="2" t="n"/>
      <c r="E386" s="3" t="n"/>
      <c r="G386" s="2" t="n"/>
      <c r="H386" s="3" t="n"/>
    </row>
    <row r="387">
      <c r="B387" s="263" t="n"/>
      <c r="C387" s="198" t="n"/>
      <c r="D387" s="2" t="n"/>
      <c r="E387" s="3" t="n"/>
      <c r="G387" s="2" t="n"/>
      <c r="H387" s="3" t="n"/>
    </row>
    <row r="388">
      <c r="B388" s="263" t="n"/>
      <c r="C388" s="198" t="n"/>
      <c r="D388" s="2" t="n"/>
      <c r="E388" s="2" t="n"/>
      <c r="F388" s="3" t="n"/>
      <c r="G388" s="2" t="n"/>
      <c r="H388" s="3" t="n"/>
    </row>
    <row r="389">
      <c r="B389" s="263" t="n"/>
      <c r="C389" s="198" t="n"/>
      <c r="D389" s="2" t="n"/>
      <c r="E389" s="2" t="n"/>
      <c r="F389" s="3" t="n"/>
      <c r="G389" s="2" t="n"/>
      <c r="H389" s="3" t="n"/>
    </row>
    <row r="390">
      <c r="B390" s="263" t="n"/>
      <c r="C390" s="198" t="n"/>
      <c r="D390" s="2" t="n"/>
      <c r="E390" s="2" t="n"/>
      <c r="F390" s="3" t="n"/>
      <c r="G390" s="2" t="n"/>
      <c r="H390" s="3" t="n"/>
    </row>
    <row r="391">
      <c r="B391" s="263" t="n"/>
      <c r="C391" s="198" t="n"/>
      <c r="D391" s="2" t="n"/>
      <c r="E391" s="2" t="n"/>
      <c r="F391" s="3" t="n"/>
      <c r="G391" s="2" t="n"/>
      <c r="H391" s="3" t="n"/>
    </row>
    <row r="392">
      <c r="B392" s="263" t="n"/>
      <c r="C392" s="198" t="n"/>
      <c r="D392" s="2" t="n"/>
      <c r="E392" s="2" t="n"/>
      <c r="F392" s="3" t="n"/>
      <c r="G392" s="2" t="n"/>
      <c r="H392" s="3" t="n"/>
    </row>
    <row r="393">
      <c r="B393" s="263" t="n"/>
      <c r="C393" s="198" t="n"/>
      <c r="D393" s="2" t="n"/>
      <c r="E393" s="2" t="n"/>
      <c r="F393" s="3" t="n"/>
      <c r="G393" s="2" t="n"/>
      <c r="H393" s="3" t="n"/>
    </row>
    <row r="394">
      <c r="B394" s="263" t="n"/>
      <c r="C394" s="198" t="n"/>
      <c r="D394" s="2" t="n"/>
      <c r="E394" s="2" t="n"/>
      <c r="F394" s="3" t="n"/>
      <c r="G394" s="2" t="n"/>
      <c r="H394" s="3" t="n"/>
    </row>
    <row r="395">
      <c r="B395" s="263" t="n"/>
      <c r="C395" s="198" t="n"/>
      <c r="D395" s="2" t="n"/>
      <c r="E395" s="2" t="n"/>
      <c r="F395" s="3" t="n"/>
      <c r="G395" s="2" t="n"/>
      <c r="H395" s="3" t="n"/>
    </row>
    <row r="396">
      <c r="B396" s="263" t="n"/>
      <c r="C396" s="198" t="n"/>
      <c r="D396" s="2" t="n"/>
      <c r="E396" s="2" t="n"/>
      <c r="F396" s="3" t="n"/>
      <c r="G396" s="2" t="n"/>
      <c r="H396" s="3" t="n"/>
    </row>
    <row r="397">
      <c r="B397" s="263" t="n"/>
      <c r="C397" s="198" t="n"/>
      <c r="D397" s="2" t="n"/>
      <c r="E397" s="2" t="n"/>
      <c r="F397" s="3" t="n"/>
      <c r="G397" s="2" t="n"/>
      <c r="H397" s="3" t="n"/>
    </row>
    <row r="398">
      <c r="B398" s="263" t="n"/>
      <c r="C398" s="198" t="n"/>
      <c r="D398" s="2" t="n"/>
      <c r="E398" s="2" t="n"/>
      <c r="F398" s="3" t="n"/>
      <c r="G398" s="2" t="n"/>
      <c r="H398" s="3" t="n"/>
    </row>
    <row r="399">
      <c r="B399" s="263" t="n"/>
      <c r="C399" s="198" t="n"/>
      <c r="D399" s="2" t="n"/>
      <c r="E399" s="2" t="n"/>
      <c r="F399" s="3" t="n"/>
      <c r="G399" s="2" t="n"/>
      <c r="H399" s="3" t="n"/>
    </row>
    <row r="400">
      <c r="B400" s="263" t="n"/>
      <c r="C400" s="198" t="n"/>
      <c r="D400" s="2" t="n"/>
      <c r="E400" s="3" t="n"/>
      <c r="G400" s="2" t="n"/>
      <c r="H400" s="3" t="n"/>
    </row>
    <row r="401">
      <c r="B401" s="263" t="n"/>
      <c r="C401" s="198" t="n"/>
      <c r="D401" s="2" t="n"/>
      <c r="E401" s="3" t="n"/>
      <c r="G401" s="2" t="n"/>
      <c r="H401" s="4" t="n"/>
    </row>
    <row r="402">
      <c r="B402" s="263" t="n"/>
      <c r="C402" s="198" t="n"/>
      <c r="D402" s="2" t="n"/>
      <c r="E402" s="3" t="n"/>
      <c r="G402" s="2" t="n"/>
      <c r="H402" s="3" t="n"/>
    </row>
    <row r="403">
      <c r="B403" s="263" t="n"/>
      <c r="C403" s="198" t="n"/>
      <c r="D403" s="2" t="n"/>
      <c r="E403" s="3" t="n"/>
      <c r="G403" s="2" t="n"/>
      <c r="H403" s="3" t="n"/>
    </row>
    <row r="404">
      <c r="B404" s="263" t="n"/>
      <c r="C404" s="198" t="n"/>
      <c r="D404" s="2" t="n"/>
      <c r="E404" s="3" t="n"/>
      <c r="G404" s="2" t="n"/>
      <c r="H404" s="3" t="n"/>
    </row>
    <row r="405">
      <c r="B405" s="263" t="n"/>
      <c r="C405" s="198" t="n"/>
      <c r="D405" s="2" t="n"/>
      <c r="E405" s="3" t="n"/>
      <c r="G405" s="2" t="n"/>
      <c r="H405" s="3" t="n"/>
    </row>
    <row r="406">
      <c r="B406" s="263" t="n"/>
      <c r="C406" s="198" t="n"/>
      <c r="D406" s="2" t="n"/>
      <c r="E406" s="3" t="n"/>
      <c r="G406" s="2" t="n"/>
      <c r="H406" s="3" t="n"/>
    </row>
    <row r="407">
      <c r="B407" s="263" t="n"/>
      <c r="C407" s="198" t="n"/>
      <c r="D407" s="2" t="n"/>
      <c r="E407" s="3" t="n"/>
      <c r="G407" s="2" t="n"/>
      <c r="H407" s="3" t="n"/>
    </row>
    <row r="408">
      <c r="B408" s="263" t="n"/>
      <c r="C408" s="198" t="n"/>
      <c r="D408" s="2" t="n"/>
      <c r="E408" s="2" t="n"/>
      <c r="G408" s="2" t="n"/>
      <c r="H408" s="3" t="n"/>
    </row>
    <row r="409">
      <c r="B409" s="263" t="n"/>
      <c r="C409" s="198" t="n"/>
      <c r="D409" s="2" t="n"/>
      <c r="E409" s="2" t="n"/>
      <c r="G409" s="2" t="n"/>
      <c r="H409" s="3" t="n"/>
    </row>
    <row r="410">
      <c r="B410" s="263" t="n"/>
      <c r="C410" s="198" t="n"/>
      <c r="D410" s="2" t="n"/>
      <c r="E410" s="2" t="n"/>
      <c r="G410" s="2" t="n"/>
      <c r="H410" s="3" t="n"/>
    </row>
    <row r="411">
      <c r="B411" s="263" t="n"/>
      <c r="C411" s="198" t="n"/>
      <c r="D411" s="2" t="n"/>
      <c r="E411" s="2" t="n"/>
      <c r="G411" s="2" t="n"/>
      <c r="H411" s="3" t="n"/>
    </row>
    <row r="412">
      <c r="B412" s="263" t="n"/>
      <c r="C412" s="198" t="n"/>
      <c r="D412" s="2" t="n"/>
      <c r="E412" s="2" t="n"/>
      <c r="G412" s="2" t="n"/>
      <c r="H412" s="3" t="n"/>
    </row>
    <row r="413">
      <c r="B413" s="263" t="n"/>
      <c r="C413" s="198" t="n"/>
      <c r="D413" s="2" t="n"/>
      <c r="E413" s="2" t="n"/>
      <c r="G413" s="2" t="n"/>
      <c r="H413" s="3" t="n"/>
    </row>
    <row r="414">
      <c r="B414" s="263" t="n"/>
      <c r="C414" s="198" t="n"/>
      <c r="D414" s="2" t="n"/>
      <c r="E414" s="2" t="n"/>
      <c r="G414" s="2" t="n"/>
      <c r="H414" s="3" t="n"/>
    </row>
    <row r="415">
      <c r="B415" s="263" t="n"/>
      <c r="C415" s="198" t="n"/>
      <c r="D415" s="2" t="n"/>
      <c r="E415" s="2" t="n"/>
      <c r="G415" s="2" t="n"/>
      <c r="H415" s="3" t="n"/>
    </row>
    <row r="416">
      <c r="B416" s="263" t="n"/>
      <c r="C416" s="198" t="n"/>
      <c r="D416" s="2" t="n"/>
      <c r="E416" s="2" t="n"/>
      <c r="G416" s="2" t="n"/>
      <c r="H416" s="3" t="n"/>
    </row>
    <row r="417">
      <c r="B417" s="263" t="n"/>
      <c r="C417" s="198" t="n"/>
      <c r="D417" s="2" t="n"/>
      <c r="E417" s="2" t="n"/>
      <c r="G417" s="2" t="n"/>
      <c r="H417" s="3" t="n"/>
    </row>
    <row r="418">
      <c r="B418" s="263" t="n"/>
      <c r="C418" s="198" t="n"/>
      <c r="D418" s="2" t="n"/>
      <c r="E418" s="3" t="n"/>
      <c r="G418" s="2" t="n"/>
      <c r="H418" s="3" t="n"/>
    </row>
    <row r="419">
      <c r="B419" s="263" t="n"/>
      <c r="C419" s="198" t="n"/>
      <c r="D419" s="2" t="n"/>
      <c r="E419" s="3" t="n"/>
      <c r="G419" s="2" t="n"/>
      <c r="H419" s="3" t="n"/>
    </row>
    <row r="420">
      <c r="B420" s="263" t="n"/>
      <c r="C420" s="198" t="n"/>
      <c r="D420" s="2" t="n"/>
      <c r="E420" s="3" t="n"/>
      <c r="G420" s="2" t="n"/>
      <c r="H420" s="3" t="n"/>
    </row>
    <row r="421">
      <c r="B421" s="263" t="n"/>
      <c r="C421" s="198" t="n"/>
      <c r="D421" s="2" t="n"/>
      <c r="E421" s="3" t="n"/>
      <c r="G421" s="2" t="n"/>
      <c r="H421" s="3" t="n"/>
    </row>
    <row r="422">
      <c r="B422" s="263" t="n"/>
      <c r="C422" s="198" t="n"/>
      <c r="D422" s="2" t="n"/>
      <c r="E422" s="3" t="n"/>
      <c r="G422" s="2" t="n"/>
      <c r="H422" s="3" t="n"/>
    </row>
    <row r="423">
      <c r="B423" s="263" t="n"/>
      <c r="C423" s="198" t="n"/>
      <c r="D423" s="2" t="n"/>
      <c r="E423" s="3" t="n"/>
      <c r="G423" s="2" t="n"/>
      <c r="H423" s="3" t="n"/>
    </row>
    <row r="424">
      <c r="B424" s="263" t="n"/>
      <c r="C424" s="198" t="n"/>
      <c r="D424" s="2" t="n"/>
      <c r="E424" s="3" t="n"/>
      <c r="G424" s="2" t="n"/>
      <c r="H424" s="3" t="n"/>
    </row>
    <row r="425">
      <c r="B425" s="263" t="n"/>
      <c r="C425" s="198" t="n"/>
      <c r="D425" s="2" t="n"/>
      <c r="E425" s="3" t="n"/>
      <c r="G425" s="2" t="n"/>
      <c r="H425" s="3" t="n"/>
    </row>
    <row r="426">
      <c r="B426" s="263" t="n"/>
      <c r="C426" s="198" t="n"/>
      <c r="D426" s="2" t="n"/>
      <c r="E426" s="3" t="n"/>
      <c r="G426" s="2" t="n"/>
      <c r="H426" s="3" t="n"/>
    </row>
    <row r="427">
      <c r="B427" s="263" t="n"/>
      <c r="C427" s="198" t="n"/>
      <c r="D427" s="2" t="n"/>
      <c r="E427" s="3" t="n"/>
      <c r="G427" s="2" t="n"/>
      <c r="H427" s="3" t="n"/>
    </row>
    <row r="428">
      <c r="B428" s="263" t="n"/>
      <c r="C428" s="198" t="n"/>
      <c r="D428" s="2" t="n"/>
      <c r="E428" s="3" t="n"/>
      <c r="G428" s="2" t="n"/>
      <c r="H428" s="3" t="n"/>
    </row>
    <row r="429">
      <c r="B429" s="263" t="n"/>
      <c r="C429" s="198" t="n"/>
      <c r="D429" s="2" t="n"/>
      <c r="E429" s="3" t="n"/>
      <c r="G429" s="2" t="n"/>
      <c r="H429" s="3" t="n"/>
    </row>
    <row r="430">
      <c r="B430" s="263" t="n"/>
      <c r="C430" s="198" t="n"/>
      <c r="D430" s="2" t="n"/>
      <c r="E430" s="3" t="n"/>
      <c r="G430" s="2" t="n"/>
      <c r="H430" s="3" t="n"/>
    </row>
    <row r="431">
      <c r="B431" s="263" t="n"/>
      <c r="C431" s="198" t="n"/>
      <c r="D431" s="2" t="n"/>
      <c r="E431" s="3" t="n"/>
      <c r="G431" s="2" t="n"/>
      <c r="H431" s="3" t="n"/>
    </row>
    <row r="432">
      <c r="B432" s="263" t="n"/>
      <c r="C432" s="198" t="n"/>
      <c r="D432" s="2" t="n"/>
      <c r="E432" s="3" t="n"/>
      <c r="G432" s="2" t="n"/>
      <c r="H432" s="3" t="n"/>
    </row>
    <row r="433">
      <c r="B433" s="263" t="n"/>
      <c r="C433" s="198" t="n"/>
      <c r="D433" s="2" t="n"/>
      <c r="E433" s="3" t="n"/>
      <c r="G433" s="2" t="n"/>
      <c r="H433" s="3" t="n"/>
    </row>
    <row r="434">
      <c r="B434" s="263" t="n"/>
      <c r="C434" s="198" t="n"/>
      <c r="D434" s="2" t="n"/>
      <c r="E434" s="3" t="n"/>
      <c r="G434" s="2" t="n"/>
      <c r="H434" s="3" t="n"/>
    </row>
    <row r="435">
      <c r="B435" s="263" t="n"/>
      <c r="C435" s="198" t="n"/>
      <c r="D435" s="2" t="n"/>
      <c r="E435" s="3" t="n"/>
      <c r="G435" s="2" t="n"/>
      <c r="H435" s="3" t="n"/>
    </row>
    <row r="436">
      <c r="B436" s="263" t="n"/>
      <c r="C436" s="198" t="n"/>
      <c r="D436" s="2" t="n"/>
      <c r="E436" s="2" t="n"/>
      <c r="G436" s="2" t="n"/>
      <c r="H436" s="2" t="n"/>
    </row>
    <row r="437">
      <c r="B437" s="263" t="n"/>
      <c r="C437" s="198" t="n"/>
      <c r="D437" s="2" t="n"/>
      <c r="E437" s="2" t="n"/>
      <c r="G437" s="2" t="n"/>
      <c r="H437" s="2" t="n"/>
    </row>
    <row r="438">
      <c r="B438" s="263" t="n"/>
      <c r="C438" s="198" t="n"/>
      <c r="D438" s="2" t="n"/>
      <c r="E438" s="2" t="n"/>
      <c r="G438" s="2" t="n"/>
      <c r="H438" s="2" t="n"/>
    </row>
    <row r="439">
      <c r="B439" s="263" t="n"/>
      <c r="C439" s="198" t="n"/>
      <c r="D439" s="2" t="n"/>
      <c r="E439" s="2" t="n"/>
      <c r="G439" s="2" t="n"/>
      <c r="H439" s="2" t="n"/>
    </row>
    <row r="440">
      <c r="B440" s="263" t="n"/>
      <c r="C440" s="198" t="n"/>
      <c r="D440" s="2" t="n"/>
      <c r="E440" s="2" t="n"/>
      <c r="G440" s="2" t="n"/>
      <c r="H440" s="2" t="n"/>
    </row>
    <row r="441">
      <c r="B441" s="263" t="n"/>
      <c r="C441" s="198" t="n"/>
      <c r="D441" s="2" t="n"/>
      <c r="E441" s="2" t="n"/>
      <c r="G441" s="2" t="n"/>
      <c r="H441" s="2" t="n"/>
    </row>
    <row r="442">
      <c r="B442" s="263" t="n"/>
      <c r="C442" s="198" t="n"/>
      <c r="D442" s="2" t="n"/>
      <c r="E442" s="2" t="n"/>
      <c r="G442" s="2" t="n"/>
      <c r="H442" s="2" t="n"/>
    </row>
    <row r="443">
      <c r="B443" s="263" t="n"/>
      <c r="C443" s="198" t="n"/>
      <c r="D443" s="2" t="n"/>
      <c r="E443" s="2" t="n"/>
      <c r="G443" s="2" t="n"/>
      <c r="H443" s="2" t="n"/>
    </row>
    <row r="444">
      <c r="B444" s="263" t="n"/>
      <c r="C444" s="198" t="n"/>
      <c r="D444" s="2" t="n"/>
      <c r="E444" s="2" t="n"/>
      <c r="G444" s="2" t="n"/>
      <c r="H444" s="2" t="n"/>
    </row>
    <row r="445">
      <c r="B445" s="263" t="n"/>
      <c r="C445" s="198" t="n"/>
      <c r="D445" s="2" t="n"/>
      <c r="E445" s="2" t="n"/>
      <c r="G445" s="2" t="n"/>
      <c r="H445" s="2" t="n"/>
    </row>
    <row r="446">
      <c r="B446" s="263" t="n"/>
      <c r="C446" s="198" t="n"/>
      <c r="D446" s="2" t="n"/>
      <c r="E446" s="2" t="n"/>
      <c r="G446" s="2" t="n"/>
      <c r="H446" s="2" t="n"/>
    </row>
    <row r="447">
      <c r="B447" s="263" t="n"/>
      <c r="C447" s="198" t="n"/>
      <c r="D447" s="2" t="n"/>
      <c r="E447" s="2" t="n"/>
      <c r="G447" s="2" t="n"/>
      <c r="H447" s="2" t="n"/>
    </row>
    <row r="448">
      <c r="B448" s="263" t="n"/>
      <c r="C448" s="198" t="n"/>
      <c r="D448" s="2" t="n"/>
      <c r="E448" s="2" t="n"/>
      <c r="G448" s="2" t="n"/>
      <c r="H448" s="2" t="n"/>
    </row>
    <row r="449">
      <c r="B449" s="263" t="n"/>
      <c r="C449" s="198" t="n"/>
      <c r="D449" s="2" t="n"/>
      <c r="E449" s="2" t="n"/>
      <c r="G449" s="2" t="n"/>
      <c r="H449" s="2" t="n"/>
    </row>
    <row r="450">
      <c r="B450" s="263" t="n"/>
      <c r="C450" s="198" t="n"/>
      <c r="D450" s="2" t="n"/>
      <c r="E450" s="2" t="n"/>
      <c r="G450" s="2" t="n"/>
      <c r="H450" s="2" t="n"/>
    </row>
    <row r="451">
      <c r="B451" s="263" t="n"/>
      <c r="C451" s="198" t="n"/>
      <c r="D451" s="2" t="n"/>
      <c r="E451" s="2" t="n"/>
      <c r="G451" s="2" t="n"/>
      <c r="H451" s="2" t="n"/>
    </row>
    <row r="452">
      <c r="B452" s="263" t="n"/>
      <c r="C452" s="198" t="n"/>
      <c r="D452" s="2" t="n"/>
      <c r="E452" s="2" t="n"/>
      <c r="G452" s="2" t="n"/>
      <c r="H452" s="2" t="n"/>
    </row>
    <row r="453">
      <c r="B453" s="263" t="n"/>
      <c r="C453" s="198" t="n"/>
      <c r="D453" s="2" t="n"/>
      <c r="E453" s="2" t="n"/>
      <c r="G453" s="2" t="n"/>
      <c r="H453" s="2" t="n"/>
    </row>
    <row r="454">
      <c r="B454" s="263" t="n"/>
      <c r="C454" s="198" t="n"/>
      <c r="D454" s="2" t="n"/>
      <c r="E454" s="2" t="n"/>
      <c r="G454" s="2" t="n"/>
      <c r="H454" s="2" t="n"/>
    </row>
    <row r="455">
      <c r="B455" s="263" t="n"/>
      <c r="C455" s="198" t="n"/>
      <c r="D455" s="2" t="n"/>
      <c r="E455" s="3" t="n"/>
      <c r="G455" s="2" t="n"/>
      <c r="H455" s="2" t="n"/>
    </row>
    <row r="456">
      <c r="B456" s="263" t="n"/>
      <c r="C456" s="198" t="n"/>
      <c r="D456" s="2" t="n"/>
      <c r="E456" s="3" t="n"/>
      <c r="G456" s="2" t="n"/>
      <c r="H456" s="2" t="n"/>
    </row>
    <row r="457">
      <c r="B457" s="263" t="n"/>
      <c r="C457" s="198" t="n"/>
      <c r="D457" s="2" t="n"/>
      <c r="E457" s="3" t="n"/>
      <c r="G457" s="2" t="n"/>
      <c r="H457" s="2" t="n"/>
    </row>
    <row r="458">
      <c r="B458" s="263" t="n"/>
      <c r="C458" s="198" t="n"/>
      <c r="D458" s="2" t="n"/>
      <c r="E458" s="3" t="n"/>
      <c r="G458" s="2" t="n"/>
      <c r="H458" s="2" t="n"/>
    </row>
    <row r="459">
      <c r="B459" s="263" t="n"/>
      <c r="C459" s="198" t="n"/>
      <c r="D459" s="2" t="n"/>
      <c r="E459" s="3" t="n"/>
      <c r="G459" s="2" t="n"/>
      <c r="H459" s="2" t="n"/>
    </row>
    <row r="460">
      <c r="B460" s="263" t="n"/>
      <c r="C460" s="198" t="n"/>
      <c r="D460" s="2" t="n"/>
      <c r="E460" s="3" t="n"/>
      <c r="G460" s="2" t="n"/>
      <c r="H460" s="2" t="n"/>
    </row>
    <row r="461">
      <c r="B461" s="263" t="n"/>
      <c r="C461" s="198" t="n"/>
      <c r="D461" s="2" t="n"/>
      <c r="E461" s="3" t="n"/>
      <c r="G461" s="2" t="n"/>
      <c r="H461" s="2" t="n"/>
    </row>
    <row r="462">
      <c r="B462" s="263" t="n"/>
      <c r="C462" s="198" t="n"/>
      <c r="D462" s="2" t="n"/>
      <c r="E462" s="3" t="n"/>
      <c r="G462" s="2" t="n"/>
      <c r="H462" s="2" t="n"/>
    </row>
    <row r="463">
      <c r="B463" s="263" t="n"/>
      <c r="C463" s="198" t="n"/>
      <c r="D463" s="2" t="n"/>
      <c r="E463" s="3" t="n"/>
      <c r="G463" s="2" t="n"/>
      <c r="H463" s="2" t="n"/>
    </row>
    <row r="464">
      <c r="B464" s="263" t="n"/>
      <c r="C464" s="198" t="n"/>
      <c r="D464" s="2" t="n"/>
      <c r="E464" s="3" t="n"/>
      <c r="G464" s="2" t="n"/>
      <c r="H464" s="2" t="n"/>
    </row>
    <row r="465">
      <c r="B465" s="263" t="n"/>
      <c r="C465" s="198" t="n"/>
      <c r="D465" s="2" t="n"/>
      <c r="E465" s="3" t="n"/>
      <c r="G465" s="2" t="n"/>
      <c r="H465" s="2" t="n"/>
    </row>
    <row r="466">
      <c r="B466" s="263" t="n"/>
      <c r="C466" s="198" t="n"/>
      <c r="D466" s="2" t="n"/>
      <c r="E466" s="3" t="n"/>
      <c r="G466" s="2" t="n"/>
      <c r="H466" s="2" t="n"/>
    </row>
    <row r="467">
      <c r="B467" s="263" t="n"/>
      <c r="C467" s="198" t="n"/>
      <c r="D467" s="2" t="n"/>
      <c r="E467" s="3" t="n"/>
      <c r="G467" s="2" t="n"/>
      <c r="H467" s="3" t="n"/>
    </row>
    <row r="468">
      <c r="B468" s="263" t="n"/>
      <c r="C468" s="198" t="n"/>
      <c r="D468" s="2" t="n"/>
      <c r="E468" s="3" t="n"/>
      <c r="G468" s="2" t="n"/>
      <c r="H468" s="3" t="n"/>
    </row>
    <row r="469">
      <c r="B469" s="263" t="n"/>
      <c r="C469" s="198" t="n"/>
      <c r="D469" s="2" t="n"/>
      <c r="E469" s="3" t="n"/>
      <c r="G469" s="2" t="n"/>
      <c r="H469" s="3" t="n"/>
    </row>
    <row r="470">
      <c r="B470" s="263" t="n"/>
      <c r="C470" s="198" t="n"/>
      <c r="D470" s="2" t="n"/>
      <c r="E470" s="3" t="n"/>
      <c r="G470" s="2" t="n"/>
      <c r="H470" s="3" t="n"/>
    </row>
    <row r="471">
      <c r="B471" s="263" t="n"/>
      <c r="C471" s="198" t="n"/>
      <c r="D471" s="2" t="n"/>
      <c r="E471" s="3" t="n"/>
      <c r="G471" s="2" t="n"/>
      <c r="H471" s="3" t="n"/>
    </row>
    <row r="472">
      <c r="B472" s="263" t="n"/>
      <c r="C472" s="198" t="n"/>
      <c r="D472" s="2" t="n"/>
      <c r="E472" s="3" t="n"/>
      <c r="G472" s="2" t="n"/>
      <c r="H472" s="3" t="n"/>
    </row>
    <row r="473">
      <c r="B473" s="263" t="n"/>
      <c r="C473" s="198" t="n"/>
      <c r="D473" s="2" t="n"/>
      <c r="E473" s="3" t="n"/>
      <c r="G473" s="2" t="n"/>
      <c r="H473" s="3" t="n"/>
    </row>
    <row r="474">
      <c r="B474" s="263" t="n"/>
      <c r="C474" s="198" t="n"/>
      <c r="D474" s="2" t="n"/>
      <c r="E474" s="3" t="n"/>
      <c r="G474" s="2" t="n"/>
      <c r="H474" s="3" t="n"/>
    </row>
    <row r="475">
      <c r="B475" s="263" t="n"/>
      <c r="C475" s="198" t="n"/>
      <c r="D475" s="2" t="n"/>
      <c r="E475" s="3" t="n"/>
      <c r="G475" s="2" t="n"/>
      <c r="H475" s="3" t="n"/>
    </row>
    <row r="476">
      <c r="B476" s="263" t="n"/>
      <c r="C476" s="198" t="n"/>
      <c r="D476" s="2" t="n"/>
      <c r="E476" s="3" t="n"/>
      <c r="G476" s="2" t="n"/>
      <c r="H476" s="3" t="n"/>
    </row>
    <row r="477">
      <c r="B477" s="263" t="n"/>
      <c r="C477" s="198" t="n"/>
      <c r="D477" s="2" t="n"/>
      <c r="E477" s="3" t="n"/>
      <c r="G477" s="2" t="n"/>
      <c r="H477" s="3" t="n"/>
    </row>
    <row r="478">
      <c r="B478" s="263" t="n"/>
      <c r="C478" s="198" t="n"/>
      <c r="D478" s="2" t="n"/>
      <c r="E478" s="3" t="n"/>
      <c r="G478" s="2" t="n"/>
      <c r="H478" s="3" t="n"/>
    </row>
    <row r="479">
      <c r="B479" s="263" t="n"/>
      <c r="C479" s="198" t="n"/>
      <c r="D479" s="2" t="n"/>
      <c r="E479" s="3" t="n"/>
      <c r="G479" s="2" t="n"/>
      <c r="H479" s="3" t="n"/>
    </row>
    <row r="480">
      <c r="B480" s="263" t="n"/>
      <c r="C480" s="198" t="n"/>
      <c r="D480" s="2" t="n"/>
      <c r="E480" s="3" t="n"/>
      <c r="G480" s="2" t="n"/>
      <c r="H480" s="3" t="n"/>
    </row>
    <row r="481">
      <c r="B481" s="263" t="n"/>
      <c r="C481" s="198" t="n"/>
      <c r="D481" s="2" t="n"/>
      <c r="E481" s="3" t="n"/>
      <c r="G481" s="2" t="n"/>
      <c r="H481" s="3" t="n"/>
    </row>
    <row r="482">
      <c r="B482" s="263" t="n"/>
      <c r="C482" s="198" t="n"/>
      <c r="D482" s="2" t="n"/>
      <c r="E482" s="3" t="n"/>
      <c r="G482" s="2" t="n"/>
      <c r="H482" s="3" t="n"/>
    </row>
    <row r="483">
      <c r="B483" s="263" t="n"/>
      <c r="C483" s="198" t="n"/>
      <c r="D483" s="2" t="n"/>
      <c r="E483" s="3" t="n"/>
      <c r="G483" s="2" t="n"/>
      <c r="H483" s="3" t="n"/>
    </row>
    <row r="484">
      <c r="B484" s="263" t="n"/>
      <c r="C484" s="198" t="n"/>
      <c r="D484" s="2" t="n"/>
      <c r="E484" s="3" t="n"/>
      <c r="G484" s="2" t="n"/>
      <c r="H484" s="3" t="n"/>
    </row>
    <row r="485">
      <c r="B485" s="263" t="n"/>
      <c r="C485" s="198" t="n"/>
      <c r="D485" s="2" t="n"/>
      <c r="E485" s="3" t="n"/>
      <c r="G485" s="2" t="n"/>
      <c r="H485" s="3" t="n"/>
    </row>
    <row r="486">
      <c r="B486" s="263" t="n"/>
      <c r="C486" s="198" t="n"/>
      <c r="D486" s="2" t="n"/>
      <c r="E486" s="3" t="n"/>
      <c r="G486" s="2" t="n"/>
      <c r="H486" s="3" t="n"/>
    </row>
    <row r="487">
      <c r="B487" s="263" t="n"/>
      <c r="C487" s="198" t="n"/>
      <c r="D487" s="2" t="n"/>
      <c r="E487" s="3" t="n"/>
      <c r="G487" s="2" t="n"/>
      <c r="H487" s="3" t="n"/>
    </row>
    <row r="488">
      <c r="B488" s="263" t="n"/>
      <c r="C488" s="198" t="n"/>
      <c r="D488" s="2" t="n"/>
      <c r="E488" s="3" t="n"/>
      <c r="G488" s="2" t="n"/>
      <c r="H488" s="3" t="n"/>
    </row>
    <row r="489">
      <c r="B489" s="263" t="n"/>
      <c r="C489" s="198" t="n"/>
      <c r="D489" s="2" t="n"/>
      <c r="E489" s="3" t="n"/>
      <c r="G489" s="2" t="n"/>
      <c r="H489" s="3" t="n"/>
    </row>
    <row r="490">
      <c r="B490" s="263" t="n"/>
      <c r="C490" s="198" t="n"/>
      <c r="D490" s="2" t="n"/>
      <c r="E490" s="3" t="n"/>
      <c r="G490" s="2" t="n"/>
      <c r="H490" s="3" t="n"/>
    </row>
    <row r="491">
      <c r="B491" s="263" t="n"/>
      <c r="C491" s="198" t="n"/>
      <c r="D491" s="2" t="n"/>
      <c r="E491" s="3" t="n"/>
      <c r="G491" s="2" t="n"/>
      <c r="H491" s="3" t="n"/>
    </row>
    <row r="492">
      <c r="B492" s="263" t="n"/>
      <c r="C492" s="198" t="n"/>
      <c r="D492" s="2" t="n"/>
      <c r="E492" s="3" t="n"/>
      <c r="G492" s="2" t="n"/>
      <c r="H492" s="3" t="n"/>
    </row>
    <row r="493">
      <c r="B493" s="263" t="n"/>
      <c r="C493" s="198" t="n"/>
      <c r="D493" s="2" t="n"/>
      <c r="E493" s="3" t="n"/>
      <c r="G493" s="2" t="n"/>
      <c r="H493" s="3" t="n"/>
    </row>
    <row r="494">
      <c r="B494" s="263" t="n"/>
      <c r="C494" s="198" t="n"/>
      <c r="D494" s="2" t="n"/>
      <c r="E494" s="3" t="n"/>
      <c r="G494" s="2" t="n"/>
      <c r="H494" s="3" t="n"/>
    </row>
    <row r="495">
      <c r="B495" s="263" t="n"/>
      <c r="C495" s="198" t="n"/>
      <c r="G495" s="2" t="n"/>
      <c r="H495" s="3" t="n"/>
    </row>
    <row r="496">
      <c r="B496" s="263" t="n"/>
      <c r="C496" s="198" t="n"/>
      <c r="G496" s="2" t="n"/>
      <c r="H496" s="3" t="n"/>
    </row>
    <row r="497">
      <c r="B497" s="263" t="n"/>
      <c r="C497" s="198" t="n"/>
      <c r="G497" s="2" t="n"/>
      <c r="H497" s="3" t="n"/>
    </row>
    <row r="498">
      <c r="B498" s="263" t="n"/>
      <c r="C498" s="198" t="n"/>
      <c r="G498" s="2" t="n"/>
      <c r="H498" s="3" t="n"/>
    </row>
    <row r="499">
      <c r="B499" s="263" t="n"/>
      <c r="C499" s="198" t="n"/>
      <c r="G499" s="2" t="n"/>
      <c r="H499" s="3" t="n"/>
    </row>
    <row r="500">
      <c r="B500" s="263" t="n"/>
      <c r="C500" s="198" t="n"/>
      <c r="G500" s="2" t="n"/>
      <c r="H500" s="3" t="n"/>
    </row>
    <row r="501">
      <c r="B501" s="263" t="n"/>
      <c r="C501" s="198" t="n"/>
      <c r="G501" s="2" t="n"/>
      <c r="H501" s="3" t="n"/>
    </row>
    <row r="502">
      <c r="B502" s="263" t="n"/>
      <c r="C502" s="198" t="n"/>
      <c r="G502" s="2" t="n"/>
      <c r="H502" s="3" t="n"/>
    </row>
    <row r="503">
      <c r="B503" s="263" t="n"/>
      <c r="C503" s="198" t="n"/>
      <c r="G503" s="2" t="n"/>
      <c r="H503" s="3" t="n"/>
    </row>
    <row r="504">
      <c r="B504" s="263" t="n"/>
      <c r="C504" s="198" t="n"/>
      <c r="G504" s="2" t="n"/>
      <c r="H504" s="3" t="n"/>
    </row>
    <row r="505">
      <c r="B505" s="263" t="n"/>
      <c r="C505" s="198" t="n"/>
      <c r="G505" s="2" t="n"/>
      <c r="H505" s="3" t="n"/>
    </row>
    <row r="506">
      <c r="B506" s="263" t="n"/>
      <c r="C506" s="198" t="n"/>
      <c r="G506" s="2" t="n"/>
      <c r="H506" s="3" t="n"/>
    </row>
    <row r="507">
      <c r="B507" s="263" t="n"/>
      <c r="C507" s="198" t="n"/>
      <c r="G507" s="2" t="n"/>
      <c r="H507" s="3" t="n"/>
    </row>
    <row r="508">
      <c r="B508" s="263" t="n"/>
      <c r="C508" s="198" t="n"/>
      <c r="G508" s="2" t="n"/>
      <c r="H508" s="3" t="n"/>
    </row>
    <row r="509">
      <c r="B509" s="263" t="n"/>
      <c r="C509" s="198" t="n"/>
      <c r="G509" s="2" t="n"/>
      <c r="H509" s="3" t="n"/>
    </row>
    <row r="510">
      <c r="B510" s="263" t="n"/>
      <c r="C510" s="198" t="n"/>
      <c r="G510" s="2" t="n"/>
      <c r="H510" s="3" t="n"/>
    </row>
    <row r="511">
      <c r="B511" s="263" t="n"/>
      <c r="C511" s="198" t="n"/>
      <c r="G511" s="2" t="n"/>
      <c r="H511" s="3" t="n"/>
    </row>
    <row r="512">
      <c r="B512" s="263" t="n"/>
      <c r="C512" s="198" t="n"/>
      <c r="G512" s="2" t="n"/>
      <c r="H512" s="3" t="n"/>
    </row>
    <row r="513">
      <c r="B513" s="263" t="n"/>
      <c r="C513" s="198" t="n"/>
      <c r="G513" s="2" t="n"/>
      <c r="H513" s="3" t="n"/>
    </row>
    <row r="514">
      <c r="B514" s="263" t="n"/>
      <c r="C514" s="198" t="n"/>
      <c r="G514" s="2" t="n"/>
      <c r="H514" s="3" t="n"/>
    </row>
    <row r="515">
      <c r="B515" s="263" t="n"/>
      <c r="C515" s="198" t="n"/>
      <c r="G515" s="2" t="n"/>
      <c r="H515" s="3" t="n"/>
    </row>
    <row r="516">
      <c r="B516" s="263" t="n"/>
      <c r="C516" s="198" t="n"/>
      <c r="G516" s="2" t="n"/>
      <c r="H516" s="3" t="n"/>
    </row>
    <row r="517">
      <c r="B517" s="263" t="n"/>
      <c r="C517" s="198" t="n"/>
      <c r="G517" s="2" t="n"/>
      <c r="H517" s="3" t="n"/>
    </row>
    <row r="518">
      <c r="B518" s="263" t="n"/>
      <c r="C518" s="198" t="n"/>
      <c r="G518" s="2" t="n"/>
      <c r="H518" s="3" t="n"/>
    </row>
    <row r="519">
      <c r="B519" s="263" t="n"/>
      <c r="C519" s="198" t="n"/>
      <c r="G519" s="2" t="n"/>
      <c r="H519" s="3" t="n"/>
    </row>
    <row r="520">
      <c r="B520" s="263" t="n"/>
      <c r="C520" s="198" t="n"/>
      <c r="G520" s="2" t="n"/>
      <c r="H520" s="3" t="n"/>
    </row>
    <row r="521">
      <c r="B521" s="263" t="n"/>
      <c r="C521" s="198" t="n"/>
      <c r="G521" s="2" t="n"/>
      <c r="H521" s="3" t="n"/>
    </row>
    <row r="522">
      <c r="B522" s="263" t="n"/>
      <c r="C522" s="198" t="n"/>
      <c r="G522" s="2" t="n"/>
      <c r="H522" s="3" t="n"/>
    </row>
    <row r="523">
      <c r="B523" s="263" t="n"/>
      <c r="C523" s="198" t="n"/>
      <c r="G523" s="2" t="n"/>
      <c r="H523" s="3" t="n"/>
    </row>
    <row r="524">
      <c r="B524" s="263" t="n"/>
      <c r="C524" s="198" t="n"/>
      <c r="G524" s="2" t="n"/>
      <c r="H524" s="3" t="n"/>
    </row>
    <row r="525">
      <c r="B525" s="263" t="n"/>
      <c r="C525" s="198" t="n"/>
      <c r="G525" s="2" t="n"/>
      <c r="H525" s="3" t="n"/>
    </row>
    <row r="526">
      <c r="B526" s="263" t="n"/>
      <c r="C526" s="198" t="n"/>
      <c r="G526" s="2" t="n"/>
      <c r="H526" s="3" t="n"/>
    </row>
    <row r="527">
      <c r="B527" s="263" t="n"/>
      <c r="C527" s="198" t="n"/>
      <c r="G527" s="2" t="n"/>
      <c r="H527" s="3" t="n"/>
    </row>
    <row r="528">
      <c r="B528" s="263" t="n"/>
      <c r="C528" s="198" t="n"/>
      <c r="G528" s="2" t="n"/>
      <c r="H528" s="3" t="n"/>
    </row>
    <row r="529">
      <c r="B529" s="263" t="n"/>
      <c r="C529" s="198" t="n"/>
      <c r="G529" s="2" t="n"/>
      <c r="H529" s="3" t="n"/>
    </row>
    <row r="530">
      <c r="B530" s="263" t="n"/>
      <c r="C530" s="198" t="n"/>
      <c r="G530" s="2" t="n"/>
      <c r="H530" s="3" t="n"/>
    </row>
    <row r="531">
      <c r="B531" s="263" t="n"/>
      <c r="C531" s="198" t="n"/>
      <c r="G531" s="2" t="n"/>
      <c r="H531" s="3" t="n"/>
    </row>
    <row r="532">
      <c r="B532" s="263" t="n"/>
      <c r="C532" s="198" t="n"/>
      <c r="G532" s="2" t="n"/>
      <c r="H532" s="3" t="n"/>
    </row>
    <row r="533">
      <c r="B533" s="263" t="n"/>
      <c r="C533" s="198" t="n"/>
      <c r="G533" s="2" t="n"/>
      <c r="H533" s="3" t="n"/>
    </row>
    <row r="534">
      <c r="B534" s="263" t="n"/>
      <c r="C534" s="198" t="n"/>
      <c r="G534" s="2" t="n"/>
      <c r="H534" s="3" t="n"/>
    </row>
    <row r="535">
      <c r="B535" s="263" t="n"/>
      <c r="C535" s="198" t="n"/>
    </row>
    <row r="536">
      <c r="B536" s="263" t="n"/>
      <c r="C536" s="198" t="n"/>
    </row>
    <row r="537">
      <c r="B537" s="263" t="n"/>
      <c r="C537" s="198" t="n"/>
    </row>
    <row r="538">
      <c r="B538" s="263" t="n"/>
      <c r="C538" s="198" t="n"/>
    </row>
    <row r="539">
      <c r="B539" s="263" t="n"/>
      <c r="C539" s="198" t="n"/>
    </row>
    <row r="540">
      <c r="B540" s="263" t="n"/>
      <c r="C540" s="198" t="n"/>
    </row>
    <row r="541">
      <c r="B541" s="263" t="n"/>
      <c r="C541" s="198" t="n"/>
    </row>
    <row r="542">
      <c r="B542" s="263" t="n"/>
      <c r="C542" s="198" t="n"/>
    </row>
    <row r="543">
      <c r="B543" s="263" t="n"/>
      <c r="C543" s="198" t="n"/>
    </row>
    <row r="544">
      <c r="B544" s="263" t="n"/>
      <c r="C544" s="198" t="n"/>
    </row>
    <row r="545">
      <c r="B545" s="263" t="n"/>
      <c r="C545" s="198" t="n"/>
    </row>
    <row r="546">
      <c r="B546" s="263" t="n"/>
      <c r="C546" s="198" t="n"/>
    </row>
    <row r="547">
      <c r="B547" s="263" t="n"/>
      <c r="C547" s="198" t="n"/>
    </row>
    <row r="548">
      <c r="B548" s="263" t="n"/>
      <c r="C548" s="198" t="n"/>
    </row>
    <row r="549">
      <c r="B549" s="263" t="n"/>
      <c r="C549" s="198" t="n"/>
    </row>
    <row r="550">
      <c r="B550" s="263" t="n"/>
      <c r="C550" s="198" t="n"/>
    </row>
    <row r="551">
      <c r="B551" s="263" t="n"/>
      <c r="C551" s="198" t="n"/>
    </row>
    <row r="552">
      <c r="B552" s="263" t="n"/>
      <c r="C552" s="198" t="n"/>
    </row>
    <row r="553">
      <c r="B553" s="263" t="n"/>
      <c r="C553" s="198" t="n"/>
    </row>
    <row r="554">
      <c r="B554" s="263" t="n"/>
      <c r="C554" s="198" t="n"/>
    </row>
    <row r="555">
      <c r="B555" s="263" t="n"/>
      <c r="C555" s="198" t="n"/>
    </row>
    <row r="556">
      <c r="B556" s="263" t="n"/>
      <c r="C556" s="198" t="n"/>
    </row>
    <row r="557">
      <c r="B557" s="263" t="n"/>
      <c r="C557" s="198" t="n"/>
    </row>
    <row r="558">
      <c r="B558" s="263" t="n"/>
      <c r="C558" s="198" t="n"/>
    </row>
    <row r="559">
      <c r="B559" s="263" t="n"/>
      <c r="C559" s="198" t="n"/>
    </row>
    <row r="560">
      <c r="B560" s="263" t="n"/>
      <c r="C560" s="198" t="n"/>
    </row>
    <row r="561">
      <c r="B561" s="263" t="n"/>
      <c r="C561" s="198" t="n"/>
    </row>
    <row r="562">
      <c r="B562" s="263" t="n"/>
      <c r="C562" s="198" t="n"/>
    </row>
    <row r="563">
      <c r="B563" s="263" t="n"/>
      <c r="C563" s="198" t="n"/>
    </row>
    <row r="564">
      <c r="B564" s="263" t="n"/>
      <c r="C564" s="198" t="n"/>
    </row>
    <row r="565">
      <c r="B565" s="263" t="n"/>
      <c r="C565" s="198" t="n"/>
    </row>
    <row r="566">
      <c r="B566" s="263" t="n"/>
      <c r="C566" s="198" t="n"/>
    </row>
    <row r="567">
      <c r="B567" s="263" t="n"/>
      <c r="C567" s="198" t="n"/>
    </row>
    <row r="568">
      <c r="B568" s="263" t="n"/>
      <c r="C568" s="198" t="n"/>
    </row>
    <row r="569">
      <c r="B569" s="263" t="n"/>
      <c r="C569" s="198" t="n"/>
    </row>
    <row r="570">
      <c r="B570" s="263" t="n"/>
      <c r="C570" s="198" t="n"/>
    </row>
    <row r="571">
      <c r="B571" s="263" t="n"/>
      <c r="C571" s="198" t="n"/>
    </row>
    <row r="572">
      <c r="B572" s="263" t="n"/>
      <c r="C572" s="198" t="n"/>
    </row>
    <row r="573">
      <c r="B573" s="263" t="n"/>
      <c r="C573" s="198" t="n"/>
    </row>
    <row r="574">
      <c r="B574" s="263" t="n"/>
      <c r="C574" s="198" t="n"/>
    </row>
    <row r="575">
      <c r="B575" s="263" t="n"/>
      <c r="C575" s="198" t="n"/>
    </row>
    <row r="576">
      <c r="B576" s="263" t="n"/>
      <c r="C576" s="198" t="n"/>
    </row>
    <row r="577">
      <c r="B577" s="263" t="n"/>
      <c r="C577" s="198" t="n"/>
    </row>
    <row r="578">
      <c r="B578" s="263" t="n"/>
      <c r="C578" s="198" t="n"/>
    </row>
    <row r="579">
      <c r="B579" s="263" t="n"/>
      <c r="C579" s="198" t="n"/>
    </row>
    <row r="580">
      <c r="B580" s="263" t="n"/>
      <c r="C580" s="198" t="n"/>
    </row>
    <row r="581">
      <c r="B581" s="263" t="n"/>
      <c r="C581" s="198" t="n"/>
    </row>
    <row r="582">
      <c r="B582" s="263" t="n"/>
      <c r="C582" s="198" t="n"/>
    </row>
    <row r="583">
      <c r="B583" s="263" t="n"/>
      <c r="C583" s="198" t="n"/>
    </row>
    <row r="584">
      <c r="B584" s="263" t="n"/>
      <c r="C584" s="198" t="n"/>
    </row>
    <row r="585">
      <c r="B585" s="263" t="n"/>
      <c r="C585" s="198" t="n"/>
    </row>
    <row r="586">
      <c r="B586" s="263" t="n"/>
      <c r="C586" s="198" t="n"/>
    </row>
    <row r="587">
      <c r="B587" s="263" t="n"/>
      <c r="C587" s="198" t="n"/>
    </row>
    <row r="588">
      <c r="B588" s="263" t="n"/>
      <c r="C588" s="198" t="n"/>
    </row>
    <row r="589">
      <c r="B589" s="263" t="n"/>
      <c r="C589" s="198" t="n"/>
    </row>
    <row r="590">
      <c r="B590" s="263" t="n"/>
      <c r="C590" s="198" t="n"/>
    </row>
    <row r="591">
      <c r="B591" s="263" t="n"/>
      <c r="C591" s="198" t="n"/>
    </row>
    <row r="592">
      <c r="B592" s="263" t="n"/>
      <c r="C592" s="198" t="n"/>
    </row>
    <row r="593">
      <c r="B593" s="263" t="n"/>
      <c r="C593" s="198" t="n"/>
    </row>
    <row r="594">
      <c r="B594" s="263" t="n"/>
      <c r="C594" s="198" t="n"/>
    </row>
    <row r="595">
      <c r="B595" s="263" t="n"/>
      <c r="C595" s="198" t="n"/>
    </row>
    <row r="596">
      <c r="B596" s="263" t="n"/>
      <c r="C596" s="198" t="n"/>
    </row>
    <row r="597">
      <c r="B597" s="263" t="n"/>
      <c r="C597" s="198" t="n"/>
    </row>
    <row r="598">
      <c r="B598" s="263" t="n"/>
      <c r="C598" s="198" t="n"/>
    </row>
    <row r="599">
      <c r="B599" s="263" t="n"/>
      <c r="C599" s="198" t="n"/>
    </row>
    <row r="600">
      <c r="B600" s="263" t="n"/>
      <c r="C600" s="198" t="n"/>
    </row>
    <row r="601">
      <c r="B601" s="263" t="n"/>
      <c r="C601" s="198" t="n"/>
    </row>
    <row r="602">
      <c r="B602" s="263" t="n"/>
      <c r="C602" s="198" t="n"/>
    </row>
    <row r="603">
      <c r="B603" s="263" t="n"/>
      <c r="C603" s="198" t="n"/>
    </row>
    <row r="604">
      <c r="B604" s="263" t="n"/>
      <c r="C604" s="198" t="n"/>
    </row>
    <row r="605">
      <c r="B605" s="263" t="n"/>
      <c r="C605" s="198" t="n"/>
    </row>
    <row r="606">
      <c r="B606" s="263" t="n"/>
      <c r="C606" s="198" t="n"/>
    </row>
    <row r="607">
      <c r="B607" s="263" t="n"/>
      <c r="C607" s="198" t="n"/>
    </row>
    <row r="608">
      <c r="B608" s="263" t="n"/>
      <c r="C608" s="198" t="n"/>
    </row>
    <row r="609">
      <c r="B609" s="263" t="n"/>
      <c r="C609" s="198" t="n"/>
    </row>
    <row r="610">
      <c r="B610" s="263" t="n"/>
      <c r="C610" s="198" t="n"/>
    </row>
    <row r="611">
      <c r="B611" s="263" t="n"/>
      <c r="C611" s="198" t="n"/>
    </row>
    <row r="612">
      <c r="B612" s="263" t="n"/>
      <c r="C612" s="198" t="n"/>
    </row>
    <row r="613">
      <c r="B613" s="263" t="n"/>
      <c r="C613" s="198" t="n"/>
    </row>
    <row r="614">
      <c r="B614" s="263" t="n"/>
      <c r="C614" s="198" t="n"/>
    </row>
    <row r="615">
      <c r="B615" s="263" t="n"/>
      <c r="C615" s="198" t="n"/>
    </row>
    <row r="616">
      <c r="B616" s="263" t="n"/>
      <c r="C616" s="198" t="n"/>
    </row>
    <row r="617">
      <c r="B617" s="263" t="n"/>
      <c r="C617" s="198" t="n"/>
    </row>
    <row r="618">
      <c r="B618" s="263" t="n"/>
      <c r="C618" s="198" t="n"/>
    </row>
    <row r="619">
      <c r="B619" s="263" t="n"/>
      <c r="C619" s="198" t="n"/>
    </row>
    <row r="620">
      <c r="B620" s="263" t="n"/>
      <c r="C620" s="198" t="n"/>
    </row>
    <row r="621">
      <c r="B621" s="263" t="n"/>
      <c r="C621" s="198" t="n"/>
    </row>
    <row r="622">
      <c r="B622" s="263" t="n"/>
      <c r="C622" s="198" t="n"/>
    </row>
    <row r="623">
      <c r="B623" s="263" t="n"/>
      <c r="C623" s="198" t="n"/>
    </row>
    <row r="624">
      <c r="B624" s="263" t="n"/>
      <c r="C624" s="198" t="n"/>
    </row>
    <row r="625">
      <c r="B625" s="263" t="n"/>
      <c r="C625" s="198" t="n"/>
    </row>
    <row r="626">
      <c r="B626" s="263" t="n"/>
      <c r="C626" s="198" t="n"/>
    </row>
    <row r="627">
      <c r="B627" s="263" t="n"/>
      <c r="C627" s="198" t="n"/>
    </row>
    <row r="628">
      <c r="B628" s="263" t="n"/>
      <c r="C628" s="198" t="n"/>
    </row>
    <row r="629">
      <c r="B629" s="263" t="n"/>
      <c r="C629" s="198" t="n"/>
    </row>
    <row r="630">
      <c r="B630" s="263" t="n"/>
      <c r="C630" s="198" t="n"/>
    </row>
    <row r="631">
      <c r="B631" s="263" t="n"/>
      <c r="C631" s="198" t="n"/>
    </row>
    <row r="632">
      <c r="B632" s="263" t="n"/>
      <c r="C632" s="198" t="n"/>
    </row>
    <row r="633">
      <c r="B633" s="263" t="n"/>
      <c r="C633" s="198" t="n"/>
    </row>
    <row r="634">
      <c r="B634" s="263" t="n"/>
      <c r="C634" s="198" t="n"/>
    </row>
    <row r="635">
      <c r="B635" s="263" t="n"/>
      <c r="C635" s="198" t="n"/>
    </row>
    <row r="636">
      <c r="B636" s="263" t="n"/>
      <c r="C636" s="198" t="n"/>
    </row>
    <row r="637">
      <c r="B637" s="263" t="n"/>
      <c r="C637" s="198" t="n"/>
    </row>
    <row r="638">
      <c r="B638" s="263" t="n"/>
      <c r="C638" s="198" t="n"/>
    </row>
    <row r="639">
      <c r="B639" s="263" t="n"/>
      <c r="C639" s="198" t="n"/>
    </row>
    <row r="640">
      <c r="B640" s="263" t="n"/>
      <c r="C640" s="198" t="n"/>
    </row>
    <row r="641">
      <c r="B641" s="263" t="n"/>
      <c r="C641" s="198" t="n"/>
    </row>
    <row r="642">
      <c r="B642" s="263" t="n"/>
      <c r="C642" s="198" t="n"/>
    </row>
    <row r="643">
      <c r="B643" s="263" t="n"/>
      <c r="C643" s="198" t="n"/>
    </row>
    <row r="644">
      <c r="B644" s="263" t="n"/>
      <c r="C644" s="198" t="n"/>
    </row>
    <row r="645">
      <c r="B645" s="263" t="n"/>
      <c r="C645" s="198" t="n"/>
    </row>
    <row r="646">
      <c r="B646" s="263" t="n"/>
      <c r="C646" s="198" t="n"/>
    </row>
    <row r="647">
      <c r="B647" s="263" t="n"/>
      <c r="C647" s="198" t="n"/>
    </row>
    <row r="648">
      <c r="B648" s="263" t="n"/>
      <c r="C648" s="198" t="n"/>
    </row>
    <row r="649">
      <c r="B649" s="263" t="n"/>
      <c r="C649" s="198" t="n"/>
    </row>
    <row r="650">
      <c r="B650" s="263" t="n"/>
      <c r="C650" s="198" t="n"/>
    </row>
    <row r="651">
      <c r="B651" s="263" t="n"/>
      <c r="C651" s="198" t="n"/>
    </row>
    <row r="652">
      <c r="B652" s="263" t="n"/>
      <c r="C652" s="198" t="n"/>
    </row>
    <row r="653">
      <c r="B653" s="263" t="n"/>
      <c r="C653" s="198" t="n"/>
    </row>
    <row r="654">
      <c r="B654" s="263" t="n"/>
      <c r="C654" s="198" t="n"/>
    </row>
    <row r="655">
      <c r="B655" s="263" t="n"/>
      <c r="C655" s="198" t="n"/>
    </row>
    <row r="656">
      <c r="B656" s="263" t="n"/>
      <c r="C656" s="198" t="n"/>
    </row>
    <row r="657">
      <c r="B657" s="263" t="n"/>
      <c r="C657" s="198" t="n"/>
    </row>
    <row r="658">
      <c r="B658" s="263" t="n"/>
      <c r="C658" s="198" t="n"/>
    </row>
    <row r="659">
      <c r="B659" s="263" t="n"/>
      <c r="C659" s="198" t="n"/>
    </row>
    <row r="660">
      <c r="B660" s="263" t="n"/>
      <c r="C660" s="198" t="n"/>
    </row>
    <row r="661">
      <c r="B661" s="263" t="n"/>
      <c r="C661" s="198" t="n"/>
    </row>
    <row r="662">
      <c r="B662" s="263" t="n"/>
      <c r="C662" s="198" t="n"/>
    </row>
    <row r="663">
      <c r="B663" s="263" t="n"/>
      <c r="C663" s="198" t="n"/>
    </row>
    <row r="664">
      <c r="B664" s="263" t="n"/>
      <c r="C664" s="198" t="n"/>
    </row>
    <row r="665">
      <c r="B665" s="263" t="n"/>
      <c r="C665" s="198" t="n"/>
    </row>
    <row r="666">
      <c r="B666" s="263" t="n"/>
      <c r="C666" s="198" t="n"/>
    </row>
    <row r="667">
      <c r="B667" s="263" t="n"/>
      <c r="C667" s="198" t="n"/>
    </row>
    <row r="668">
      <c r="B668" s="263" t="n"/>
      <c r="C668" s="198" t="n"/>
    </row>
    <row r="669">
      <c r="B669" s="263" t="n"/>
      <c r="C669" s="198" t="n"/>
    </row>
    <row r="670">
      <c r="B670" s="263" t="n"/>
      <c r="C670" s="198" t="n"/>
    </row>
    <row r="671">
      <c r="B671" s="263" t="n"/>
      <c r="C671" s="198" t="n"/>
    </row>
    <row r="672">
      <c r="B672" s="263" t="n"/>
      <c r="C672" s="198" t="n"/>
    </row>
    <row r="673">
      <c r="B673" s="263" t="n"/>
      <c r="C673" s="198" t="n"/>
    </row>
    <row r="674">
      <c r="B674" s="263" t="n"/>
      <c r="C674" s="198" t="n"/>
    </row>
    <row r="675">
      <c r="B675" s="263" t="n"/>
      <c r="C675" s="198" t="n"/>
    </row>
    <row r="676">
      <c r="B676" s="263" t="n"/>
      <c r="C676" s="198" t="n"/>
    </row>
    <row r="677">
      <c r="B677" s="263" t="n"/>
      <c r="C677" s="198" t="n"/>
    </row>
    <row r="678">
      <c r="B678" s="263" t="n"/>
      <c r="C678" s="198" t="n"/>
    </row>
    <row r="679">
      <c r="B679" s="263" t="n"/>
      <c r="C679" s="198" t="n"/>
    </row>
    <row r="680">
      <c r="B680" s="263" t="n"/>
      <c r="C680" s="198" t="n"/>
    </row>
    <row r="681">
      <c r="B681" s="263" t="n"/>
      <c r="C681" s="198" t="n"/>
    </row>
    <row r="682">
      <c r="B682" s="263" t="n"/>
      <c r="C682" s="198" t="n"/>
    </row>
    <row r="683">
      <c r="B683" s="263" t="n"/>
      <c r="C683" s="198" t="n"/>
    </row>
    <row r="684">
      <c r="B684" s="263" t="n"/>
      <c r="C684" s="198" t="n"/>
    </row>
    <row r="685">
      <c r="B685" s="263" t="n"/>
      <c r="C685" s="198" t="n"/>
    </row>
    <row r="686">
      <c r="B686" s="263" t="n"/>
      <c r="C686" s="198" t="n"/>
    </row>
    <row r="687">
      <c r="B687" s="263" t="n"/>
      <c r="C687" s="198" t="n"/>
    </row>
    <row r="688">
      <c r="B688" s="263" t="n"/>
      <c r="C688" s="198" t="n"/>
    </row>
    <row r="689">
      <c r="B689" s="263" t="n"/>
      <c r="C689" s="198" t="n"/>
    </row>
    <row r="690">
      <c r="B690" s="263" t="n"/>
      <c r="C690" s="198" t="n"/>
    </row>
    <row r="691">
      <c r="B691" s="263" t="n"/>
      <c r="C691" s="198" t="n"/>
    </row>
    <row r="692">
      <c r="B692" s="263" t="n"/>
      <c r="C692" s="198" t="n"/>
    </row>
    <row r="693">
      <c r="B693" s="263" t="n"/>
      <c r="C693" s="198" t="n"/>
    </row>
    <row r="694">
      <c r="B694" s="263" t="n"/>
      <c r="C694" s="198" t="n"/>
    </row>
    <row r="695">
      <c r="B695" s="263" t="n"/>
      <c r="C695" s="198" t="n"/>
    </row>
    <row r="696">
      <c r="B696" s="263" t="n"/>
      <c r="C696" s="198" t="n"/>
    </row>
    <row r="697">
      <c r="B697" s="263" t="n"/>
      <c r="C697" s="198" t="n"/>
    </row>
    <row r="698">
      <c r="B698" s="263" t="n"/>
      <c r="C698" s="198" t="n"/>
    </row>
    <row r="699">
      <c r="B699" s="263" t="n"/>
      <c r="C699" s="198" t="n"/>
    </row>
    <row r="700">
      <c r="B700" s="263" t="n"/>
      <c r="C700" s="198" t="n"/>
    </row>
    <row r="701">
      <c r="B701" s="263" t="n"/>
      <c r="C701" s="198" t="n"/>
    </row>
    <row r="702">
      <c r="B702" s="263" t="n"/>
      <c r="C702" s="198" t="n"/>
    </row>
    <row r="703">
      <c r="B703" s="263" t="n"/>
      <c r="C703" s="198" t="n"/>
    </row>
    <row r="704">
      <c r="B704" s="263" t="n"/>
      <c r="C704" s="198" t="n"/>
    </row>
    <row r="705">
      <c r="B705" s="263" t="n"/>
      <c r="C705" s="198" t="n"/>
    </row>
    <row r="706">
      <c r="B706" s="263" t="n"/>
      <c r="C706" s="198" t="n"/>
    </row>
    <row r="707">
      <c r="B707" s="263" t="n"/>
      <c r="C707" s="198" t="n"/>
    </row>
    <row r="708">
      <c r="B708" s="263" t="n"/>
      <c r="C708" s="198" t="n"/>
    </row>
    <row r="709">
      <c r="B709" s="263" t="n"/>
      <c r="C709" s="198" t="n"/>
    </row>
    <row r="710">
      <c r="B710" s="263" t="n"/>
      <c r="C710" s="198" t="n"/>
    </row>
    <row r="711">
      <c r="B711" s="263" t="n"/>
      <c r="C711" s="198" t="n"/>
    </row>
    <row r="712">
      <c r="B712" s="263" t="n"/>
      <c r="C712" s="198" t="n"/>
    </row>
    <row r="713">
      <c r="B713" s="263" t="n"/>
      <c r="C713" s="198" t="n"/>
    </row>
    <row r="714">
      <c r="B714" s="263" t="n"/>
      <c r="C714" s="198" t="n"/>
    </row>
    <row r="715">
      <c r="B715" s="263" t="n"/>
      <c r="C715" s="198" t="n"/>
    </row>
    <row r="716">
      <c r="B716" s="263" t="n"/>
      <c r="C716" s="198" t="n"/>
    </row>
    <row r="717">
      <c r="B717" s="263" t="n"/>
      <c r="C717" s="198" t="n"/>
    </row>
    <row r="718">
      <c r="B718" s="263" t="n"/>
      <c r="C718" s="198" t="n"/>
    </row>
    <row r="719">
      <c r="B719" s="263" t="n"/>
      <c r="C719" s="198" t="n"/>
    </row>
    <row r="720">
      <c r="B720" s="263" t="n"/>
      <c r="C720" s="198" t="n"/>
    </row>
    <row r="721">
      <c r="B721" s="263" t="n"/>
      <c r="C721" s="198" t="n"/>
    </row>
    <row r="722">
      <c r="B722" s="263" t="n"/>
      <c r="C722" s="198" t="n"/>
    </row>
    <row r="723">
      <c r="B723" s="263" t="n"/>
      <c r="C723" s="198" t="n"/>
    </row>
    <row r="724">
      <c r="B724" s="263" t="n"/>
      <c r="C724" s="198" t="n"/>
    </row>
    <row r="725">
      <c r="B725" s="263" t="n"/>
      <c r="C725" s="198" t="n"/>
    </row>
    <row r="726">
      <c r="B726" s="263" t="n"/>
      <c r="C726" s="198" t="n"/>
    </row>
    <row r="727">
      <c r="B727" s="263" t="n"/>
      <c r="C727" s="198" t="n"/>
    </row>
    <row r="728">
      <c r="B728" s="263" t="n"/>
      <c r="C728" s="198" t="n"/>
    </row>
    <row r="729">
      <c r="B729" s="263" t="n"/>
      <c r="C729" s="198" t="n"/>
    </row>
    <row r="730">
      <c r="B730" s="263" t="n"/>
      <c r="C730" s="198" t="n"/>
    </row>
    <row r="731">
      <c r="B731" s="263" t="n"/>
      <c r="C731" s="198" t="n"/>
    </row>
    <row r="732">
      <c r="B732" s="263" t="n"/>
      <c r="C732" s="198" t="n"/>
    </row>
    <row r="733">
      <c r="B733" s="263" t="n"/>
      <c r="C733" s="198" t="n"/>
    </row>
    <row r="734">
      <c r="B734" s="263" t="n"/>
      <c r="C734" s="198" t="n"/>
    </row>
    <row r="735">
      <c r="B735" s="263" t="n"/>
      <c r="C735" s="198" t="n"/>
    </row>
    <row r="736">
      <c r="B736" s="263" t="n"/>
      <c r="C736" s="198" t="n"/>
    </row>
    <row r="737">
      <c r="B737" s="263" t="n"/>
      <c r="C737" s="198" t="n"/>
    </row>
    <row r="738">
      <c r="B738" s="263" t="n"/>
      <c r="C738" s="198" t="n"/>
    </row>
    <row r="739">
      <c r="B739" s="263" t="n"/>
      <c r="C739" s="198" t="n"/>
    </row>
    <row r="740">
      <c r="B740" s="263" t="n"/>
      <c r="C740" s="198" t="n"/>
    </row>
    <row r="741">
      <c r="B741" s="263" t="n"/>
      <c r="C741" s="198" t="n"/>
    </row>
    <row r="742">
      <c r="B742" s="263" t="n"/>
      <c r="C742" s="198" t="n"/>
    </row>
    <row r="743">
      <c r="B743" s="263" t="n"/>
      <c r="C743" s="198" t="n"/>
    </row>
    <row r="744">
      <c r="B744" s="263" t="n"/>
      <c r="C744" s="198" t="n"/>
    </row>
    <row r="745">
      <c r="B745" s="263" t="n"/>
      <c r="C745" s="198" t="n"/>
    </row>
    <row r="746">
      <c r="B746" s="263" t="n"/>
      <c r="C746" s="198" t="n"/>
    </row>
    <row r="747">
      <c r="B747" s="263" t="n"/>
      <c r="C747" s="198" t="n"/>
    </row>
    <row r="748">
      <c r="B748" s="263" t="n"/>
      <c r="C748" s="198" t="n"/>
    </row>
    <row r="749">
      <c r="B749" s="263" t="n"/>
      <c r="C749" s="198" t="n"/>
    </row>
    <row r="750">
      <c r="B750" s="263" t="n"/>
      <c r="C750" s="198" t="n"/>
    </row>
    <row r="751">
      <c r="B751" s="263" t="n"/>
      <c r="C751" s="198" t="n"/>
    </row>
    <row r="752">
      <c r="B752" s="263" t="n"/>
      <c r="C752" s="198" t="n"/>
    </row>
    <row r="753">
      <c r="B753" s="263" t="n"/>
      <c r="C753" s="198" t="n"/>
    </row>
    <row r="754">
      <c r="B754" s="263" t="n"/>
      <c r="C754" s="198" t="n"/>
    </row>
    <row r="755">
      <c r="B755" s="263" t="n"/>
      <c r="C755" s="198" t="n"/>
    </row>
    <row r="756">
      <c r="B756" s="263" t="n"/>
      <c r="C756" s="198" t="n"/>
    </row>
    <row r="757">
      <c r="B757" s="263" t="n"/>
      <c r="C757" s="198" t="n"/>
    </row>
    <row r="758">
      <c r="B758" s="263" t="n"/>
      <c r="C758" s="198" t="n"/>
    </row>
    <row r="759">
      <c r="B759" s="263" t="n"/>
      <c r="C759" s="198" t="n"/>
    </row>
    <row r="760">
      <c r="B760" s="263" t="n"/>
      <c r="C760" s="198" t="n"/>
    </row>
    <row r="761">
      <c r="B761" s="263" t="n"/>
      <c r="C761" s="198" t="n"/>
    </row>
    <row r="762">
      <c r="B762" s="263" t="n"/>
      <c r="C762" s="198" t="n"/>
    </row>
  </sheetData>
  <conditionalFormatting sqref="B7:C268">
    <cfRule type="expression" priority="2" dxfId="2">
      <formula>IF(#REF!=1,1,0)</formula>
    </cfRule>
  </conditionalFormatting>
  <conditionalFormatting sqref="D7:E267">
    <cfRule type="expression" priority="1" dxfId="2">
      <formula>IF(#REF!=1,1,0)</formula>
    </cfRule>
  </conditionalFormatting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J1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2">
      <c r="C2" s="266" t="inlineStr">
        <is>
          <t>Xerox Holdings Corporation</t>
        </is>
      </c>
      <c r="J2" s="267" t="inlineStr">
        <is>
          <t>DRAFT</t>
        </is>
      </c>
    </row>
    <row r="3">
      <c r="C3" s="268" t="inlineStr">
        <is>
          <t>Maturity Schedule</t>
        </is>
      </c>
      <c r="D3" s="269" t="n"/>
      <c r="E3" s="269" t="n"/>
      <c r="F3" s="269" t="n"/>
      <c r="G3" s="269" t="n"/>
      <c r="H3" s="269" t="n"/>
      <c r="I3" s="269" t="n"/>
      <c r="J3" s="270" t="inlineStr">
        <is>
          <t>CONFIDENTIAL</t>
        </is>
      </c>
    </row>
    <row r="4">
      <c r="C4" s="271" t="inlineStr">
        <is>
          <t>Updated as of 06/30/2026</t>
        </is>
      </c>
    </row>
    <row r="5">
      <c r="C5" s="272" t="inlineStr">
        <is>
          <t>($ millions)</t>
        </is>
      </c>
    </row>
    <row r="7">
      <c r="D7" s="273" t="inlineStr">
        <is>
          <t>Liquidity</t>
        </is>
      </c>
      <c r="E7" s="273" t="n">
        <v>2028</v>
      </c>
      <c r="F7" s="273" t="n">
        <v>2029</v>
      </c>
      <c r="G7" s="273" t="n">
        <v>2030</v>
      </c>
      <c r="H7" s="273" t="n">
        <v>2031</v>
      </c>
      <c r="I7" s="273" t="n">
        <v>2035</v>
      </c>
      <c r="J7" s="273" t="n">
        <v>2039</v>
      </c>
    </row>
    <row r="8">
      <c r="C8" s="271" t="inlineStr">
        <is>
          <t>Cash &amp; Equivalents</t>
        </is>
      </c>
      <c r="D8" s="274">
        <f>'Capital Structure'!$D$37</f>
        <v/>
      </c>
      <c r="E8" s="275" t="n"/>
      <c r="F8" s="275" t="n"/>
      <c r="G8" s="275" t="n"/>
      <c r="H8" s="275" t="n"/>
      <c r="I8" s="275" t="n"/>
      <c r="J8" s="275" t="n"/>
    </row>
    <row r="9">
      <c r="C9" s="271" t="inlineStr">
        <is>
          <t>ABL Availability</t>
        </is>
      </c>
      <c r="D9" s="276">
        <f>'Capital Structure'!$D$36</f>
        <v/>
      </c>
      <c r="E9" s="277" t="n"/>
      <c r="F9" s="277" t="n"/>
      <c r="G9" s="277" t="n"/>
      <c r="H9" s="277" t="n"/>
      <c r="I9" s="277" t="n"/>
      <c r="J9" s="277" t="n"/>
    </row>
    <row r="10">
      <c r="C10" s="271" t="inlineStr">
        <is>
          <t>Secured Term Loan</t>
        </is>
      </c>
      <c r="D10" s="277" t="n"/>
      <c r="E10" s="276">
        <f>SUMIFS('Capital Structure'!$D$12:$D$12,'Capital Structure'!$I$12:$I$12,"&gt;="&amp;DATE(E$7,1,1),'Capital Structure'!$I$12:$I$12,"&lt;="&amp;DATE(E$7,12,31))</f>
        <v/>
      </c>
      <c r="F10" s="276">
        <f>SUMIFS('Capital Structure'!$D$12:$D$12,'Capital Structure'!$I$12:$I$12,"&gt;="&amp;DATE(F$7,1,1),'Capital Structure'!$I$12:$I$12,"&lt;="&amp;DATE(F$7,12,31))</f>
        <v/>
      </c>
      <c r="G10" s="276">
        <f>SUMIFS('Capital Structure'!$D$12:$D$12,'Capital Structure'!$I$12:$I$12,"&gt;="&amp;DATE(G$7,1,1),'Capital Structure'!$I$12:$I$12,"&lt;="&amp;DATE(G$7,12,31))</f>
        <v/>
      </c>
      <c r="H10" s="276">
        <f>SUMIFS('Capital Structure'!$D$12:$D$12,'Capital Structure'!$I$12:$I$12,"&gt;="&amp;DATE(H$7,1,1),'Capital Structure'!$I$12:$I$12,"&lt;="&amp;DATE(H$7,12,31))</f>
        <v/>
      </c>
      <c r="I10" s="276">
        <f>SUMIFS('Capital Structure'!$D$12:$D$12,'Capital Structure'!$I$12:$I$12,"&gt;="&amp;DATE(I$7,1,1),'Capital Structure'!$I$12:$I$12,"&lt;="&amp;DATE(I$7,12,31))</f>
        <v/>
      </c>
      <c r="J10" s="276">
        <f>SUMIFS('Capital Structure'!$D$12:$D$12,'Capital Structure'!$I$12:$I$12,"&gt;="&amp;DATE(J$7,1,1),'Capital Structure'!$I$12:$I$12,"&lt;="&amp;DATE(J$7,12,31))</f>
        <v/>
      </c>
    </row>
    <row r="11">
      <c r="C11" s="271" t="inlineStr">
        <is>
          <t>1L Term Loan</t>
        </is>
      </c>
      <c r="D11" s="277" t="n"/>
      <c r="E11" s="276">
        <f>SUMIFS('Capital Structure'!$D$14:$D$14,'Capital Structure'!$I$14:$I$14,"&gt;="&amp;DATE(E$7,1,1),'Capital Structure'!$I$14:$I$14,"&lt;="&amp;DATE(E$7,12,31))</f>
        <v/>
      </c>
      <c r="F11" s="276">
        <f>SUMIFS('Capital Structure'!$D$14:$D$14,'Capital Structure'!$I$14:$I$14,"&gt;="&amp;DATE(F$7,1,1),'Capital Structure'!$I$14:$I$14,"&lt;="&amp;DATE(F$7,12,31))</f>
        <v/>
      </c>
      <c r="G11" s="276">
        <f>SUMIFS('Capital Structure'!$D$14:$D$14,'Capital Structure'!$I$14:$I$14,"&gt;="&amp;DATE(G$7,1,1),'Capital Structure'!$I$14:$I$14,"&lt;="&amp;DATE(G$7,12,31))</f>
        <v/>
      </c>
      <c r="H11" s="276">
        <f>SUMIFS('Capital Structure'!$D$14:$D$14,'Capital Structure'!$I$14:$I$14,"&gt;="&amp;DATE(H$7,1,1),'Capital Structure'!$I$14:$I$14,"&lt;="&amp;DATE(H$7,12,31))</f>
        <v/>
      </c>
      <c r="I11" s="276">
        <f>SUMIFS('Capital Structure'!$D$14:$D$14,'Capital Structure'!$I$14:$I$14,"&gt;="&amp;DATE(I$7,1,1),'Capital Structure'!$I$14:$I$14,"&lt;="&amp;DATE(I$7,12,31))</f>
        <v/>
      </c>
      <c r="J11" s="276">
        <f>SUMIFS('Capital Structure'!$D$14:$D$14,'Capital Structure'!$I$14:$I$14,"&gt;="&amp;DATE(J$7,1,1),'Capital Structure'!$I$14:$I$14,"&lt;="&amp;DATE(J$7,12,31))</f>
        <v/>
      </c>
    </row>
    <row r="12">
      <c r="C12" s="271" t="inlineStr">
        <is>
          <t>1L Notes</t>
        </is>
      </c>
      <c r="D12" s="277" t="n"/>
      <c r="E12" s="276">
        <f>SUMIFS('Capital Structure'!$D$15:$D$15,'Capital Structure'!$I$15:$I$15,"&gt;="&amp;DATE(E$7,1,1),'Capital Structure'!$I$15:$I$15,"&lt;="&amp;DATE(E$7,12,31))</f>
        <v/>
      </c>
      <c r="F12" s="276">
        <f>SUMIFS('Capital Structure'!$D$15:$D$15,'Capital Structure'!$I$15:$I$15,"&gt;="&amp;DATE(F$7,1,1),'Capital Structure'!$I$15:$I$15,"&lt;="&amp;DATE(F$7,12,31))</f>
        <v/>
      </c>
      <c r="G12" s="276">
        <f>SUMIFS('Capital Structure'!$D$15:$D$15,'Capital Structure'!$I$15:$I$15,"&gt;="&amp;DATE(G$7,1,1),'Capital Structure'!$I$15:$I$15,"&lt;="&amp;DATE(G$7,12,31))</f>
        <v/>
      </c>
      <c r="H12" s="276">
        <f>SUMIFS('Capital Structure'!$D$15:$D$15,'Capital Structure'!$I$15:$I$15,"&gt;="&amp;DATE(H$7,1,1),'Capital Structure'!$I$15:$I$15,"&lt;="&amp;DATE(H$7,12,31))</f>
        <v/>
      </c>
      <c r="I12" s="276">
        <f>SUMIFS('Capital Structure'!$D$15:$D$15,'Capital Structure'!$I$15:$I$15,"&gt;="&amp;DATE(I$7,1,1),'Capital Structure'!$I$15:$I$15,"&lt;="&amp;DATE(I$7,12,31))</f>
        <v/>
      </c>
      <c r="J12" s="276">
        <f>SUMIFS('Capital Structure'!$D$15:$D$15,'Capital Structure'!$I$15:$I$15,"&gt;="&amp;DATE(J$7,1,1),'Capital Structure'!$I$15:$I$15,"&lt;="&amp;DATE(J$7,12,31))</f>
        <v/>
      </c>
    </row>
    <row r="13">
      <c r="C13" s="271" t="inlineStr">
        <is>
          <t>2L Notes</t>
        </is>
      </c>
      <c r="D13" s="277" t="n"/>
      <c r="E13" s="276">
        <f>SUMIFS('Capital Structure'!$D$16:$D$16,'Capital Structure'!$I$16:$I$16,"&gt;="&amp;DATE(E$7,1,1),'Capital Structure'!$I$16:$I$16,"&lt;="&amp;DATE(E$7,12,31))</f>
        <v/>
      </c>
      <c r="F13" s="276">
        <f>SUMIFS('Capital Structure'!$D$16:$D$16,'Capital Structure'!$I$16:$I$16,"&gt;="&amp;DATE(F$7,1,1),'Capital Structure'!$I$16:$I$16,"&lt;="&amp;DATE(F$7,12,31))</f>
        <v/>
      </c>
      <c r="G13" s="276">
        <f>SUMIFS('Capital Structure'!$D$16:$D$16,'Capital Structure'!$I$16:$I$16,"&gt;="&amp;DATE(G$7,1,1),'Capital Structure'!$I$16:$I$16,"&lt;="&amp;DATE(G$7,12,31))</f>
        <v/>
      </c>
      <c r="H13" s="276">
        <f>SUMIFS('Capital Structure'!$D$16:$D$16,'Capital Structure'!$I$16:$I$16,"&gt;="&amp;DATE(H$7,1,1),'Capital Structure'!$I$16:$I$16,"&lt;="&amp;DATE(H$7,12,31))</f>
        <v/>
      </c>
      <c r="I13" s="276">
        <f>SUMIFS('Capital Structure'!$D$16:$D$16,'Capital Structure'!$I$16:$I$16,"&gt;="&amp;DATE(I$7,1,1),'Capital Structure'!$I$16:$I$16,"&lt;="&amp;DATE(I$7,12,31))</f>
        <v/>
      </c>
      <c r="J13" s="276">
        <f>SUMIFS('Capital Structure'!$D$16:$D$16,'Capital Structure'!$I$16:$I$16,"&gt;="&amp;DATE(J$7,1,1),'Capital Structure'!$I$16:$I$16,"&lt;="&amp;DATE(J$7,12,31))</f>
        <v/>
      </c>
    </row>
    <row r="14">
      <c r="C14" s="271" t="inlineStr">
        <is>
          <t>Senior Unsecured Notes</t>
        </is>
      </c>
      <c r="D14" s="277" t="n"/>
      <c r="E14" s="276">
        <f>SUMIFS('Capital Structure'!$D$18:$D$23,'Capital Structure'!$I$18:$I$23,"&gt;="&amp;DATE(E$7,1,1),'Capital Structure'!$I$18:$I$23,"&lt;="&amp;DATE(E$7,12,31))</f>
        <v/>
      </c>
      <c r="F14" s="276">
        <f>SUMIFS('Capital Structure'!$D$18:$D$23,'Capital Structure'!$I$18:$I$23,"&gt;="&amp;DATE(F$7,1,1),'Capital Structure'!$I$18:$I$23,"&lt;="&amp;DATE(F$7,12,31))</f>
        <v/>
      </c>
      <c r="G14" s="276">
        <f>SUMIFS('Capital Structure'!$D$18:$D$23,'Capital Structure'!$I$18:$I$23,"&gt;="&amp;DATE(G$7,1,1),'Capital Structure'!$I$18:$I$23,"&lt;="&amp;DATE(G$7,12,31))</f>
        <v/>
      </c>
      <c r="H14" s="276">
        <f>SUMIFS('Capital Structure'!$D$18:$D$23,'Capital Structure'!$I$18:$I$23,"&gt;="&amp;DATE(H$7,1,1),'Capital Structure'!$I$18:$I$23,"&lt;="&amp;DATE(H$7,12,31))</f>
        <v/>
      </c>
      <c r="I14" s="276">
        <f>SUMIFS('Capital Structure'!$D$18:$D$23,'Capital Structure'!$I$18:$I$23,"&gt;="&amp;DATE(I$7,1,1),'Capital Structure'!$I$18:$I$23,"&lt;="&amp;DATE(I$7,12,31))</f>
        <v/>
      </c>
      <c r="J14" s="276">
        <f>SUMIFS('Capital Structure'!$D$18:$D$23,'Capital Structure'!$I$18:$I$23,"&gt;="&amp;DATE(J$7,1,1),'Capital Structure'!$I$18:$I$23,"&lt;="&amp;DATE(J$7,12,31))</f>
        <v/>
      </c>
    </row>
    <row r="15">
      <c r="C15" s="266" t="inlineStr">
        <is>
          <t>Total</t>
        </is>
      </c>
      <c r="D15" s="278">
        <f>SUM(D8:D14)</f>
        <v/>
      </c>
      <c r="E15" s="278">
        <f>SUM(E8:E14)</f>
        <v/>
      </c>
      <c r="F15" s="278">
        <f>SUM(F8:F14)</f>
        <v/>
      </c>
      <c r="G15" s="278">
        <f>SUM(G8:G14)</f>
        <v/>
      </c>
      <c r="H15" s="278">
        <f>SUM(H8:H14)</f>
        <v/>
      </c>
      <c r="I15" s="278">
        <f>SUM(I8:I14)</f>
        <v/>
      </c>
      <c r="J15" s="278">
        <f>SUM(J8:J14)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AmeriVet</dc:title>
  <dcterms:created xmlns:dcterms="http://purl.org/dc/terms/" xmlns:xsi="http://www.w3.org/2001/XMLSchema-instance" xsi:type="dcterms:W3CDTF">2025-09-02T18:57:08Z</dcterms:created>
  <dcterms:modified xmlns:dcterms="http://purl.org/dc/terms/" xmlns:xsi="http://www.w3.org/2001/XMLSchema-instance" xsi:type="dcterms:W3CDTF">2026-10-16T19:10:25Z</dcterms:modified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{60D1F3DF-1F97-426A-BEDE-DE8D392AAF78}</vt:lpwstr>
  </property>
</Properties>
</file>