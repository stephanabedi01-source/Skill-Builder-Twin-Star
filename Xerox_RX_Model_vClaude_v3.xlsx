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omments/comment5.xml" ContentType="application/vnd.openxmlformats-officedocument.spreadsheetml.comments+xml"/>
  <Override PartName="/xl/worksheets/sheet17.xml" ContentType="application/vnd.openxmlformats-officedocument.spreadsheetml.worksheet+xml"/>
  <Override PartName="/xl/comments/comment6.xml" ContentType="application/vnd.openxmlformats-officedocument.spreadsheetml.comments+xml"/>
  <Override PartName="/xl/worksheets/sheet18.xml" ContentType="application/vnd.openxmlformats-officedocument.spreadsheetml.worksheet+xml"/>
  <Override PartName="/xl/comments/comment7.xml" ContentType="application/vnd.openxmlformats-officedocument.spreadsheetml.comments+xml"/>
  <Override PartName="/xl/worksheets/sheet19.xml" ContentType="application/vnd.openxmlformats-officedocument.spreadsheetml.worksheet+xml"/>
  <Override PartName="/xl/comments/comment8.xml" ContentType="application/vnd.openxmlformats-officedocument.spreadsheetml.comments+xml"/>
  <Override PartName="/xl/worksheets/sheet20.xml" ContentType="application/vnd.openxmlformats-officedocument.spreadsheetml.worksheet+xml"/>
  <Override PartName="/xl/comments/comment9.xml" ContentType="application/vnd.openxmlformats-officedocument.spreadsheetml.comments+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4.xml" ContentType="application/vnd.openxmlformats-officedocument.drawing+xml"/>
  <Override PartName="/xl/comments/comment10.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drawings/drawing5.xml" ContentType="application/vnd.openxmlformats-officedocument.drawing+xml"/>
  <Override PartName="/xl/comments/comment11.xml" ContentType="application/vnd.openxmlformats-officedocument.spreadsheetml.comments+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0" autoFilterDateGrouping="1"/>
  </bookViews>
  <sheets>
    <sheet xmlns:r="http://schemas.openxmlformats.org/officeDocument/2006/relationships" name="Cover Page" sheetId="1" state="visible" r:id="rId1"/>
    <sheet xmlns:r="http://schemas.openxmlformats.org/officeDocument/2006/relationships" name="Financial Statement Inputs &gt;" sheetId="2" state="visible" r:id="rId2"/>
    <sheet xmlns:r="http://schemas.openxmlformats.org/officeDocument/2006/relationships" name="Income Statement" sheetId="3" state="visible" r:id="rId3"/>
    <sheet xmlns:r="http://schemas.openxmlformats.org/officeDocument/2006/relationships" name="Balance Sheet" sheetId="4" state="visible" r:id="rId4"/>
    <sheet xmlns:r="http://schemas.openxmlformats.org/officeDocument/2006/relationships" name="Cash Flow Statement" sheetId="5" state="visible" r:id="rId5"/>
    <sheet xmlns:r="http://schemas.openxmlformats.org/officeDocument/2006/relationships" name="Financial Statement Outputs &gt;" sheetId="6" state="visible" r:id="rId6"/>
    <sheet xmlns:r="http://schemas.openxmlformats.org/officeDocument/2006/relationships" name="Income Statement Output" sheetId="7" state="visible" r:id="rId7"/>
    <sheet xmlns:r="http://schemas.openxmlformats.org/officeDocument/2006/relationships" name="Balance Sheet Output" sheetId="8" state="visible" r:id="rId8"/>
    <sheet xmlns:r="http://schemas.openxmlformats.org/officeDocument/2006/relationships" name="Cash Flow Statement Output" sheetId="9" state="visible" r:id="rId9"/>
    <sheet xmlns:r="http://schemas.openxmlformats.org/officeDocument/2006/relationships" name="Credit Analysis &gt;" sheetId="10" state="visible" r:id="rId10"/>
    <sheet xmlns:r="http://schemas.openxmlformats.org/officeDocument/2006/relationships" name="NWC" sheetId="11" state="visible" r:id="rId11"/>
    <sheet xmlns:r="http://schemas.openxmlformats.org/officeDocument/2006/relationships" name="Quarterly NWC" sheetId="12" state="visible" r:id="rId12"/>
    <sheet xmlns:r="http://schemas.openxmlformats.org/officeDocument/2006/relationships" name="Capital Structure" sheetId="13" state="visible" r:id="rId13"/>
    <sheet xmlns:r="http://schemas.openxmlformats.org/officeDocument/2006/relationships" name="Maturity Schedule" sheetId="14" state="visible" r:id="rId14"/>
    <sheet xmlns:r="http://schemas.openxmlformats.org/officeDocument/2006/relationships" name="Analysis &gt;" sheetId="15" state="visible" r:id="rId15"/>
    <sheet xmlns:r="http://schemas.openxmlformats.org/officeDocument/2006/relationships" name="Precedent Transactions" sheetId="16" state="visible" r:id="rId16"/>
    <sheet xmlns:r="http://schemas.openxmlformats.org/officeDocument/2006/relationships" name="$XRX Comparable Companies" sheetId="17" state="visible" r:id="rId17"/>
    <sheet xmlns:r="http://schemas.openxmlformats.org/officeDocument/2006/relationships" name="$XRX Revenue Build" sheetId="18" state="visible" r:id="rId18"/>
    <sheet xmlns:r="http://schemas.openxmlformats.org/officeDocument/2006/relationships" name="$XRX DCF Operating Assumptions" sheetId="19" state="visible" r:id="rId19"/>
    <sheet xmlns:r="http://schemas.openxmlformats.org/officeDocument/2006/relationships" name="$XRX DCF" sheetId="20" state="visible" r:id="rId20"/>
    <sheet xmlns:r="http://schemas.openxmlformats.org/officeDocument/2006/relationships" name="Liquidity Analysis" sheetId="21" state="visible" r:id="rId21"/>
    <sheet xmlns:r="http://schemas.openxmlformats.org/officeDocument/2006/relationships" name="Stock Performance &gt; " sheetId="22" state="visible" r:id="rId22"/>
    <sheet xmlns:r="http://schemas.openxmlformats.org/officeDocument/2006/relationships" name="$XRX Stock Performance" sheetId="23" state="visible" r:id="rId23"/>
    <sheet xmlns:r="http://schemas.openxmlformats.org/officeDocument/2006/relationships" name="Valuation Football Field &gt;" sheetId="24" state="visible" r:id="rId24"/>
    <sheet xmlns:r="http://schemas.openxmlformats.org/officeDocument/2006/relationships" name="$FRSH Valuation FF" sheetId="25" state="visible" r:id="rId25"/>
    <sheet xmlns:r="http://schemas.openxmlformats.org/officeDocument/2006/relationships" name="Charts" sheetId="26" state="visible" r:id="rId26"/>
  </sheets>
  <externalReferences>
    <externalReference xmlns:r="http://schemas.openxmlformats.org/officeDocument/2006/relationships" r:id="rId27"/>
  </externalReferences>
  <definedNames>
    <definedName name="__APW_RESTORE_DATA0__" hidden="1">#REF!</definedName>
    <definedName name="__APW_RESTORE_DATA1__" hidden="1">#REF!</definedName>
    <definedName name="__APW_RESTORE_DATA2__" hidden="1">#REF!,#REF!,#REF!,#REF!,#REF!,#REF!,#REF!,#REF!,#REF!,#REF!</definedName>
    <definedName name="__APW_RESTORE_DATA3__" hidden="1">#REF!,#REF!,#REF!,#REF!,#REF!,#REF!,#REF!,#REF!,#REF!,#REF!</definedName>
    <definedName name="__APW_RESTORE_DATA4__" hidden="1">#REF!,#REF!,#REF!,#REF!,#REF!,#REF!,#REF!,#REF!,#REF!,#REF!</definedName>
    <definedName name="__APW_RESTORE_DATA5__" hidden="1">#REF!,#REF!,#REF!,#REF!,#REF!,#REF!,#REF!,#REF!,#REF!,#REF!,#REF!</definedName>
    <definedName name="__APW_RESTORE_DATA6__" hidden="1">#REF!,#REF!,#REF!,#REF!,#REF!,#REF!,#REF!,#REF!,#REF!,#REF!</definedName>
    <definedName name="__APW_RESTORE_DATA7__" hidden="1">#REF!,#REF!,#REF!,#REF!,#REF!,#REF!,#REF!,#REF!,#REF!,#REF!</definedName>
    <definedName name="__APW_RESTORE_DATA8__" hidden="1">#REF!,#REF!,#REF!,#REF!,#REF!,#REF!,#REF!,#REF!,#REF!,#REF!</definedName>
    <definedName name="__APW_RESTORE_DATA9__" hidden="1">#REF!,#REF!,#REF!,#REF!,#REF!,#REF!,#REF!,#REF!,#REF!,#REF!</definedName>
    <definedName name="__APW_RESTORE_HYPERLINK0__" hidden="1">#REF!</definedName>
    <definedName name="__FDS_HYPERLINK_TOGGLE_STATE__" hidden="1">"ON"</definedName>
    <definedName name="_bdm.e18a8247d4fa48209fe528accc676452.edm" hidden="1">#REF!</definedName>
    <definedName name="Active_Case">'[1]Cover Page'!$E$13</definedName>
    <definedName name="Circ">'[1]Cover Page'!$E$14</definedName>
    <definedName name="Days">'[1]Cover Page'!$E$19</definedName>
    <definedName name="Divest">'[1]Cover Page'!$E$18</definedName>
    <definedName name="Exit">'[1]Cover Page'!$E$20</definedName>
    <definedName name="Exit_Case">'[1]Cover Page'!$E$15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45565.5466666667</definedName>
    <definedName name="IQ_QTD" hidden="1">750000</definedName>
    <definedName name="IQ_TODAY" hidden="1">0</definedName>
    <definedName name="IQ_YTDMONTH" hidden="1">130000</definedName>
    <definedName name="MLNK0facd082a8304121a7bd711f51a7b1bd" hidden="1">#REF!</definedName>
    <definedName name="MLNK1c5b52fa0d3f40d9839118e608a68fec" hidden="1">#REF!</definedName>
    <definedName name="MLNKce82bb95cfaf4db8b912ebf5b0053203" hidden="1">#REF!</definedName>
    <definedName name="_xlnm.Print_Area" localSheetId="0">'Cover Page'!$B$2:$L$38</definedName>
    <definedName name="_xlnm.Print_Area" localSheetId="1">'Financial Statement Inputs &gt;'!$A$31</definedName>
    <definedName name="_xlnm.Print_Area" localSheetId="2">'Income Statement'!$B$2:$AI$35,'Income Statement'!$B$37:$AI$65</definedName>
    <definedName name="_xlnm.Print_Area" localSheetId="3">'Balance Sheet'!$B$2:$AJ$80</definedName>
    <definedName name="_xlnm.Print_Area" localSheetId="4">'Cash Flow Statement'!$B$2:$AJ$77</definedName>
    <definedName name="_xlnm.Print_Area" localSheetId="5">'Financial Statement Outputs &gt;'!$A$31</definedName>
    <definedName name="_xlnm.Print_Area" localSheetId="6">'Income Statement Output'!$B$2:$K$45</definedName>
    <definedName name="_xlnm.Print_Area" localSheetId="7">'Balance Sheet Output'!$B$2:$K$60</definedName>
    <definedName name="_xlnm.Print_Area" localSheetId="8">'Cash Flow Statement Output'!$B$2:$L$63</definedName>
    <definedName name="_xlnm.Print_Area" localSheetId="9">'Credit Analysis &gt;'!$A$1</definedName>
    <definedName name="_xlnm.Print_Area" localSheetId="10">'NWC'!$B$2:$V$29,'NWC'!$B$31:$L$54</definedName>
    <definedName name="_xlnm.Print_Area" localSheetId="11">'Quarterly NWC'!$B$2:$Z$27,'Quarterly NWC'!$B$29:$I$48</definedName>
    <definedName name="_xlnm.Print_Area" localSheetId="12">'Capital Structure'!$B$2:$S$40</definedName>
    <definedName name="_xlnm.Print_Area" localSheetId="13">'Maturity Schedule'!$B$2:$K$17,'Maturity Schedule'!$B$19:$K$36</definedName>
    <definedName name="_xlnm.Print_Area" localSheetId="14">'Analysis &gt;'!$A$31</definedName>
    <definedName name="_xlnm.Print_Area" localSheetId="15">'Precedent Transactions'!$B$2:$O$41,'Precedent Transactions'!$B$43:$O$55</definedName>
    <definedName name="_xlnm.Print_Area" localSheetId="16">'$XRX Comparable Companies'!$B$2:$AF$44,'$XRX Comparable Companies'!$B$47:$M$66,'$XRX Comparable Companies'!$B$69:$K$92</definedName>
    <definedName name="_xlnm.Print_Area" localSheetId="17">'$XRX Revenue Build'!$B$2:$N$105</definedName>
    <definedName name="_xlnm.Print_Area" localSheetId="18">'$XRX DCF Operating Assumptions'!$B$2:$N$81</definedName>
    <definedName name="_xlnm.Print_Area" localSheetId="19">'$XRX DCF'!$B$2:$O$59,'$XRX DCF'!$B$61:$O$112,'$XRX DCF'!$B$114:$O$131</definedName>
    <definedName name="_xlnm.Print_Area" localSheetId="21">'Stock Performance &gt; '!$B$1:$C$1</definedName>
    <definedName name="_xlnm.Print_Area" localSheetId="22">'$XRX Stock Performance'!$B$2:$H$259,'$XRX Stock Performance'!$J$9:$Q$32</definedName>
    <definedName name="_xlnm.Print_Area" localSheetId="23">'Valuation Football Field &gt;'!$B$1:$C$1</definedName>
    <definedName name="_xlnm.Print_Area" localSheetId="24">'$FRSH Valuation FF'!$B$2:$I$48</definedName>
  </definedNames>
  <calcPr calcId="191029" fullCalcOnLoad="1" iterate="1"/>
</workbook>
</file>

<file path=xl/styles.xml><?xml version="1.0" encoding="utf-8"?>
<styleSheet xmlns="http://schemas.openxmlformats.org/spreadsheetml/2006/main">
  <numFmts count="35">
    <numFmt numFmtId="164" formatCode="_(#,##0_)_%;\(#,##0\)_%;_(&quot;–&quot;_)_%;_(@_)_%"/>
    <numFmt numFmtId="165" formatCode=";;;"/>
    <numFmt numFmtId="166" formatCode="_([$$]#,##0_)_%;\([$$]#,##0\)_%;_(&quot;–&quot;_)_%;_(@_)_%"/>
    <numFmt numFmtId="167" formatCode="_(#,##0.000_)_%;\(#,##0.000\)_%;_(&quot;–&quot;_)_%;_(@_)_%"/>
    <numFmt numFmtId="168" formatCode="_(#,##0.0%_);\(#,##0.0%\);_(&quot;–&quot;_)_%;_(@_)_%"/>
    <numFmt numFmtId="169" formatCode="_(#,##0.0&quot;x&quot;_)_%;\(#,##0.0&quot;x&quot;\)_%;_(&quot;–&quot;_)_%;_(@_)_%"/>
    <numFmt numFmtId="170" formatCode="&quot;S + &quot;#"/>
    <numFmt numFmtId="171" formatCode="_(#,##0.000%_);\(#,##0.000%\);_(&quot;–&quot;_)_%;_(@_)_%"/>
    <numFmt numFmtId="172" formatCode="0.0"/>
    <numFmt numFmtId="173" formatCode="_(#,##0.00%_);\(#,##0.00%\);_(&quot;–&quot;_)_%;_(@_)_%"/>
    <numFmt numFmtId="174" formatCode="&quot;S + &quot;0.0"/>
    <numFmt numFmtId="175" formatCode="m/d/yy;@"/>
    <numFmt numFmtId="176" formatCode="yyyy\-mm\-dd"/>
    <numFmt numFmtId="177" formatCode="_([$$]#,##0.000_)_%;\([$$]#,##0.000\)_%;_(&quot;–&quot;_)_%;_(@_)_%"/>
    <numFmt numFmtId="178" formatCode="_(#,##0.0_)_%;\(#,##0.0\)_%;_(&quot;–&quot;_)_%;_(@_)_%"/>
    <numFmt numFmtId="179" formatCode="&quot;Data as of &quot;mm/dd/yyyy"/>
    <numFmt numFmtId="180" formatCode="&quot;$&quot;#,##0.00_);\(&quot;$&quot;#,##0.00\)"/>
    <numFmt numFmtId="181" formatCode="##,##0.0%_);\(##,##0.0%\);&quot;-&quot;"/>
    <numFmt numFmtId="182" formatCode="_([$$]#,##0.0_)_%;\([$$]#,##0.0\)_%;_(&quot;–&quot;_)_%;_(@_)_%"/>
    <numFmt numFmtId="183" formatCode="_(&quot;$&quot;* #,##0.00_);_(&quot;$&quot;* \(#,##0.00\);_(&quot;$&quot;* &quot;-&quot;??_);_(@_)"/>
    <numFmt numFmtId="184" formatCode="_(0.0\x_)_)_';_(\(0.0\x\)_'_';_(&quot;–&quot;_)_%;_(@_)_%"/>
    <numFmt numFmtId="185" formatCode="General&quot;A&quot;"/>
    <numFmt numFmtId="186" formatCode="&quot;$&quot;#,###;\(&quot;$&quot;#,###\)\:\-"/>
    <numFmt numFmtId="187" formatCode="\$#,###"/>
    <numFmt numFmtId="188" formatCode="_(#,##0.0&quot;%&quot;_);\(#,##0.0&quot;%&quot;\);_(&quot;–&quot;_)_%;_(@_)_%"/>
    <numFmt numFmtId="189" formatCode="#&quot;A&quot;"/>
    <numFmt numFmtId="190" formatCode="#&quot;E&quot;"/>
    <numFmt numFmtId="191" formatCode="#&quot;P&quot;"/>
    <numFmt numFmtId="192" formatCode="[=1]&quot;Bull&quot;;[=2]&quot;Base&quot;;&quot;Bear&quot;"/>
    <numFmt numFmtId="193" formatCode="0000\A"/>
    <numFmt numFmtId="194" formatCode="0000\E"/>
    <numFmt numFmtId="195" formatCode="[=1]&quot;Off&quot;;;&quot;On&quot;"/>
    <numFmt numFmtId="196" formatCode="mm/dd/yy;@"/>
    <numFmt numFmtId="197" formatCode="mmm\ \'yy"/>
    <numFmt numFmtId="198" formatCode="&quot;Case &quot;0"/>
  </numFmts>
  <fonts count="100">
    <font>
      <name val="Calibri"/>
      <charset val="1"/>
      <family val="2"/>
      <color theme="1"/>
      <sz val="11"/>
    </font>
    <font>
      <name val="Garamond"/>
      <family val="2"/>
      <color theme="1"/>
      <sz val="11"/>
      <scheme val="minor"/>
    </font>
    <font>
      <name val="Garamond"/>
      <family val="1"/>
      <color rgb="FF000000"/>
      <sz val="10"/>
    </font>
    <font>
      <name val="Garamond"/>
      <family val="1"/>
      <b val="1"/>
      <color rgb="FF000000"/>
      <sz val="10"/>
    </font>
    <font>
      <name val="Garamond"/>
      <family val="1"/>
      <b val="1"/>
      <color rgb="FFFF0000"/>
      <sz val="10"/>
    </font>
    <font>
      <name val="Garamond"/>
      <family val="1"/>
      <i val="1"/>
      <color rgb="FF000000"/>
      <sz val="10"/>
    </font>
    <font>
      <name val="Garamond"/>
      <family val="1"/>
      <color rgb="FF0000FF"/>
      <sz val="10"/>
    </font>
    <font>
      <name val="Garamond"/>
      <family val="1"/>
      <i val="1"/>
      <color rgb="FFFF0000"/>
      <sz val="10"/>
    </font>
    <font>
      <name val="Garamond"/>
      <family val="1"/>
      <color rgb="FF008000"/>
      <sz val="10"/>
    </font>
    <font>
      <name val="Garamond"/>
      <family val="1"/>
      <i val="1"/>
      <color rgb="FFA6A6A6"/>
      <sz val="10"/>
    </font>
    <font>
      <name val="Garamond"/>
      <family val="1"/>
      <i val="1"/>
      <color rgb="FFFFFFFF"/>
      <sz val="10"/>
    </font>
    <font>
      <name val="Garamond"/>
      <family val="1"/>
      <b val="1"/>
      <color rgb="FFFFFFFF"/>
      <sz val="10"/>
    </font>
    <font>
      <name val="Garamond"/>
      <family val="1"/>
      <color rgb="FFA0A0A0"/>
      <sz val="10"/>
    </font>
    <font>
      <name val="Garamond"/>
      <family val="1"/>
      <color rgb="FF0563C1"/>
      <sz val="10"/>
    </font>
    <font>
      <name val="Garamond"/>
      <family val="1"/>
      <i val="1"/>
      <color rgb="FF008000"/>
      <sz val="10"/>
    </font>
    <font>
      <name val="Garamond"/>
      <family val="1"/>
      <i val="1"/>
      <color rgb="FF0000FF"/>
      <sz val="10"/>
    </font>
    <font>
      <name val="Garamond"/>
      <family val="1"/>
      <b val="1"/>
      <color rgb="FF0000FF"/>
      <sz val="10"/>
    </font>
    <font>
      <name val="Garamond"/>
      <family val="1"/>
      <sz val="10"/>
    </font>
    <font>
      <name val="Garamond"/>
      <family val="1"/>
      <b val="1"/>
      <color rgb="FF002060"/>
      <sz val="22"/>
    </font>
    <font>
      <name val="Garamond"/>
      <family val="1"/>
      <i val="1"/>
      <color rgb="FF808080"/>
      <sz val="12"/>
    </font>
    <font>
      <name val="Garamond"/>
      <family val="1"/>
      <b val="1"/>
      <sz val="10"/>
    </font>
    <font>
      <name val="Garamond"/>
      <family val="1"/>
      <color rgb="FFFF0000"/>
      <sz val="10"/>
    </font>
    <font>
      <name val="Garamond"/>
      <family val="1"/>
      <i val="1"/>
      <sz val="10"/>
    </font>
    <font>
      <name val="Garamond"/>
      <family val="1"/>
      <b val="1"/>
      <sz val="10"/>
      <u val="single"/>
    </font>
    <font>
      <name val="Calibri"/>
      <charset val="1"/>
      <family val="2"/>
      <color theme="10"/>
      <sz val="11"/>
      <u val="single"/>
    </font>
    <font>
      <name val="Garamond"/>
      <family val="1"/>
      <b val="1"/>
      <color rgb="FFA0A0A0"/>
      <sz val="10"/>
    </font>
    <font>
      <name val="Garamond"/>
      <family val="1"/>
      <color theme="10"/>
      <sz val="11"/>
      <u val="single"/>
      <scheme val="major"/>
    </font>
    <font>
      <name val="Garamond"/>
      <family val="1"/>
      <i val="1"/>
      <color rgb="FF008000"/>
      <sz val="10"/>
    </font>
    <font>
      <name val="Calibri"/>
      <charset val="1"/>
      <family val="2"/>
      <color theme="1"/>
      <sz val="11"/>
    </font>
    <font>
      <name val="Garamond"/>
      <family val="1"/>
      <color rgb="FFA0A0A0"/>
      <sz val="10"/>
      <scheme val="major"/>
    </font>
    <font>
      <name val="Garamond"/>
      <family val="1"/>
      <color rgb="FF000000"/>
      <sz val="10"/>
      <scheme val="major"/>
    </font>
    <font>
      <name val="Garamond"/>
      <family val="1"/>
      <b val="1"/>
      <color rgb="FF000000"/>
      <sz val="10"/>
      <scheme val="major"/>
    </font>
    <font>
      <name val="Garamond"/>
      <family val="1"/>
      <i val="1"/>
      <color rgb="FF000000"/>
      <sz val="10"/>
      <scheme val="major"/>
    </font>
    <font>
      <name val="Garamond"/>
      <family val="1"/>
      <b val="1"/>
      <color rgb="FFFF0000"/>
      <sz val="10"/>
      <scheme val="major"/>
    </font>
    <font>
      <name val="Garamond"/>
      <family val="1"/>
      <b val="1"/>
      <color rgb="FFFFFFFF"/>
      <sz val="10"/>
      <scheme val="major"/>
    </font>
    <font>
      <name val="Garamond"/>
      <family val="1"/>
      <i val="1"/>
      <color rgb="FFFFFFFF"/>
      <sz val="10"/>
      <scheme val="major"/>
    </font>
    <font>
      <name val="Garamond"/>
      <family val="1"/>
      <i val="1"/>
      <color rgb="FFA6A6A6"/>
      <sz val="10"/>
      <scheme val="major"/>
    </font>
    <font>
      <name val="Garamond"/>
      <family val="1"/>
      <color rgb="FF008000"/>
      <sz val="10"/>
      <scheme val="major"/>
    </font>
    <font>
      <name val="Garamond"/>
      <family val="1"/>
      <color rgb="FF0000FF"/>
      <sz val="10"/>
      <scheme val="major"/>
    </font>
    <font>
      <name val="Garamond"/>
      <family val="1"/>
      <i val="1"/>
      <color rgb="FFFF0000"/>
      <sz val="10"/>
      <scheme val="major"/>
    </font>
    <font>
      <name val="Garamond"/>
      <family val="1"/>
      <color theme="10"/>
      <sz val="10"/>
      <u val="single"/>
      <scheme val="major"/>
    </font>
    <font>
      <name val="Garamond"/>
      <family val="1"/>
      <color theme="1"/>
      <sz val="10"/>
      <scheme val="major"/>
    </font>
    <font>
      <name val="Tahoma"/>
      <family val="2"/>
      <color indexed="81"/>
      <sz val="9"/>
    </font>
    <font>
      <name val="Garamond"/>
      <family val="1"/>
      <b val="1"/>
      <color rgb="FF0000FF"/>
      <sz val="10"/>
      <scheme val="major"/>
    </font>
    <font>
      <name val="Garamond"/>
      <family val="1"/>
      <b val="1"/>
      <color rgb="FF008000"/>
      <sz val="10"/>
    </font>
    <font>
      <name val="Garamond"/>
      <family val="2"/>
      <color theme="1"/>
      <sz val="10"/>
      <scheme val="minor"/>
    </font>
    <font>
      <name val="Garamond"/>
      <family val="2"/>
      <color rgb="FFA0A0A0"/>
      <sz val="10"/>
      <scheme val="minor"/>
    </font>
    <font>
      <name val="Garamond"/>
      <family val="2"/>
      <color theme="10"/>
      <sz val="10"/>
      <u val="single"/>
      <scheme val="minor"/>
    </font>
    <font>
      <name val="Garamond"/>
      <family val="1"/>
      <sz val="10"/>
      <scheme val="minor"/>
    </font>
    <font>
      <name val="Garamond"/>
      <family val="1"/>
      <color theme="1"/>
      <sz val="10"/>
    </font>
    <font>
      <name val="Garamond"/>
      <family val="2"/>
      <color rgb="FF000000"/>
      <sz val="10"/>
      <scheme val="minor"/>
    </font>
    <font>
      <name val="Garamond"/>
      <family val="1"/>
      <b val="1"/>
      <color theme="0"/>
      <sz val="10"/>
      <scheme val="major"/>
    </font>
    <font>
      <name val="Garamond"/>
      <family val="1"/>
      <b val="1"/>
      <sz val="10"/>
      <scheme val="major"/>
    </font>
    <font>
      <name val="Garamond"/>
      <family val="1"/>
      <color rgb="FF660066"/>
      <sz val="10"/>
      <scheme val="major"/>
    </font>
    <font>
      <name val="Garamond"/>
      <family val="1"/>
      <sz val="10"/>
      <scheme val="major"/>
    </font>
    <font>
      <name val="Garamond"/>
      <family val="1"/>
      <color theme="1"/>
      <sz val="10"/>
      <u val="singleAccounting"/>
      <scheme val="major"/>
    </font>
    <font>
      <name val="Garamond"/>
      <family val="2"/>
      <color rgb="FF660066"/>
      <sz val="10"/>
      <scheme val="minor"/>
    </font>
    <font>
      <name val="Garamond"/>
      <family val="2"/>
      <color rgb="FFC00000"/>
      <sz val="10"/>
      <scheme val="minor"/>
    </font>
    <font>
      <name val="Garamond"/>
      <family val="1"/>
      <b val="1"/>
      <color theme="0"/>
      <sz val="10"/>
      <u val="singleAccounting"/>
      <scheme val="major"/>
    </font>
    <font>
      <name val="Garamond"/>
      <family val="1"/>
      <b val="1"/>
      <color rgb="FFFFFFFF"/>
      <sz val="10"/>
      <u val="singleAccounting"/>
      <scheme val="major"/>
    </font>
    <font>
      <name val="Garamond"/>
      <family val="1"/>
      <b val="1"/>
      <color theme="1"/>
      <sz val="10"/>
      <scheme val="major"/>
    </font>
    <font>
      <name val="Garamond"/>
      <family val="1"/>
      <color rgb="FF800080"/>
      <sz val="10"/>
      <scheme val="major"/>
    </font>
    <font>
      <name val="Garamond"/>
      <family val="1"/>
      <color rgb="FFC00000"/>
      <sz val="10"/>
      <scheme val="major"/>
    </font>
    <font>
      <name val="Garamond"/>
      <family val="1"/>
      <b val="1"/>
      <color rgb="FFC00000"/>
      <sz val="10"/>
      <scheme val="major"/>
    </font>
    <font>
      <name val="Garamond"/>
      <family val="1"/>
      <color theme="0"/>
      <sz val="10"/>
      <scheme val="major"/>
    </font>
    <font>
      <name val="Garamond"/>
      <family val="1"/>
      <i val="1"/>
      <color theme="0"/>
      <sz val="10"/>
      <scheme val="major"/>
    </font>
    <font>
      <name val="Garamond"/>
      <family val="1"/>
      <i val="1"/>
      <color theme="1"/>
      <sz val="10"/>
      <scheme val="major"/>
    </font>
    <font>
      <name val="Garamond"/>
      <family val="1"/>
      <i val="1"/>
      <color rgb="FF0000FF"/>
      <sz val="10"/>
      <scheme val="major"/>
    </font>
    <font>
      <name val="Garamond"/>
      <family val="1"/>
      <b val="1"/>
      <color rgb="FF000000"/>
      <sz val="10"/>
      <scheme val="minor"/>
    </font>
    <font>
      <name val="Garamond"/>
      <family val="1"/>
      <b val="1"/>
      <color theme="1"/>
      <sz val="10"/>
    </font>
    <font>
      <name val="Garamond"/>
      <family val="1"/>
      <b val="1"/>
      <color rgb="FF008000"/>
      <sz val="10"/>
      <scheme val="major"/>
    </font>
    <font>
      <name val="Garamond"/>
      <family val="2"/>
      <color theme="1"/>
      <sz val="10"/>
      <scheme val="major"/>
    </font>
    <font>
      <name val="Garamond"/>
      <family val="2"/>
      <color rgb="FF000000"/>
      <sz val="10"/>
      <scheme val="major"/>
    </font>
    <font>
      <name val="Garamond"/>
      <family val="2"/>
      <color rgb="FF0000FF"/>
      <sz val="10"/>
      <scheme val="major"/>
    </font>
    <font>
      <name val="Garamond"/>
      <family val="2"/>
      <color theme="0"/>
      <sz val="10"/>
      <scheme val="major"/>
    </font>
    <font>
      <name val="Garamond"/>
      <family val="1"/>
      <color rgb="FF000000"/>
      <sz val="10"/>
    </font>
    <font>
      <name val="Garamond"/>
      <family val="1"/>
      <i val="1"/>
      <color rgb="FF000000"/>
      <sz val="10"/>
    </font>
    <font>
      <name val="Garamond"/>
      <family val="1"/>
      <i val="1"/>
      <sz val="10"/>
    </font>
    <font>
      <name val="Garamond"/>
      <family val="1"/>
      <color rgb="FF0000FF"/>
      <sz val="10"/>
    </font>
    <font>
      <name val="Garamond"/>
      <family val="1"/>
      <i val="1"/>
      <color rgb="FF0000FF"/>
      <sz val="10"/>
    </font>
    <font>
      <name val="Garamond"/>
      <family val="1"/>
      <b val="1"/>
      <color rgb="FF000000"/>
      <sz val="10"/>
    </font>
    <font>
      <name val="Garamond"/>
      <family val="1"/>
      <b val="1"/>
      <color rgb="FF0000FF"/>
      <sz val="10"/>
    </font>
    <font>
      <name val="Garamond"/>
      <family val="1"/>
      <i val="1"/>
      <color rgb="FF008000"/>
      <sz val="10"/>
    </font>
    <font>
      <name val="Garamond"/>
      <family val="1"/>
      <color rgb="FF008000"/>
      <sz val="10"/>
    </font>
    <font>
      <name val="Garamond"/>
      <family val="1"/>
      <i val="1"/>
      <sz val="10"/>
      <scheme val="major"/>
    </font>
    <font>
      <name val="Tahoma"/>
      <family val="2"/>
      <b val="1"/>
      <color indexed="81"/>
      <sz val="9"/>
    </font>
    <font>
      <name val="Garamond"/>
      <color rgb="FFA0A0A0"/>
      <sz val="10"/>
    </font>
    <font>
      <name val="Garamond"/>
      <color theme="10"/>
      <sz val="11"/>
      <u val="single"/>
    </font>
    <font>
      <name val="Garamond"/>
      <b val="1"/>
      <color rgb="FF000000"/>
      <sz val="10"/>
    </font>
    <font>
      <name val="Garamond"/>
      <i val="1"/>
      <color rgb="FF000000"/>
      <sz val="10"/>
    </font>
    <font>
      <name val="Garamond"/>
      <b val="1"/>
      <color rgb="FF008000"/>
      <sz val="10"/>
    </font>
    <font>
      <name val="Garamond"/>
      <i val="1"/>
      <color rgb="FF808080"/>
      <sz val="10"/>
    </font>
    <font>
      <name val="Garamond"/>
      <color rgb="FF000000"/>
      <sz val="10"/>
    </font>
    <font>
      <name val="Garamond"/>
      <b val="1"/>
      <color rgb="FFFFFFFF"/>
      <sz val="10"/>
    </font>
    <font>
      <name val="Garamond"/>
      <i val="1"/>
      <color rgb="FFFFFFFF"/>
      <sz val="10"/>
    </font>
    <font>
      <name val="Garamond"/>
      <i val="1"/>
      <color rgb="FF008000"/>
      <sz val="10"/>
    </font>
    <font>
      <name val="Garamond"/>
      <i val="1"/>
      <color rgb="FFFF0000"/>
      <sz val="10"/>
    </font>
    <font>
      <name val="Garamond"/>
      <color rgb="FF008000"/>
      <sz val="10"/>
    </font>
    <font>
      <name val="Garamond"/>
      <color rgb="FF0000FF"/>
      <sz val="10"/>
    </font>
    <font>
      <name val="Garamond"/>
      <b val="1"/>
      <color rgb="FF0000FF"/>
      <sz val="10"/>
    </font>
  </fonts>
  <fills count="16">
    <fill>
      <patternFill/>
    </fill>
    <fill>
      <patternFill patternType="gray125"/>
    </fill>
    <fill>
      <patternFill patternType="solid">
        <fgColor rgb="FFFFF2CC"/>
      </patternFill>
    </fill>
    <fill>
      <patternFill patternType="solid">
        <fgColor rgb="FF002060"/>
      </patternFill>
    </fill>
    <fill>
      <patternFill patternType="solid">
        <fgColor rgb="FF808080"/>
      </patternFill>
    </fill>
    <fill>
      <patternFill patternType="solid">
        <fgColor theme="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8999908444471572"/>
        <bgColor indexed="64"/>
      </patternFill>
    </fill>
    <fill>
      <patternFill patternType="solid">
        <fgColor rgb="FF002060"/>
        <bgColor indexed="64"/>
      </patternFill>
    </fill>
    <fill>
      <patternFill patternType="solid">
        <fgColor theme="2" tint="-0.09997863704336681"/>
        <bgColor indexed="64"/>
      </patternFill>
    </fill>
    <fill>
      <patternFill patternType="solid">
        <fgColor rgb="FFFFF2CC"/>
        <bgColor indexed="64"/>
      </patternFill>
    </fill>
    <fill>
      <patternFill patternType="solid">
        <fgColor theme="3" tint="0.749992370372631"/>
        <bgColor indexed="64"/>
      </patternFill>
    </fill>
    <fill>
      <patternFill patternType="solid">
        <fgColor theme="3" tint="0.499984740745262"/>
      </patternFill>
    </fill>
    <fill>
      <patternFill patternType="solid">
        <fgColor theme="3" tint="0.249977111117893"/>
      </patternFill>
    </fill>
    <fill>
      <patternFill patternType="solid">
        <fgColor theme="2"/>
      </patternFill>
    </fill>
  </fills>
  <borders count="87">
    <border>
      <left/>
      <right/>
      <top/>
      <bottom/>
      <diagonal/>
    </border>
    <border>
      <left/>
      <right/>
      <top/>
      <bottom/>
      <diagonal/>
    </border>
    <border>
      <left/>
      <right/>
      <top style="thin">
        <color rgb="FF000000"/>
      </top>
      <bottom style="thin">
        <color rgb="FF000000"/>
      </bottom>
      <diagonal/>
    </border>
    <border>
      <left/>
      <right/>
      <top style="thin">
        <color rgb="FF000000"/>
      </top>
      <bottom/>
      <diagonal/>
    </border>
    <border>
      <left/>
      <right/>
      <top style="hair">
        <color rgb="FF000000"/>
      </top>
      <bottom/>
      <diagonal/>
    </border>
    <border>
      <left/>
      <right/>
      <top/>
      <bottom style="hair">
        <color rgb="FF000000"/>
      </bottom>
      <diagonal/>
    </border>
    <border>
      <left/>
      <right/>
      <top/>
      <bottom/>
      <diagonal/>
    </border>
    <border>
      <left/>
      <right/>
      <top/>
      <bottom style="thin">
        <color rgb="FF000000"/>
      </bottom>
      <diagonal/>
    </border>
    <border>
      <left/>
      <right/>
      <top style="thin">
        <color rgb="FF000000"/>
      </top>
      <bottom/>
      <diagonal/>
    </border>
    <border>
      <left/>
      <right/>
      <top/>
      <bottom/>
      <diagonal/>
    </border>
    <border>
      <left/>
      <right/>
      <top style="thin">
        <color rgb="FF000000"/>
      </top>
      <bottom style="thin">
        <color rgb="FF000000"/>
      </bottom>
      <diagonal/>
    </border>
    <border>
      <left/>
      <right/>
      <top style="thin">
        <color indexed="64"/>
      </top>
      <bottom/>
      <diagonal/>
    </border>
    <border>
      <left/>
      <right/>
      <top style="thin">
        <color indexed="64"/>
      </top>
      <bottom style="thin">
        <color rgb="FF000000"/>
      </bottom>
      <diagonal/>
    </border>
    <border>
      <left/>
      <right/>
      <top/>
      <bottom style="thin">
        <color indexed="64"/>
      </bottom>
      <diagonal/>
    </border>
    <border>
      <left/>
      <right/>
      <top style="thin">
        <color indexed="64"/>
      </top>
      <bottom style="medium">
        <color indexed="64"/>
      </bottom>
      <diagonal/>
    </border>
    <border>
      <left/>
      <right/>
      <top/>
      <bottom/>
      <diagonal/>
    </border>
    <border>
      <left/>
      <right/>
      <top/>
      <bottom/>
      <diagonal/>
    </border>
    <border>
      <left/>
      <right/>
      <top style="thin">
        <color rgb="FF000000"/>
      </top>
      <bottom style="thin">
        <color rgb="FF000000"/>
      </bottom>
      <diagonal/>
    </border>
    <border>
      <left style="hair">
        <color indexed="64"/>
      </left>
      <right/>
      <top/>
      <bottom style="hair">
        <color rgb="FF000000"/>
      </bottom>
      <diagonal/>
    </border>
    <border>
      <left style="hair">
        <color indexed="64"/>
      </left>
      <right/>
      <top/>
      <bottom/>
      <diagonal/>
    </border>
    <border>
      <left style="hair">
        <color indexed="64"/>
      </left>
      <right/>
      <top style="thin">
        <color rgb="FF000000"/>
      </top>
      <bottom/>
      <diagonal/>
    </border>
    <border>
      <left style="hair">
        <color indexed="64"/>
      </left>
      <right/>
      <top/>
      <bottom style="thin">
        <color rgb="FF000000"/>
      </bottom>
      <diagonal/>
    </border>
    <border>
      <left style="hair">
        <color indexed="64"/>
      </left>
      <right/>
      <top style="thin">
        <color rgb="FF000000"/>
      </top>
      <bottom style="thin">
        <color rgb="FF000000"/>
      </bottom>
      <diagonal/>
    </border>
    <border>
      <left style="hair">
        <color indexed="64"/>
      </left>
      <right/>
      <top style="hair">
        <color rgb="FF000000"/>
      </top>
      <bottom/>
      <diagonal/>
    </border>
    <border>
      <left/>
      <right style="hair">
        <color indexed="64"/>
      </right>
      <top/>
      <bottom/>
      <diagonal/>
    </border>
    <border>
      <left/>
      <right style="hair">
        <color indexed="64"/>
      </right>
      <top style="thin">
        <color rgb="FF000000"/>
      </top>
      <bottom/>
      <diagonal/>
    </border>
    <border>
      <left/>
      <right style="hair">
        <color indexed="64"/>
      </right>
      <top/>
      <bottom style="thin">
        <color rgb="FF000000"/>
      </bottom>
      <diagonal/>
    </border>
    <border>
      <left/>
      <right style="hair">
        <color indexed="64"/>
      </right>
      <top style="thin">
        <color rgb="FF000000"/>
      </top>
      <bottom style="thin">
        <color rgb="FF000000"/>
      </bottom>
      <diagonal/>
    </border>
    <border>
      <left/>
      <right style="hair">
        <color indexed="64"/>
      </right>
      <top style="hair">
        <color rgb="FF000000"/>
      </top>
      <bottom/>
      <diagonal/>
    </border>
    <border>
      <left/>
      <right style="hair">
        <color indexed="64"/>
      </right>
      <top/>
      <bottom style="hair">
        <color rgb="FF000000"/>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bottom/>
      <diagonal/>
    </border>
    <border>
      <left/>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right style="hair">
        <color indexed="64"/>
      </right>
      <top style="thin">
        <color indexed="64"/>
      </top>
      <bottom/>
      <diagonal/>
    </border>
    <border>
      <left style="hair">
        <color indexed="64"/>
      </left>
      <right/>
      <top style="thin">
        <color indexed="64"/>
      </top>
      <bottom/>
      <diagonal/>
    </border>
    <border>
      <left/>
      <right/>
      <top style="hair">
        <color rgb="FF000000"/>
      </top>
      <bottom style="hair">
        <color indexed="64"/>
      </bottom>
      <diagonal/>
    </border>
    <border>
      <left/>
      <right/>
      <top style="thin">
        <color rgb="FF000000"/>
      </top>
      <bottom style="medium">
        <color indexed="64"/>
      </bottom>
      <diagonal/>
    </border>
    <border>
      <left/>
      <right/>
      <top style="thin">
        <color rgb="FF000000"/>
      </top>
      <bottom style="double">
        <color indexed="64"/>
      </bottom>
      <diagonal/>
    </border>
    <border>
      <left/>
      <right/>
      <top/>
      <bottom style="double">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hair">
        <color indexed="64"/>
      </right>
      <top style="thin">
        <color rgb="FF000000"/>
      </top>
      <bottom style="medium">
        <color indexed="64"/>
      </bottom>
      <diagonal/>
    </border>
    <border>
      <left/>
      <right style="hair">
        <color indexed="64"/>
      </right>
      <top style="hair">
        <color rgb="FF000000"/>
      </top>
      <bottom style="hair">
        <color indexed="64"/>
      </bottom>
      <diagonal/>
    </border>
    <border>
      <left style="hair">
        <color indexed="64"/>
      </left>
      <right style="hair">
        <color indexed="64"/>
      </right>
      <top style="thin">
        <color rgb="FF000000"/>
      </top>
      <bottom/>
      <diagonal/>
    </border>
    <border>
      <left style="hair">
        <color indexed="64"/>
      </left>
      <right style="hair">
        <color indexed="64"/>
      </right>
      <top/>
      <bottom style="thin">
        <color rgb="FF000000"/>
      </bottom>
      <diagonal/>
    </border>
    <border>
      <left style="hair">
        <color indexed="64"/>
      </left>
      <right style="hair">
        <color indexed="64"/>
      </right>
      <top style="thin">
        <color rgb="FF000000"/>
      </top>
      <bottom style="medium">
        <color indexed="64"/>
      </bottom>
      <diagonal/>
    </border>
    <border>
      <left style="hair">
        <color indexed="64"/>
      </left>
      <right style="hair">
        <color indexed="64"/>
      </right>
      <top style="hair">
        <color rgb="FF000000"/>
      </top>
      <bottom style="hair">
        <color indexed="64"/>
      </bottom>
      <diagonal/>
    </border>
    <border>
      <left/>
      <right style="hair">
        <color indexed="64"/>
      </right>
      <top style="thin">
        <color rgb="FF000000"/>
      </top>
      <bottom style="double">
        <color indexed="64"/>
      </bottom>
      <diagonal/>
    </border>
    <border>
      <left style="hair">
        <color indexed="64"/>
      </left>
      <right/>
      <top style="thin">
        <color rgb="FF000000"/>
      </top>
      <bottom style="double">
        <color indexed="64"/>
      </bottom>
      <diagonal/>
    </border>
    <border>
      <left/>
      <right style="thin">
        <color indexed="64"/>
      </right>
      <top/>
      <bottom/>
      <diagonal/>
    </border>
    <border>
      <left/>
      <right/>
      <top style="hair">
        <color rgb="FF000000"/>
      </top>
      <bottom style="hair">
        <color rgb="FF000000"/>
      </bottom>
      <diagonal/>
    </border>
    <border>
      <left style="thick">
        <color theme="0"/>
      </left>
      <right style="thick">
        <color theme="0"/>
      </right>
      <top/>
      <bottom/>
      <diagonal/>
    </border>
    <border>
      <left style="thin">
        <color indexed="64"/>
      </left>
      <right/>
      <top style="thin">
        <color indexed="64"/>
      </top>
      <bottom/>
      <diagonal/>
    </border>
    <border>
      <left style="thin">
        <color theme="0"/>
      </left>
      <right style="thin">
        <color theme="0"/>
      </right>
      <top style="thin">
        <color indexed="64"/>
      </top>
      <bottom/>
      <diagonal/>
    </border>
    <border>
      <left/>
      <right/>
      <top style="medium">
        <color indexed="64"/>
      </top>
      <bottom style="medium">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theme="2" tint="-0.249977111117893"/>
      </bottom>
      <diagonal/>
    </border>
    <border>
      <left/>
      <right/>
      <top/>
      <bottom style="medium">
        <color theme="2" tint="-0.249977111117893"/>
      </bottom>
      <diagonal/>
    </border>
    <border>
      <left/>
      <right/>
      <top style="thin">
        <color theme="2" tint="-0.249977111117893"/>
      </top>
      <bottom/>
      <diagonal/>
    </border>
    <border>
      <bottom style="thin"/>
    </border>
    <border>
      <left style="thin"/>
      <right style="thin"/>
      <top style="thin"/>
      <bottom style="thin"/>
    </border>
    <border>
      <top style="thin"/>
    </border>
    <border>
      <left style="hair"/>
      <right style="hair"/>
      <top style="thin"/>
    </border>
    <border>
      <left style="hair"/>
      <right style="hair"/>
      <bottom style="thin"/>
    </border>
    <border>
      <left style="hair"/>
      <right style="hair"/>
      <top/>
      <bottom/>
    </border>
    <border>
      <left/>
      <right/>
      <top style="thin"/>
      <bottom/>
    </border>
    <border>
      <left style="hair"/>
      <right style="hair"/>
      <top style="thin"/>
      <bottom/>
    </border>
    <border>
      <left/>
      <right/>
      <top/>
      <bottom style="thin"/>
    </border>
    <border>
      <left style="hair"/>
      <right style="hair"/>
      <top/>
      <bottom style="thin"/>
    </border>
    <border/>
  </borders>
  <cellStyleXfs count="9">
    <xf numFmtId="0" fontId="28" fillId="0" borderId="16"/>
    <xf numFmtId="0" fontId="24" fillId="0" borderId="16"/>
    <xf numFmtId="9" fontId="28" fillId="0" borderId="16"/>
    <xf numFmtId="0" fontId="45" fillId="0" borderId="16"/>
    <xf numFmtId="0" fontId="47" fillId="0" borderId="16"/>
    <xf numFmtId="0" fontId="1" fillId="0" borderId="16"/>
    <xf numFmtId="9" fontId="45" fillId="0" borderId="16"/>
    <xf numFmtId="0" fontId="17" fillId="0" borderId="16"/>
    <xf numFmtId="44" fontId="17" fillId="0" borderId="16"/>
  </cellStyleXfs>
  <cellXfs count="1064">
    <xf numFmtId="0" fontId="0" fillId="0" borderId="0" pivotButton="0" quotePrefix="0" xfId="0"/>
    <xf numFmtId="0" fontId="12" fillId="0" borderId="0" pivotButton="0" quotePrefix="0" xfId="0"/>
    <xf numFmtId="0" fontId="3" fillId="0" borderId="7" applyAlignment="1" pivotButton="0" quotePrefix="0" xfId="0">
      <alignment horizontal="centerContinuous"/>
    </xf>
    <xf numFmtId="0" fontId="5" fillId="0" borderId="0" applyAlignment="1" pivotButton="0" quotePrefix="0" xfId="0">
      <alignment horizontal="centerContinuous"/>
    </xf>
    <xf numFmtId="0" fontId="18" fillId="0" borderId="0" applyAlignment="1" pivotButton="0" quotePrefix="0" xfId="0">
      <alignment horizontal="centerContinuous"/>
    </xf>
    <xf numFmtId="0" fontId="19" fillId="0" borderId="0" applyAlignment="1" pivotButton="0" quotePrefix="0" xfId="0">
      <alignment horizontal="centerContinuous"/>
    </xf>
    <xf numFmtId="0" fontId="20" fillId="0" borderId="10" pivotButton="0" quotePrefix="0" xfId="0"/>
    <xf numFmtId="0" fontId="0" fillId="0" borderId="10" pivotButton="0" quotePrefix="0" xfId="0"/>
    <xf numFmtId="0" fontId="16" fillId="2" borderId="10" applyAlignment="1" pivotButton="0" quotePrefix="0" xfId="0">
      <alignment horizontal="centerContinuous"/>
    </xf>
    <xf numFmtId="0" fontId="0" fillId="2" borderId="10" applyAlignment="1" pivotButton="0" quotePrefix="0" xfId="0">
      <alignment horizontal="centerContinuous"/>
    </xf>
    <xf numFmtId="0" fontId="20" fillId="0" borderId="7" applyAlignment="1" pivotButton="0" quotePrefix="0" xfId="0">
      <alignment horizontal="left"/>
    </xf>
    <xf numFmtId="0" fontId="20" fillId="0" borderId="7" applyAlignment="1" pivotButton="0" quotePrefix="0" xfId="0">
      <alignment horizontal="right"/>
    </xf>
    <xf numFmtId="0" fontId="20" fillId="0" borderId="7" applyAlignment="1" pivotButton="0" quotePrefix="0" xfId="0">
      <alignment horizontal="centerContinuous"/>
    </xf>
    <xf numFmtId="0" fontId="2" fillId="0" borderId="0" pivotButton="0" quotePrefix="0" xfId="0"/>
    <xf numFmtId="164" fontId="6" fillId="0" borderId="0" pivotButton="0" quotePrefix="0" xfId="0"/>
    <xf numFmtId="0" fontId="23" fillId="0" borderId="0" pivotButton="0" quotePrefix="0" xfId="0"/>
    <xf numFmtId="0" fontId="6" fillId="0" borderId="0" pivotButton="0" quotePrefix="0" xfId="0"/>
    <xf numFmtId="0" fontId="2" fillId="0" borderId="0" applyAlignment="1" pivotButton="0" quotePrefix="0" xfId="0">
      <alignment horizontal="left" indent="1"/>
    </xf>
    <xf numFmtId="0" fontId="8" fillId="0" borderId="0" pivotButton="0" quotePrefix="0" xfId="0"/>
    <xf numFmtId="0" fontId="21" fillId="0" borderId="0" pivotButton="0" quotePrefix="0" xfId="0"/>
    <xf numFmtId="0" fontId="11" fillId="3" borderId="0" applyAlignment="1" pivotButton="0" quotePrefix="0" xfId="0">
      <alignment horizontal="center"/>
    </xf>
    <xf numFmtId="0" fontId="11" fillId="4" borderId="0" applyAlignment="1" pivotButton="0" quotePrefix="0" xfId="0">
      <alignment horizontal="center"/>
    </xf>
    <xf numFmtId="0" fontId="3" fillId="2" borderId="0" applyAlignment="1" pivotButton="0" quotePrefix="0" xfId="0">
      <alignment horizontal="center"/>
    </xf>
    <xf numFmtId="0" fontId="20" fillId="0" borderId="7" pivotButton="0" quotePrefix="0" xfId="0"/>
    <xf numFmtId="0" fontId="0" fillId="0" borderId="7" pivotButton="0" quotePrefix="0" xfId="0"/>
    <xf numFmtId="0" fontId="17" fillId="0" borderId="0" pivotButton="0" quotePrefix="0" xfId="0"/>
    <xf numFmtId="0" fontId="22" fillId="0" borderId="0" pivotButton="0" quotePrefix="0" xfId="0"/>
    <xf numFmtId="0" fontId="3" fillId="0" borderId="0" pivotButton="0" quotePrefix="0" xfId="0"/>
    <xf numFmtId="0" fontId="13" fillId="0" borderId="0" pivotButton="0" quotePrefix="0" xfId="0"/>
    <xf numFmtId="165" fontId="12" fillId="0" borderId="1" applyAlignment="1" pivotButton="0" quotePrefix="0" xfId="0">
      <alignment vertical="center"/>
    </xf>
    <xf numFmtId="0" fontId="2" fillId="0" borderId="1" applyAlignment="1" pivotButton="0" quotePrefix="0" xfId="0">
      <alignment vertical="center"/>
    </xf>
    <xf numFmtId="0" fontId="3" fillId="0" borderId="7" applyAlignment="1" pivotButton="0" quotePrefix="0" xfId="0">
      <alignment vertical="center"/>
    </xf>
    <xf numFmtId="0" fontId="2" fillId="0" borderId="7" applyAlignment="1" pivotButton="0" quotePrefix="0" xfId="0">
      <alignment vertical="center"/>
    </xf>
    <xf numFmtId="0" fontId="2" fillId="0" borderId="6" applyAlignment="1" pivotButton="0" quotePrefix="0" xfId="0">
      <alignment vertical="center"/>
    </xf>
    <xf numFmtId="0" fontId="4" fillId="0" borderId="6" applyAlignment="1" pivotButton="0" quotePrefix="0" xfId="0">
      <alignment horizontal="right" vertical="center"/>
    </xf>
    <xf numFmtId="0" fontId="11" fillId="3" borderId="8" applyAlignment="1" pivotButton="0" quotePrefix="0" xfId="0">
      <alignment horizontal="left"/>
    </xf>
    <xf numFmtId="0" fontId="10" fillId="3" borderId="8" applyAlignment="1" pivotButton="0" quotePrefix="0" xfId="0">
      <alignment horizontal="centerContinuous"/>
    </xf>
    <xf numFmtId="166" fontId="6" fillId="0" borderId="1" applyAlignment="1" pivotButton="0" quotePrefix="0" xfId="0">
      <alignment vertical="center"/>
    </xf>
    <xf numFmtId="166" fontId="2" fillId="0" borderId="1" applyAlignment="1" pivotButton="0" quotePrefix="0" xfId="0">
      <alignment vertical="center"/>
    </xf>
    <xf numFmtId="164" fontId="6" fillId="0" borderId="1" applyAlignment="1" pivotButton="0" quotePrefix="0" xfId="0">
      <alignment vertical="center"/>
    </xf>
    <xf numFmtId="164" fontId="2" fillId="0" borderId="1" applyAlignment="1" pivotButton="0" quotePrefix="0" xfId="0">
      <alignment vertical="center"/>
    </xf>
    <xf numFmtId="166" fontId="3" fillId="0" borderId="2" applyAlignment="1" pivotButton="0" quotePrefix="0" xfId="0">
      <alignment vertical="center"/>
    </xf>
    <xf numFmtId="0" fontId="3" fillId="0" borderId="1" applyAlignment="1" pivotButton="0" quotePrefix="0" xfId="0">
      <alignment vertical="center"/>
    </xf>
    <xf numFmtId="164" fontId="8" fillId="0" borderId="1" applyAlignment="1" pivotButton="0" quotePrefix="0" xfId="0">
      <alignment vertical="center"/>
    </xf>
    <xf numFmtId="166" fontId="8" fillId="0" borderId="1" applyAlignment="1" pivotButton="0" quotePrefix="0" xfId="0">
      <alignment vertical="center"/>
    </xf>
    <xf numFmtId="166" fontId="7" fillId="0" borderId="1" applyAlignment="1" pivotButton="0" quotePrefix="0" xfId="0">
      <alignment vertical="center"/>
    </xf>
    <xf numFmtId="0" fontId="3" fillId="0" borderId="1" pivotButton="0" quotePrefix="0" xfId="0"/>
    <xf numFmtId="0" fontId="2" fillId="0" borderId="1" pivotButton="0" quotePrefix="0" xfId="0"/>
    <xf numFmtId="166" fontId="8" fillId="0" borderId="1" pivotButton="0" quotePrefix="0" xfId="0"/>
    <xf numFmtId="166" fontId="2" fillId="0" borderId="1" pivotButton="0" quotePrefix="0" xfId="0"/>
    <xf numFmtId="166" fontId="6" fillId="0" borderId="1" pivotButton="0" quotePrefix="0" xfId="0"/>
    <xf numFmtId="164" fontId="6" fillId="0" borderId="1" pivotButton="0" quotePrefix="0" xfId="0"/>
    <xf numFmtId="164" fontId="2" fillId="0" borderId="1" pivotButton="0" quotePrefix="0" xfId="0"/>
    <xf numFmtId="164" fontId="8" fillId="0" borderId="1" pivotButton="0" quotePrefix="0" xfId="0"/>
    <xf numFmtId="0" fontId="2" fillId="0" borderId="2" pivotButton="0" quotePrefix="0" xfId="0"/>
    <xf numFmtId="164" fontId="7" fillId="0" borderId="1" pivotButton="0" quotePrefix="0" xfId="0"/>
    <xf numFmtId="167" fontId="7" fillId="0" borderId="1" pivotButton="0" quotePrefix="0" xfId="0"/>
    <xf numFmtId="167" fontId="2" fillId="0" borderId="1" pivotButton="0" quotePrefix="0" xfId="0"/>
    <xf numFmtId="0" fontId="4" fillId="0" borderId="1" applyAlignment="1" pivotButton="0" quotePrefix="0" xfId="0">
      <alignment horizontal="right" vertical="center"/>
    </xf>
    <xf numFmtId="166" fontId="3" fillId="0" borderId="1" pivotButton="0" quotePrefix="0" xfId="0"/>
    <xf numFmtId="166" fontId="7" fillId="0" borderId="1" pivotButton="0" quotePrefix="0" xfId="0"/>
    <xf numFmtId="0" fontId="5" fillId="0" borderId="1" pivotButton="0" quotePrefix="0" xfId="0"/>
    <xf numFmtId="168" fontId="2" fillId="0" borderId="1" pivotButton="0" quotePrefix="0" xfId="0"/>
    <xf numFmtId="166" fontId="3" fillId="0" borderId="2" pivotButton="0" quotePrefix="0" xfId="0"/>
    <xf numFmtId="164" fontId="6" fillId="2" borderId="1" pivotButton="0" quotePrefix="0" xfId="0"/>
    <xf numFmtId="164" fontId="5" fillId="0" borderId="1" pivotButton="0" quotePrefix="0" xfId="0"/>
    <xf numFmtId="167" fontId="5" fillId="0" borderId="1" pivotButton="0" quotePrefix="0" xfId="0"/>
    <xf numFmtId="0" fontId="2" fillId="0" borderId="6" pivotButton="0" quotePrefix="0" xfId="0"/>
    <xf numFmtId="0" fontId="3" fillId="0" borderId="1" applyAlignment="1" pivotButton="0" quotePrefix="0" xfId="0">
      <alignment horizontal="left"/>
    </xf>
    <xf numFmtId="0" fontId="4" fillId="0" borderId="6" applyAlignment="1" pivotButton="0" quotePrefix="0" xfId="0">
      <alignment horizontal="right"/>
    </xf>
    <xf numFmtId="14" fontId="2" fillId="0" borderId="7" applyAlignment="1" pivotButton="0" quotePrefix="0" xfId="0">
      <alignment vertical="center"/>
    </xf>
    <xf numFmtId="166" fontId="2" fillId="0" borderId="1" applyAlignment="1" pivotButton="0" quotePrefix="0" xfId="0">
      <alignment horizontal="right" vertical="center"/>
    </xf>
    <xf numFmtId="169" fontId="2" fillId="0" borderId="1" applyAlignment="1" pivotButton="0" quotePrefix="0" xfId="0">
      <alignment horizontal="center" vertical="center"/>
    </xf>
    <xf numFmtId="170" fontId="2" fillId="0" borderId="1" applyAlignment="1" pivotButton="0" quotePrefix="0" xfId="0">
      <alignment horizontal="center" vertical="center"/>
    </xf>
    <xf numFmtId="171" fontId="2" fillId="0" borderId="1" applyAlignment="1" pivotButton="0" quotePrefix="0" xfId="0">
      <alignment horizontal="center" vertical="center"/>
    </xf>
    <xf numFmtId="17" fontId="2" fillId="0" borderId="1" applyAlignment="1" pivotButton="0" quotePrefix="0" xfId="0">
      <alignment horizontal="center" vertical="center"/>
    </xf>
    <xf numFmtId="1" fontId="2" fillId="0" borderId="1" applyAlignment="1" pivotButton="0" quotePrefix="0" xfId="0">
      <alignment horizontal="center" vertical="center"/>
    </xf>
    <xf numFmtId="172" fontId="2" fillId="0" borderId="1" applyAlignment="1" pivotButton="0" quotePrefix="0" xfId="0">
      <alignment horizontal="center" vertical="center"/>
    </xf>
    <xf numFmtId="168" fontId="2" fillId="0" borderId="1" applyAlignment="1" pivotButton="0" quotePrefix="0" xfId="0">
      <alignment horizontal="center" vertical="center"/>
    </xf>
    <xf numFmtId="166" fontId="2" fillId="0" borderId="1" applyAlignment="1" pivotButton="0" quotePrefix="0" xfId="0">
      <alignment horizontal="center" vertical="center"/>
    </xf>
    <xf numFmtId="173" fontId="6" fillId="0" borderId="1" applyAlignment="1" pivotButton="0" quotePrefix="0" xfId="0">
      <alignment horizontal="center" vertical="center"/>
    </xf>
    <xf numFmtId="173" fontId="2" fillId="0" borderId="1" applyAlignment="1" pivotButton="0" quotePrefix="0" xfId="0">
      <alignment horizontal="center" vertical="center"/>
    </xf>
    <xf numFmtId="174" fontId="2" fillId="0" borderId="1" applyAlignment="1" pivotButton="0" quotePrefix="0" xfId="0">
      <alignment horizontal="center" vertical="center"/>
    </xf>
    <xf numFmtId="164" fontId="8" fillId="0" borderId="1" applyAlignment="1" pivotButton="0" quotePrefix="0" xfId="0">
      <alignment horizontal="right" vertical="center"/>
    </xf>
    <xf numFmtId="166" fontId="8" fillId="0" borderId="1" applyAlignment="1" pivotButton="0" quotePrefix="0" xfId="0">
      <alignment horizontal="right"/>
    </xf>
    <xf numFmtId="166" fontId="2" fillId="0" borderId="1" applyAlignment="1" pivotButton="0" quotePrefix="0" xfId="0">
      <alignment horizontal="right"/>
    </xf>
    <xf numFmtId="164" fontId="8" fillId="0" borderId="1" applyAlignment="1" pivotButton="0" quotePrefix="0" xfId="0">
      <alignment horizontal="right"/>
    </xf>
    <xf numFmtId="164" fontId="2" fillId="0" borderId="1" applyAlignment="1" pivotButton="0" quotePrefix="0" xfId="0">
      <alignment horizontal="right"/>
    </xf>
    <xf numFmtId="166" fontId="3" fillId="0" borderId="3" applyAlignment="1" pivotButton="0" quotePrefix="0" xfId="0">
      <alignment horizontal="right"/>
    </xf>
    <xf numFmtId="0" fontId="0" fillId="0" borderId="9" pivotButton="0" quotePrefix="0" xfId="0"/>
    <xf numFmtId="175" fontId="17" fillId="0" borderId="10" applyAlignment="1" pivotButton="0" quotePrefix="0" xfId="0">
      <alignment horizontal="center"/>
    </xf>
    <xf numFmtId="0" fontId="0" fillId="0" borderId="0" applyAlignment="1" pivotButton="0" quotePrefix="0" xfId="0">
      <alignment horizontal="centerContinuous"/>
    </xf>
    <xf numFmtId="0" fontId="25" fillId="0" borderId="0" pivotButton="0" quotePrefix="0" xfId="0"/>
    <xf numFmtId="0" fontId="3" fillId="0" borderId="7" applyAlignment="1" pivotButton="0" quotePrefix="0" xfId="0">
      <alignment horizontal="right" vertical="center"/>
    </xf>
    <xf numFmtId="0" fontId="2" fillId="0" borderId="9" applyAlignment="1" pivotButton="0" quotePrefix="0" xfId="0">
      <alignment vertical="center"/>
    </xf>
    <xf numFmtId="0" fontId="5" fillId="0" borderId="9" applyAlignment="1" pivotButton="0" quotePrefix="0" xfId="0">
      <alignment vertical="center"/>
    </xf>
    <xf numFmtId="0" fontId="4" fillId="0" borderId="9" applyAlignment="1" pivotButton="0" quotePrefix="0" xfId="0">
      <alignment horizontal="right" vertical="center"/>
    </xf>
    <xf numFmtId="0" fontId="3" fillId="5" borderId="7" applyAlignment="1" pivotButton="0" quotePrefix="0" xfId="0">
      <alignment vertical="center"/>
    </xf>
    <xf numFmtId="0" fontId="3" fillId="5" borderId="7" applyAlignment="1" pivotButton="0" quotePrefix="0" xfId="0">
      <alignment horizontal="center"/>
    </xf>
    <xf numFmtId="0" fontId="3" fillId="0" borderId="10" applyAlignment="1" pivotButton="0" quotePrefix="0" xfId="0">
      <alignment vertical="center"/>
    </xf>
    <xf numFmtId="0" fontId="3" fillId="0" borderId="9" applyAlignment="1" pivotButton="0" quotePrefix="0" xfId="0">
      <alignment vertical="center"/>
    </xf>
    <xf numFmtId="0" fontId="26" fillId="0" borderId="9" applyAlignment="1" pivotButton="0" quotePrefix="0" xfId="1">
      <alignment vertical="center"/>
    </xf>
    <xf numFmtId="166" fontId="2" fillId="0" borderId="9" applyAlignment="1" pivotButton="0" quotePrefix="0" xfId="0">
      <alignment vertical="center"/>
    </xf>
    <xf numFmtId="164" fontId="2" fillId="0" borderId="9" applyAlignment="1" pivotButton="0" quotePrefix="0" xfId="0">
      <alignment vertical="center"/>
    </xf>
    <xf numFmtId="166" fontId="3" fillId="0" borderId="10" applyAlignment="1" pivotButton="0" quotePrefix="0" xfId="0">
      <alignment vertical="center"/>
    </xf>
    <xf numFmtId="0" fontId="2" fillId="0" borderId="9" applyAlignment="1" pivotButton="0" quotePrefix="0" xfId="0">
      <alignment horizontal="left" vertical="center" indent="1"/>
    </xf>
    <xf numFmtId="0" fontId="2" fillId="0" borderId="9" applyAlignment="1" pivotButton="0" quotePrefix="0" xfId="0">
      <alignment horizontal="left" vertical="center" indent="2"/>
    </xf>
    <xf numFmtId="166" fontId="3" fillId="0" borderId="9" applyAlignment="1" pivotButton="0" quotePrefix="0" xfId="0">
      <alignment vertical="center"/>
    </xf>
    <xf numFmtId="0" fontId="3" fillId="0" borderId="11" applyAlignment="1" pivotButton="0" quotePrefix="0" xfId="0">
      <alignment vertical="center"/>
    </xf>
    <xf numFmtId="166" fontId="3" fillId="0" borderId="11" applyAlignment="1" pivotButton="0" quotePrefix="0" xfId="0">
      <alignment vertical="center"/>
    </xf>
    <xf numFmtId="0" fontId="3" fillId="5" borderId="4" applyAlignment="1" pivotButton="0" quotePrefix="0" xfId="0">
      <alignment vertical="center"/>
    </xf>
    <xf numFmtId="164" fontId="2" fillId="5" borderId="4" applyAlignment="1" pivotButton="0" quotePrefix="0" xfId="0">
      <alignment vertical="center"/>
    </xf>
    <xf numFmtId="0" fontId="5" fillId="5" borderId="9" applyAlignment="1" pivotButton="0" quotePrefix="0" xfId="0">
      <alignment vertical="center" indent="1"/>
    </xf>
    <xf numFmtId="168" fontId="5" fillId="5" borderId="1" applyAlignment="1" pivotButton="0" quotePrefix="0" xfId="0">
      <alignment vertical="center"/>
    </xf>
    <xf numFmtId="168" fontId="5" fillId="5" borderId="9" applyAlignment="1" pivotButton="0" quotePrefix="0" xfId="0">
      <alignment vertical="center"/>
    </xf>
    <xf numFmtId="0" fontId="5" fillId="5" borderId="5" applyAlignment="1" pivotButton="0" quotePrefix="0" xfId="0">
      <alignment vertical="center" indent="1"/>
    </xf>
    <xf numFmtId="168" fontId="5" fillId="5" borderId="5" applyAlignment="1" pivotButton="0" quotePrefix="0" xfId="0">
      <alignment vertical="center"/>
    </xf>
    <xf numFmtId="0" fontId="3" fillId="0" borderId="12" applyAlignment="1" pivotButton="0" quotePrefix="0" xfId="0">
      <alignment horizontal="left" vertical="center" indent="1"/>
    </xf>
    <xf numFmtId="0" fontId="3" fillId="0" borderId="11" applyAlignment="1" pivotButton="0" quotePrefix="0" xfId="0">
      <alignment horizontal="left" vertical="center" indent="1"/>
    </xf>
    <xf numFmtId="0" fontId="3" fillId="0" borderId="8" applyAlignment="1" pivotButton="0" quotePrefix="0" xfId="0">
      <alignment vertical="center"/>
    </xf>
    <xf numFmtId="166" fontId="3" fillId="0" borderId="8" applyAlignment="1" pivotButton="0" quotePrefix="0" xfId="0">
      <alignment vertical="center"/>
    </xf>
    <xf numFmtId="164" fontId="6" fillId="0" borderId="9" applyAlignment="1" pivotButton="0" quotePrefix="0" xfId="0">
      <alignment vertical="center"/>
    </xf>
    <xf numFmtId="164" fontId="8" fillId="0" borderId="9" applyAlignment="1" pivotButton="0" quotePrefix="0" xfId="0">
      <alignment vertical="center"/>
    </xf>
    <xf numFmtId="0" fontId="2" fillId="5" borderId="9" applyAlignment="1" pivotButton="0" quotePrefix="0" xfId="0">
      <alignment vertical="center"/>
    </xf>
    <xf numFmtId="0" fontId="2" fillId="0" borderId="13" applyAlignment="1" pivotButton="0" quotePrefix="0" xfId="0">
      <alignment horizontal="left" vertical="center" indent="1"/>
    </xf>
    <xf numFmtId="164" fontId="2" fillId="0" borderId="13" applyAlignment="1" pivotButton="0" quotePrefix="0" xfId="0">
      <alignment vertical="center"/>
    </xf>
    <xf numFmtId="164" fontId="6" fillId="0" borderId="13" applyAlignment="1" pivotButton="0" quotePrefix="0" xfId="0">
      <alignment vertical="center"/>
    </xf>
    <xf numFmtId="0" fontId="2" fillId="0" borderId="13" applyAlignment="1" pivotButton="0" quotePrefix="0" xfId="0">
      <alignment vertical="center"/>
    </xf>
    <xf numFmtId="0" fontId="3" fillId="0" borderId="14" applyAlignment="1" pivotButton="0" quotePrefix="0" xfId="0">
      <alignment vertical="center"/>
    </xf>
    <xf numFmtId="166" fontId="3" fillId="0" borderId="14" applyAlignment="1" pivotButton="0" quotePrefix="0" xfId="0">
      <alignment vertical="center"/>
    </xf>
    <xf numFmtId="166" fontId="3" fillId="0" borderId="3" applyAlignment="1" pivotButton="0" quotePrefix="0" xfId="0">
      <alignment vertical="center"/>
    </xf>
    <xf numFmtId="0" fontId="10" fillId="0" borderId="9" applyAlignment="1" pivotButton="0" quotePrefix="0" xfId="0">
      <alignment vertical="center"/>
    </xf>
    <xf numFmtId="0" fontId="10" fillId="6" borderId="8" applyAlignment="1" pivotButton="0" quotePrefix="0" xfId="0">
      <alignment horizontal="centerContinuous"/>
    </xf>
    <xf numFmtId="0" fontId="10" fillId="7" borderId="8" applyAlignment="1" pivotButton="0" quotePrefix="0" xfId="0">
      <alignment horizontal="centerContinuous"/>
    </xf>
    <xf numFmtId="0" fontId="2" fillId="0" borderId="9" applyAlignment="1" pivotButton="0" quotePrefix="0" xfId="0">
      <alignment horizontal="left" vertical="center"/>
    </xf>
    <xf numFmtId="166" fontId="3" fillId="0" borderId="12" applyAlignment="1" pivotButton="0" quotePrefix="0" xfId="0">
      <alignment vertical="center"/>
    </xf>
    <xf numFmtId="168" fontId="5" fillId="5" borderId="1" applyAlignment="1" pivotButton="0" quotePrefix="0" xfId="0">
      <alignment horizontal="right" vertical="center"/>
    </xf>
    <xf numFmtId="165" fontId="12" fillId="0" borderId="9" applyAlignment="1" pivotButton="0" quotePrefix="0" xfId="0">
      <alignment vertical="center"/>
    </xf>
    <xf numFmtId="0" fontId="26" fillId="0" borderId="9" applyAlignment="1" pivotButton="0" quotePrefix="0" xfId="0">
      <alignment vertical="center"/>
    </xf>
    <xf numFmtId="0" fontId="5" fillId="0" borderId="15" applyAlignment="1" pivotButton="0" quotePrefix="0" xfId="0">
      <alignment vertical="center"/>
    </xf>
    <xf numFmtId="0" fontId="2" fillId="0" borderId="15" applyAlignment="1" pivotButton="0" quotePrefix="0" xfId="0">
      <alignment vertical="center"/>
    </xf>
    <xf numFmtId="0" fontId="0" fillId="0" borderId="15" pivotButton="0" quotePrefix="0" xfId="0"/>
    <xf numFmtId="0" fontId="2" fillId="0" borderId="16" applyAlignment="1" pivotButton="0" quotePrefix="0" xfId="0">
      <alignment vertical="center"/>
    </xf>
    <xf numFmtId="0" fontId="2" fillId="0" borderId="1" applyAlignment="1" pivotButton="0" quotePrefix="0" xfId="0">
      <alignment horizontal="left" indent="1"/>
    </xf>
    <xf numFmtId="166" fontId="8" fillId="0" borderId="16" applyAlignment="1" pivotButton="0" quotePrefix="0" xfId="0">
      <alignment vertical="center"/>
    </xf>
    <xf numFmtId="164" fontId="8" fillId="0" borderId="16" applyAlignment="1" pivotButton="0" quotePrefix="0" xfId="0">
      <alignment vertical="center"/>
    </xf>
    <xf numFmtId="0" fontId="3" fillId="0" borderId="17" applyAlignment="1" pivotButton="0" quotePrefix="0" xfId="0">
      <alignment horizontal="left"/>
    </xf>
    <xf numFmtId="0" fontId="14" fillId="0" borderId="1" applyAlignment="1" pivotButton="0" quotePrefix="0" xfId="0">
      <alignment horizontal="left" indent="1"/>
    </xf>
    <xf numFmtId="166" fontId="14" fillId="0" borderId="1" applyAlignment="1" pivotButton="0" quotePrefix="0" xfId="0">
      <alignment vertical="center"/>
    </xf>
    <xf numFmtId="0" fontId="7" fillId="0" borderId="1" applyAlignment="1" pivotButton="0" quotePrefix="0" xfId="0">
      <alignment horizontal="left" indent="1"/>
    </xf>
    <xf numFmtId="0" fontId="2" fillId="5" borderId="4" applyAlignment="1" pivotButton="0" quotePrefix="0" xfId="0">
      <alignment vertical="center"/>
    </xf>
    <xf numFmtId="168" fontId="2" fillId="5" borderId="15" applyAlignment="1" pivotButton="0" quotePrefix="0" xfId="0">
      <alignment vertical="center"/>
    </xf>
    <xf numFmtId="0" fontId="11" fillId="0" borderId="15" applyAlignment="1" pivotButton="0" quotePrefix="0" xfId="0">
      <alignment horizontal="left"/>
    </xf>
    <xf numFmtId="0" fontId="10" fillId="0" borderId="15" applyAlignment="1" pivotButton="0" quotePrefix="0" xfId="0">
      <alignment horizontal="centerContinuous"/>
    </xf>
    <xf numFmtId="0" fontId="2" fillId="0" borderId="1" applyAlignment="1" pivotButton="0" quotePrefix="0" xfId="0">
      <alignment horizontal="left" indent="2"/>
    </xf>
    <xf numFmtId="0" fontId="2" fillId="0" borderId="16" pivotButton="0" quotePrefix="0" xfId="0"/>
    <xf numFmtId="166" fontId="3" fillId="0" borderId="16" pivotButton="0" quotePrefix="0" xfId="0"/>
    <xf numFmtId="164" fontId="2" fillId="0" borderId="16" pivotButton="0" quotePrefix="0" xfId="0"/>
    <xf numFmtId="166" fontId="15" fillId="0" borderId="1" pivotButton="0" quotePrefix="0" xfId="0"/>
    <xf numFmtId="166" fontId="15" fillId="0" borderId="16" pivotButton="0" quotePrefix="0" xfId="0"/>
    <xf numFmtId="166" fontId="7" fillId="0" borderId="16" pivotButton="0" quotePrefix="0" xfId="0"/>
    <xf numFmtId="166" fontId="2" fillId="0" borderId="16" pivotButton="0" quotePrefix="0" xfId="0"/>
    <xf numFmtId="0" fontId="2" fillId="0" borderId="15" pivotButton="0" quotePrefix="0" xfId="0"/>
    <xf numFmtId="0" fontId="10" fillId="0" borderId="15" pivotButton="0" quotePrefix="0" xfId="0"/>
    <xf numFmtId="0" fontId="9" fillId="0" borderId="15" pivotButton="0" quotePrefix="0" xfId="0"/>
    <xf numFmtId="0" fontId="9" fillId="0" borderId="15" applyAlignment="1" pivotButton="0" quotePrefix="0" xfId="0">
      <alignment horizontal="center"/>
    </xf>
    <xf numFmtId="176" fontId="9" fillId="0" borderId="15" applyAlignment="1" pivotButton="0" quotePrefix="0" xfId="0">
      <alignment horizontal="center"/>
    </xf>
    <xf numFmtId="0" fontId="3" fillId="0" borderId="17" applyAlignment="1" pivotButton="0" quotePrefix="0" xfId="0">
      <alignment horizontal="left" indent="1"/>
    </xf>
    <xf numFmtId="166" fontId="3" fillId="0" borderId="17" pivotButton="0" quotePrefix="0" xfId="0"/>
    <xf numFmtId="0" fontId="2" fillId="5" borderId="15" applyAlignment="1" pivotButton="0" quotePrefix="0" xfId="0">
      <alignment vertical="center"/>
    </xf>
    <xf numFmtId="166" fontId="5" fillId="5" borderId="9" applyAlignment="1" pivotButton="0" quotePrefix="0" xfId="0">
      <alignment vertical="center"/>
    </xf>
    <xf numFmtId="164" fontId="5" fillId="5" borderId="9" applyAlignment="1" pivotButton="0" quotePrefix="0" xfId="0">
      <alignment vertical="center"/>
    </xf>
    <xf numFmtId="166" fontId="27" fillId="5" borderId="9" applyAlignment="1" pivotButton="0" quotePrefix="0" xfId="0">
      <alignment vertical="center"/>
    </xf>
    <xf numFmtId="0" fontId="2" fillId="5" borderId="5" applyAlignment="1" pivotButton="0" quotePrefix="0" xfId="0">
      <alignment vertical="center"/>
    </xf>
    <xf numFmtId="166" fontId="5" fillId="5" borderId="5" applyAlignment="1" pivotButton="0" quotePrefix="0" xfId="0">
      <alignment vertical="center"/>
    </xf>
    <xf numFmtId="169" fontId="5" fillId="5" borderId="9" applyAlignment="1" pivotButton="0" quotePrefix="0" xfId="0">
      <alignment vertical="center"/>
    </xf>
    <xf numFmtId="169" fontId="5" fillId="5" borderId="5" applyAlignment="1" pivotButton="0" quotePrefix="0" xfId="0">
      <alignment vertical="center"/>
    </xf>
    <xf numFmtId="0" fontId="5" fillId="0" borderId="15" pivotButton="0" quotePrefix="0" xfId="0"/>
    <xf numFmtId="0" fontId="5" fillId="0" borderId="1" applyAlignment="1" pivotButton="0" quotePrefix="0" xfId="0">
      <alignment horizontal="left" indent="1"/>
    </xf>
    <xf numFmtId="0" fontId="3" fillId="5" borderId="15" applyAlignment="1" pivotButton="0" quotePrefix="0" xfId="0">
      <alignment horizontal="center"/>
    </xf>
    <xf numFmtId="0" fontId="5" fillId="0" borderId="15" applyAlignment="1" pivotButton="0" quotePrefix="0" xfId="0">
      <alignment horizontal="centerContinuous" vertical="center"/>
    </xf>
    <xf numFmtId="0" fontId="2" fillId="0" borderId="15" applyAlignment="1" pivotButton="0" quotePrefix="0" xfId="0">
      <alignment horizontal="centerContinuous" vertical="center"/>
    </xf>
    <xf numFmtId="0" fontId="5" fillId="0" borderId="16" applyAlignment="1" pivotButton="0" quotePrefix="0" xfId="0">
      <alignment horizontal="centerContinuous" vertical="center"/>
    </xf>
    <xf numFmtId="0" fontId="2" fillId="0" borderId="19" applyAlignment="1" pivotButton="0" quotePrefix="0" xfId="0">
      <alignment vertical="center"/>
    </xf>
    <xf numFmtId="0" fontId="10" fillId="7" borderId="20" applyAlignment="1" pivotButton="0" quotePrefix="0" xfId="0">
      <alignment horizontal="centerContinuous"/>
    </xf>
    <xf numFmtId="0" fontId="3" fillId="5" borderId="21" applyAlignment="1" pivotButton="0" quotePrefix="0" xfId="0">
      <alignment horizontal="center"/>
    </xf>
    <xf numFmtId="166" fontId="8" fillId="0" borderId="19" applyAlignment="1" pivotButton="0" quotePrefix="0" xfId="0">
      <alignment vertical="center"/>
    </xf>
    <xf numFmtId="164" fontId="8" fillId="0" borderId="19" applyAlignment="1" pivotButton="0" quotePrefix="0" xfId="0">
      <alignment vertical="center"/>
    </xf>
    <xf numFmtId="166" fontId="14" fillId="0" borderId="19" applyAlignment="1" pivotButton="0" quotePrefix="0" xfId="0">
      <alignment vertical="center"/>
    </xf>
    <xf numFmtId="166" fontId="7" fillId="0" borderId="19" applyAlignment="1" pivotButton="0" quotePrefix="0" xfId="0">
      <alignment vertical="center"/>
    </xf>
    <xf numFmtId="0" fontId="2" fillId="5" borderId="23" applyAlignment="1" pivotButton="0" quotePrefix="0" xfId="0">
      <alignment vertical="center"/>
    </xf>
    <xf numFmtId="168" fontId="5" fillId="5" borderId="19" applyAlignment="1" pivotButton="0" quotePrefix="0" xfId="0">
      <alignment vertical="center"/>
    </xf>
    <xf numFmtId="168" fontId="5" fillId="5" borderId="18" applyAlignment="1" pivotButton="0" quotePrefix="0" xfId="0">
      <alignment vertical="center"/>
    </xf>
    <xf numFmtId="0" fontId="2" fillId="0" borderId="24" applyAlignment="1" pivotButton="0" quotePrefix="0" xfId="0">
      <alignment vertical="center"/>
    </xf>
    <xf numFmtId="0" fontId="10" fillId="7" borderId="25" applyAlignment="1" pivotButton="0" quotePrefix="0" xfId="0">
      <alignment horizontal="centerContinuous"/>
    </xf>
    <xf numFmtId="0" fontId="3" fillId="5" borderId="26" applyAlignment="1" pivotButton="0" quotePrefix="0" xfId="0">
      <alignment horizontal="center"/>
    </xf>
    <xf numFmtId="166" fontId="8" fillId="0" borderId="24" applyAlignment="1" pivotButton="0" quotePrefix="0" xfId="0">
      <alignment vertical="center"/>
    </xf>
    <xf numFmtId="164" fontId="8" fillId="0" borderId="24" applyAlignment="1" pivotButton="0" quotePrefix="0" xfId="0">
      <alignment vertical="center"/>
    </xf>
    <xf numFmtId="166" fontId="14" fillId="0" borderId="24" applyAlignment="1" pivotButton="0" quotePrefix="0" xfId="0">
      <alignment vertical="center"/>
    </xf>
    <xf numFmtId="166" fontId="7" fillId="0" borderId="24" applyAlignment="1" pivotButton="0" quotePrefix="0" xfId="0">
      <alignment vertical="center"/>
    </xf>
    <xf numFmtId="0" fontId="2" fillId="5" borderId="28" applyAlignment="1" pivotButton="0" quotePrefix="0" xfId="0">
      <alignment vertical="center"/>
    </xf>
    <xf numFmtId="168" fontId="5" fillId="5" borderId="24" applyAlignment="1" pivotButton="0" quotePrefix="0" xfId="0">
      <alignment vertical="center"/>
    </xf>
    <xf numFmtId="168" fontId="5" fillId="5" borderId="29" applyAlignment="1" pivotButton="0" quotePrefix="0" xfId="0">
      <alignment vertical="center"/>
    </xf>
    <xf numFmtId="0" fontId="0" fillId="0" borderId="16" pivotButton="0" quotePrefix="0" xfId="0"/>
    <xf numFmtId="0" fontId="11" fillId="3" borderId="8" applyAlignment="1" pivotButton="0" quotePrefix="0" xfId="0">
      <alignment horizontal="centerContinuous"/>
    </xf>
    <xf numFmtId="0" fontId="2" fillId="0" borderId="13" applyAlignment="1" pivotButton="0" quotePrefix="0" xfId="0">
      <alignment horizontal="centerContinuous" vertical="center"/>
    </xf>
    <xf numFmtId="0" fontId="3" fillId="0" borderId="8" applyAlignment="1" pivotButton="0" quotePrefix="0" xfId="0">
      <alignment horizontal="left"/>
    </xf>
    <xf numFmtId="166" fontId="3" fillId="0" borderId="20" applyAlignment="1" pivotButton="0" quotePrefix="0" xfId="0">
      <alignment vertical="center"/>
    </xf>
    <xf numFmtId="166" fontId="3" fillId="0" borderId="25" applyAlignment="1" pivotButton="0" quotePrefix="0" xfId="0">
      <alignment vertical="center"/>
    </xf>
    <xf numFmtId="0" fontId="2" fillId="0" borderId="16" applyAlignment="1" pivotButton="0" quotePrefix="0" xfId="0">
      <alignment horizontal="left" indent="1"/>
    </xf>
    <xf numFmtId="0" fontId="3" fillId="0" borderId="16" applyAlignment="1" pivotButton="0" quotePrefix="0" xfId="0">
      <alignment horizontal="left"/>
    </xf>
    <xf numFmtId="166" fontId="3" fillId="0" borderId="16" applyAlignment="1" pivotButton="0" quotePrefix="0" xfId="0">
      <alignment vertical="center"/>
    </xf>
    <xf numFmtId="166" fontId="3" fillId="0" borderId="19" applyAlignment="1" pivotButton="0" quotePrefix="0" xfId="0">
      <alignment vertical="center"/>
    </xf>
    <xf numFmtId="166" fontId="3" fillId="0" borderId="24" applyAlignment="1" pivotButton="0" quotePrefix="0" xfId="0">
      <alignment vertical="center"/>
    </xf>
    <xf numFmtId="0" fontId="2" fillId="0" borderId="13" applyAlignment="1" pivotButton="0" quotePrefix="0" xfId="0">
      <alignment horizontal="left" indent="1"/>
    </xf>
    <xf numFmtId="164" fontId="8" fillId="0" borderId="13" applyAlignment="1" pivotButton="0" quotePrefix="0" xfId="0">
      <alignment vertical="center"/>
    </xf>
    <xf numFmtId="0" fontId="3" fillId="0" borderId="7" applyAlignment="1" pivotButton="0" quotePrefix="0" xfId="0">
      <alignment horizontal="left"/>
    </xf>
    <xf numFmtId="166" fontId="8" fillId="0" borderId="13" applyAlignment="1" pivotButton="0" quotePrefix="0" xfId="0">
      <alignment vertical="center"/>
    </xf>
    <xf numFmtId="0" fontId="3" fillId="0" borderId="14" applyAlignment="1" pivotButton="0" quotePrefix="0" xfId="0">
      <alignment horizontal="left"/>
    </xf>
    <xf numFmtId="164" fontId="8" fillId="0" borderId="32" applyAlignment="1" pivotButton="0" quotePrefix="0" xfId="0">
      <alignment vertical="center"/>
    </xf>
    <xf numFmtId="164" fontId="8" fillId="0" borderId="34" applyAlignment="1" pivotButton="0" quotePrefix="0" xfId="0">
      <alignment vertical="center"/>
    </xf>
    <xf numFmtId="166" fontId="8" fillId="0" borderId="32" applyAlignment="1" pivotButton="0" quotePrefix="0" xfId="0">
      <alignment vertical="center"/>
    </xf>
    <xf numFmtId="0" fontId="2" fillId="0" borderId="18" applyAlignment="1" pivotButton="0" quotePrefix="0" xfId="0">
      <alignment vertical="center"/>
    </xf>
    <xf numFmtId="0" fontId="2" fillId="0" borderId="29" applyAlignment="1" pivotButton="0" quotePrefix="0" xfId="0">
      <alignment vertical="center"/>
    </xf>
    <xf numFmtId="166" fontId="8" fillId="0" borderId="34" applyAlignment="1" pivotButton="0" quotePrefix="0" xfId="0">
      <alignment vertical="center"/>
    </xf>
    <xf numFmtId="0" fontId="3" fillId="0" borderId="36" applyAlignment="1" pivotButton="0" quotePrefix="0" xfId="0">
      <alignment horizontal="left"/>
    </xf>
    <xf numFmtId="166" fontId="3" fillId="0" borderId="36" applyAlignment="1" pivotButton="0" quotePrefix="0" xfId="0">
      <alignment vertical="center"/>
    </xf>
    <xf numFmtId="166" fontId="3" fillId="0" borderId="37" applyAlignment="1" pivotButton="0" quotePrefix="0" xfId="0">
      <alignment vertical="center"/>
    </xf>
    <xf numFmtId="166" fontId="3" fillId="0" borderId="38" applyAlignment="1" pivotButton="0" quotePrefix="0" xfId="0">
      <alignment vertical="center"/>
    </xf>
    <xf numFmtId="0" fontId="3" fillId="0" borderId="11" applyAlignment="1" pivotButton="0" quotePrefix="0" xfId="0">
      <alignment horizontal="left"/>
    </xf>
    <xf numFmtId="166" fontId="3" fillId="0" borderId="39" applyAlignment="1" pivotButton="0" quotePrefix="0" xfId="0">
      <alignment vertical="center"/>
    </xf>
    <xf numFmtId="166" fontId="3" fillId="0" borderId="40" applyAlignment="1" pivotButton="0" quotePrefix="0" xfId="0">
      <alignment vertical="center"/>
    </xf>
    <xf numFmtId="165" fontId="29" fillId="0" borderId="9" applyAlignment="1" pivotButton="0" quotePrefix="0" xfId="0">
      <alignment vertical="center"/>
    </xf>
    <xf numFmtId="0" fontId="30" fillId="0" borderId="1" applyAlignment="1" pivotButton="0" quotePrefix="0" xfId="0">
      <alignment vertical="center"/>
    </xf>
    <xf numFmtId="0" fontId="31" fillId="0" borderId="7" applyAlignment="1" pivotButton="0" quotePrefix="0" xfId="0">
      <alignment vertical="center"/>
    </xf>
    <xf numFmtId="0" fontId="30" fillId="0" borderId="7" applyAlignment="1" pivotButton="0" quotePrefix="0" xfId="0">
      <alignment vertical="center"/>
    </xf>
    <xf numFmtId="0" fontId="31" fillId="0" borderId="7" applyAlignment="1" pivotButton="0" quotePrefix="0" xfId="0">
      <alignment horizontal="right" vertical="center"/>
    </xf>
    <xf numFmtId="0" fontId="32" fillId="0" borderId="15" applyAlignment="1" pivotButton="0" quotePrefix="0" xfId="0">
      <alignment vertical="center"/>
    </xf>
    <xf numFmtId="0" fontId="30" fillId="0" borderId="6" applyAlignment="1" pivotButton="0" quotePrefix="0" xfId="0">
      <alignment vertical="center"/>
    </xf>
    <xf numFmtId="0" fontId="33" fillId="0" borderId="6" applyAlignment="1" pivotButton="0" quotePrefix="0" xfId="0">
      <alignment horizontal="right" vertical="center"/>
    </xf>
    <xf numFmtId="0" fontId="30" fillId="0" borderId="15" applyAlignment="1" pivotButton="0" quotePrefix="0" xfId="0">
      <alignment vertical="center"/>
    </xf>
    <xf numFmtId="0" fontId="34" fillId="0" borderId="15" applyAlignment="1" pivotButton="0" quotePrefix="0" xfId="0">
      <alignment horizontal="left"/>
    </xf>
    <xf numFmtId="0" fontId="35" fillId="0" borderId="15" applyAlignment="1" pivotButton="0" quotePrefix="0" xfId="0">
      <alignment vertical="center"/>
    </xf>
    <xf numFmtId="0" fontId="35" fillId="0" borderId="15" applyAlignment="1" pivotButton="0" quotePrefix="0" xfId="0">
      <alignment horizontal="centerContinuous"/>
    </xf>
    <xf numFmtId="0" fontId="36" fillId="0" borderId="15" applyAlignment="1" pivotButton="0" quotePrefix="0" xfId="0">
      <alignment vertical="center"/>
    </xf>
    <xf numFmtId="0" fontId="36" fillId="0" borderId="15" applyAlignment="1" pivotButton="0" quotePrefix="0" xfId="0">
      <alignment horizontal="center" vertical="center"/>
    </xf>
    <xf numFmtId="17" fontId="36" fillId="0" borderId="15" applyAlignment="1" pivotButton="0" quotePrefix="0" xfId="0">
      <alignment horizontal="center" vertical="center"/>
    </xf>
    <xf numFmtId="0" fontId="30" fillId="0" borderId="9" applyAlignment="1" pivotButton="0" quotePrefix="0" xfId="0">
      <alignment vertical="center"/>
    </xf>
    <xf numFmtId="0" fontId="34" fillId="3" borderId="8" applyAlignment="1" pivotButton="0" quotePrefix="0" xfId="0">
      <alignment horizontal="left"/>
    </xf>
    <xf numFmtId="0" fontId="35" fillId="3" borderId="8" applyAlignment="1" pivotButton="0" quotePrefix="0" xfId="0">
      <alignment horizontal="centerContinuous"/>
    </xf>
    <xf numFmtId="0" fontId="35" fillId="0" borderId="9" applyAlignment="1" pivotButton="0" quotePrefix="0" xfId="0">
      <alignment vertical="center"/>
    </xf>
    <xf numFmtId="0" fontId="35" fillId="6" borderId="8" applyAlignment="1" pivotButton="0" quotePrefix="0" xfId="0">
      <alignment horizontal="centerContinuous"/>
    </xf>
    <xf numFmtId="0" fontId="35" fillId="7" borderId="8" applyAlignment="1" pivotButton="0" quotePrefix="0" xfId="0">
      <alignment horizontal="centerContinuous"/>
    </xf>
    <xf numFmtId="0" fontId="31" fillId="5" borderId="7" applyAlignment="1" pivotButton="0" quotePrefix="0" xfId="0">
      <alignment vertical="center"/>
    </xf>
    <xf numFmtId="0" fontId="31" fillId="5" borderId="7" applyAlignment="1" pivotButton="0" quotePrefix="0" xfId="0">
      <alignment horizontal="center"/>
    </xf>
    <xf numFmtId="0" fontId="31" fillId="0" borderId="9" applyAlignment="1" pivotButton="0" quotePrefix="0" xfId="0">
      <alignment vertical="center"/>
    </xf>
    <xf numFmtId="0" fontId="30" fillId="0" borderId="1" applyAlignment="1" pivotButton="0" quotePrefix="0" xfId="0">
      <alignment horizontal="left" indent="2"/>
    </xf>
    <xf numFmtId="166" fontId="37" fillId="0" borderId="1" pivotButton="0" quotePrefix="0" xfId="0"/>
    <xf numFmtId="166" fontId="30" fillId="0" borderId="1" pivotButton="0" quotePrefix="0" xfId="0"/>
    <xf numFmtId="166" fontId="38" fillId="0" borderId="1" pivotButton="0" quotePrefix="0" xfId="0"/>
    <xf numFmtId="164" fontId="38" fillId="0" borderId="1" pivotButton="0" quotePrefix="0" xfId="0"/>
    <xf numFmtId="164" fontId="30" fillId="0" borderId="1" pivotButton="0" quotePrefix="0" xfId="0"/>
    <xf numFmtId="164" fontId="37" fillId="0" borderId="1" pivotButton="0" quotePrefix="0" xfId="0"/>
    <xf numFmtId="0" fontId="31" fillId="0" borderId="17" applyAlignment="1" pivotButton="0" quotePrefix="0" xfId="0">
      <alignment horizontal="left"/>
    </xf>
    <xf numFmtId="0" fontId="39" fillId="0" borderId="1" applyAlignment="1" pivotButton="0" quotePrefix="0" xfId="0">
      <alignment horizontal="left" indent="1"/>
    </xf>
    <xf numFmtId="166" fontId="38" fillId="2" borderId="1" pivotButton="0" quotePrefix="0" xfId="0"/>
    <xf numFmtId="164" fontId="39" fillId="0" borderId="1" pivotButton="0" quotePrefix="0" xfId="0"/>
    <xf numFmtId="0" fontId="30" fillId="0" borderId="1" pivotButton="0" quotePrefix="0" xfId="0"/>
    <xf numFmtId="0" fontId="31" fillId="5" borderId="4" applyAlignment="1" pivotButton="0" quotePrefix="0" xfId="0">
      <alignment vertical="center"/>
    </xf>
    <xf numFmtId="0" fontId="30" fillId="5" borderId="4" applyAlignment="1" pivotButton="0" quotePrefix="0" xfId="0">
      <alignment vertical="center"/>
    </xf>
    <xf numFmtId="0" fontId="30" fillId="0" borderId="1" applyAlignment="1" pivotButton="0" quotePrefix="0" xfId="0">
      <alignment horizontal="left" indent="1"/>
    </xf>
    <xf numFmtId="167" fontId="39" fillId="0" borderId="1" pivotButton="0" quotePrefix="0" xfId="0"/>
    <xf numFmtId="0" fontId="40" fillId="0" borderId="9" applyAlignment="1" pivotButton="0" quotePrefix="0" xfId="0">
      <alignment vertical="center"/>
    </xf>
    <xf numFmtId="0" fontId="41" fillId="0" borderId="0" pivotButton="0" quotePrefix="0" xfId="0"/>
    <xf numFmtId="0" fontId="41" fillId="0" borderId="15" pivotButton="0" quotePrefix="0" xfId="0"/>
    <xf numFmtId="0" fontId="31" fillId="0" borderId="42" applyAlignment="1" pivotButton="0" quotePrefix="0" xfId="0">
      <alignment horizontal="left"/>
    </xf>
    <xf numFmtId="0" fontId="30" fillId="0" borderId="42" pivotButton="0" quotePrefix="0" xfId="0"/>
    <xf numFmtId="166" fontId="31" fillId="0" borderId="42" applyAlignment="1" pivotButton="0" quotePrefix="0" xfId="0">
      <alignment horizontal="right"/>
    </xf>
    <xf numFmtId="166" fontId="31" fillId="0" borderId="11" applyAlignment="1" pivotButton="0" quotePrefix="0" xfId="0">
      <alignment horizontal="right"/>
    </xf>
    <xf numFmtId="166" fontId="31" fillId="0" borderId="14" applyAlignment="1" pivotButton="0" quotePrefix="0" xfId="0">
      <alignment horizontal="right"/>
    </xf>
    <xf numFmtId="0" fontId="32" fillId="5" borderId="41" applyAlignment="1" pivotButton="0" quotePrefix="0" xfId="0">
      <alignment vertical="center"/>
    </xf>
    <xf numFmtId="166" fontId="32" fillId="5" borderId="41" applyAlignment="1" pivotButton="0" quotePrefix="0" xfId="0">
      <alignment vertical="center"/>
    </xf>
    <xf numFmtId="166" fontId="32" fillId="0" borderId="16" applyAlignment="1" pivotButton="0" quotePrefix="0" xfId="0">
      <alignment vertical="center"/>
    </xf>
    <xf numFmtId="0" fontId="31" fillId="0" borderId="11" applyAlignment="1" pivotButton="0" quotePrefix="0" xfId="0">
      <alignment horizontal="left"/>
    </xf>
    <xf numFmtId="0" fontId="30" fillId="0" borderId="11" pivotButton="0" quotePrefix="0" xfId="0"/>
    <xf numFmtId="0" fontId="31" fillId="0" borderId="43" applyAlignment="1" pivotButton="0" quotePrefix="0" xfId="0">
      <alignment horizontal="left"/>
    </xf>
    <xf numFmtId="0" fontId="30" fillId="0" borderId="43" pivotButton="0" quotePrefix="0" xfId="0"/>
    <xf numFmtId="166" fontId="31" fillId="0" borderId="43" applyAlignment="1" pivotButton="0" quotePrefix="0" xfId="0">
      <alignment horizontal="right"/>
    </xf>
    <xf numFmtId="166" fontId="31" fillId="0" borderId="44" applyAlignment="1" pivotButton="0" quotePrefix="0" xfId="0">
      <alignment horizontal="right"/>
    </xf>
    <xf numFmtId="166" fontId="38" fillId="2" borderId="16" pivotButton="0" quotePrefix="0" xfId="0"/>
    <xf numFmtId="167" fontId="39" fillId="0" borderId="16" pivotButton="0" quotePrefix="0" xfId="0"/>
    <xf numFmtId="166" fontId="38" fillId="0" borderId="13" pivotButton="0" quotePrefix="0" xfId="0"/>
    <xf numFmtId="166" fontId="30" fillId="0" borderId="16" pivotButton="0" quotePrefix="0" xfId="0"/>
    <xf numFmtId="167" fontId="30" fillId="0" borderId="16" pivotButton="0" quotePrefix="0" xfId="0"/>
    <xf numFmtId="166" fontId="30" fillId="0" borderId="13" pivotButton="0" quotePrefix="0" xfId="0"/>
    <xf numFmtId="166" fontId="31" fillId="0" borderId="46" applyAlignment="1" pivotButton="0" quotePrefix="0" xfId="0">
      <alignment horizontal="right"/>
    </xf>
    <xf numFmtId="0" fontId="3" fillId="0" borderId="42" applyAlignment="1" pivotButton="0" quotePrefix="0" xfId="0">
      <alignment horizontal="left"/>
    </xf>
    <xf numFmtId="166" fontId="3" fillId="0" borderId="42" applyAlignment="1" pivotButton="0" quotePrefix="0" xfId="0">
      <alignment horizontal="right"/>
    </xf>
    <xf numFmtId="166" fontId="3" fillId="0" borderId="8" applyAlignment="1" pivotButton="0" quotePrefix="0" xfId="0">
      <alignment horizontal="right"/>
    </xf>
    <xf numFmtId="166" fontId="3" fillId="0" borderId="7" applyAlignment="1" pivotButton="0" quotePrefix="0" xfId="0">
      <alignment horizontal="right"/>
    </xf>
    <xf numFmtId="166" fontId="2" fillId="0" borderId="13" pivotButton="0" quotePrefix="0" xfId="0"/>
    <xf numFmtId="0" fontId="4" fillId="0" borderId="16" applyAlignment="1" pivotButton="0" quotePrefix="0" xfId="0">
      <alignment horizontal="right" vertical="center"/>
    </xf>
    <xf numFmtId="0" fontId="10" fillId="6" borderId="25" applyAlignment="1" pivotButton="0" quotePrefix="0" xfId="0">
      <alignment horizontal="centerContinuous"/>
    </xf>
    <xf numFmtId="0" fontId="0" fillId="0" borderId="24" pivotButton="0" quotePrefix="0" xfId="0"/>
    <xf numFmtId="166" fontId="3" fillId="0" borderId="24" pivotButton="0" quotePrefix="0" xfId="0"/>
    <xf numFmtId="164" fontId="2" fillId="0" borderId="24" pivotButton="0" quotePrefix="0" xfId="0"/>
    <xf numFmtId="166" fontId="3" fillId="0" borderId="47" applyAlignment="1" pivotButton="0" quotePrefix="0" xfId="0">
      <alignment horizontal="right"/>
    </xf>
    <xf numFmtId="166" fontId="15" fillId="0" borderId="24" pivotButton="0" quotePrefix="0" xfId="0"/>
    <xf numFmtId="166" fontId="7" fillId="0" borderId="24" pivotButton="0" quotePrefix="0" xfId="0"/>
    <xf numFmtId="166" fontId="2" fillId="0" borderId="24" pivotButton="0" quotePrefix="0" xfId="0"/>
    <xf numFmtId="166" fontId="3" fillId="0" borderId="25" applyAlignment="1" pivotButton="0" quotePrefix="0" xfId="0">
      <alignment horizontal="right"/>
    </xf>
    <xf numFmtId="166" fontId="2" fillId="0" borderId="32" pivotButton="0" quotePrefix="0" xfId="0"/>
    <xf numFmtId="166" fontId="3" fillId="0" borderId="26" applyAlignment="1" pivotButton="0" quotePrefix="0" xfId="0">
      <alignment horizontal="right"/>
    </xf>
    <xf numFmtId="166" fontId="32" fillId="5" borderId="48" applyAlignment="1" pivotButton="0" quotePrefix="0" xfId="0">
      <alignment vertical="center"/>
    </xf>
    <xf numFmtId="0" fontId="2" fillId="0" borderId="19" pivotButton="0" quotePrefix="0" xfId="0"/>
    <xf numFmtId="164" fontId="2" fillId="0" borderId="19" pivotButton="0" quotePrefix="0" xfId="0"/>
    <xf numFmtId="166" fontId="2" fillId="0" borderId="19" pivotButton="0" quotePrefix="0" xfId="0"/>
    <xf numFmtId="0" fontId="10" fillId="7" borderId="49" applyAlignment="1" pivotButton="0" quotePrefix="0" xfId="0">
      <alignment horizontal="centerContinuous"/>
    </xf>
    <xf numFmtId="0" fontId="2" fillId="0" borderId="35" applyAlignment="1" pivotButton="0" quotePrefix="0" xfId="0">
      <alignment vertical="center"/>
    </xf>
    <xf numFmtId="0" fontId="3" fillId="5" borderId="50" applyAlignment="1" pivotButton="0" quotePrefix="0" xfId="0">
      <alignment horizontal="center"/>
    </xf>
    <xf numFmtId="0" fontId="2" fillId="0" borderId="35" pivotButton="0" quotePrefix="0" xfId="0"/>
    <xf numFmtId="166" fontId="3" fillId="0" borderId="35" pivotButton="0" quotePrefix="0" xfId="0"/>
    <xf numFmtId="164" fontId="2" fillId="0" borderId="35" pivotButton="0" quotePrefix="0" xfId="0"/>
    <xf numFmtId="166" fontId="3" fillId="0" borderId="51" applyAlignment="1" pivotButton="0" quotePrefix="0" xfId="0">
      <alignment horizontal="right"/>
    </xf>
    <xf numFmtId="166" fontId="15" fillId="0" borderId="35" pivotButton="0" quotePrefix="0" xfId="0"/>
    <xf numFmtId="166" fontId="7" fillId="0" borderId="35" pivotButton="0" quotePrefix="0" xfId="0"/>
    <xf numFmtId="166" fontId="2" fillId="0" borderId="35" pivotButton="0" quotePrefix="0" xfId="0"/>
    <xf numFmtId="166" fontId="3" fillId="0" borderId="49" applyAlignment="1" pivotButton="0" quotePrefix="0" xfId="0">
      <alignment horizontal="right"/>
    </xf>
    <xf numFmtId="166" fontId="2" fillId="0" borderId="33" pivotButton="0" quotePrefix="0" xfId="0"/>
    <xf numFmtId="166" fontId="3" fillId="0" borderId="50" applyAlignment="1" pivotButton="0" quotePrefix="0" xfId="0">
      <alignment horizontal="right"/>
    </xf>
    <xf numFmtId="166" fontId="32" fillId="5" borderId="52" applyAlignment="1" pivotButton="0" quotePrefix="0" xfId="0">
      <alignment vertical="center"/>
    </xf>
    <xf numFmtId="9" fontId="0" fillId="0" borderId="0" pivotButton="0" quotePrefix="0" xfId="2"/>
    <xf numFmtId="9" fontId="13" fillId="0" borderId="0" pivotButton="0" quotePrefix="0" xfId="2"/>
    <xf numFmtId="166" fontId="2" fillId="5" borderId="15" applyAlignment="1" pivotButton="0" quotePrefix="0" xfId="0">
      <alignment vertical="center"/>
    </xf>
    <xf numFmtId="166" fontId="2" fillId="5" borderId="5" applyAlignment="1" pivotButton="0" quotePrefix="0" xfId="0">
      <alignment vertical="center"/>
    </xf>
    <xf numFmtId="0" fontId="2" fillId="0" borderId="16" applyAlignment="1" pivotButton="0" quotePrefix="0" xfId="0">
      <alignment horizontal="left" indent="2"/>
    </xf>
    <xf numFmtId="166" fontId="6" fillId="0" borderId="16" pivotButton="0" quotePrefix="0" xfId="0"/>
    <xf numFmtId="168" fontId="2" fillId="0" borderId="16" pivotButton="0" quotePrefix="0" xfId="0"/>
    <xf numFmtId="0" fontId="3" fillId="0" borderId="11" applyAlignment="1" pivotButton="0" quotePrefix="0" xfId="0">
      <alignment horizontal="left" indent="1"/>
    </xf>
    <xf numFmtId="0" fontId="2" fillId="0" borderId="11" pivotButton="0" quotePrefix="0" xfId="0"/>
    <xf numFmtId="166" fontId="3" fillId="0" borderId="11" pivotButton="0" quotePrefix="0" xfId="0"/>
    <xf numFmtId="168" fontId="3" fillId="0" borderId="11" pivotButton="0" quotePrefix="0" xfId="0"/>
    <xf numFmtId="0" fontId="3" fillId="0" borderId="42" applyAlignment="1" pivotButton="0" quotePrefix="0" xfId="0">
      <alignment horizontal="left" indent="1"/>
    </xf>
    <xf numFmtId="0" fontId="2" fillId="0" borderId="42" pivotButton="0" quotePrefix="0" xfId="0"/>
    <xf numFmtId="166" fontId="3" fillId="0" borderId="42" pivotButton="0" quotePrefix="0" xfId="0"/>
    <xf numFmtId="166" fontId="3" fillId="0" borderId="14" pivotButton="0" quotePrefix="0" xfId="0"/>
    <xf numFmtId="168" fontId="3" fillId="0" borderId="14" pivotButton="0" quotePrefix="0" xfId="0"/>
    <xf numFmtId="0" fontId="3" fillId="0" borderId="43" applyAlignment="1" pivotButton="0" quotePrefix="0" xfId="0">
      <alignment horizontal="left"/>
    </xf>
    <xf numFmtId="0" fontId="2" fillId="0" borderId="43" pivotButton="0" quotePrefix="0" xfId="0"/>
    <xf numFmtId="166" fontId="3" fillId="0" borderId="43" pivotButton="0" quotePrefix="0" xfId="0"/>
    <xf numFmtId="166" fontId="3" fillId="0" borderId="44" pivotButton="0" quotePrefix="0" xfId="0"/>
    <xf numFmtId="168" fontId="3" fillId="0" borderId="44" pivotButton="0" quotePrefix="0" xfId="0"/>
    <xf numFmtId="166" fontId="3" fillId="0" borderId="45" pivotButton="0" quotePrefix="0" xfId="0"/>
    <xf numFmtId="168" fontId="3" fillId="0" borderId="45" pivotButton="0" quotePrefix="0" xfId="0"/>
    <xf numFmtId="0" fontId="2" fillId="0" borderId="24" pivotButton="0" quotePrefix="0" xfId="0"/>
    <xf numFmtId="166" fontId="3" fillId="0" borderId="27" pivotButton="0" quotePrefix="0" xfId="0"/>
    <xf numFmtId="164" fontId="7" fillId="0" borderId="24" pivotButton="0" quotePrefix="0" xfId="0"/>
    <xf numFmtId="166" fontId="27" fillId="5" borderId="24" applyAlignment="1" pivotButton="0" quotePrefix="0" xfId="0">
      <alignment vertical="center"/>
    </xf>
    <xf numFmtId="169" fontId="5" fillId="5" borderId="24" applyAlignment="1" pivotButton="0" quotePrefix="0" xfId="0">
      <alignment vertical="center"/>
    </xf>
    <xf numFmtId="169" fontId="5" fillId="5" borderId="29" applyAlignment="1" pivotButton="0" quotePrefix="0" xfId="0">
      <alignment vertical="center"/>
    </xf>
    <xf numFmtId="0" fontId="10" fillId="6" borderId="20" applyAlignment="1" pivotButton="0" quotePrefix="0" xfId="0">
      <alignment horizontal="centerContinuous"/>
    </xf>
    <xf numFmtId="166" fontId="3" fillId="0" borderId="22" pivotButton="0" quotePrefix="0" xfId="0"/>
    <xf numFmtId="164" fontId="7" fillId="0" borderId="19" pivotButton="0" quotePrefix="0" xfId="0"/>
    <xf numFmtId="166" fontId="27" fillId="5" borderId="19" applyAlignment="1" pivotButton="0" quotePrefix="0" xfId="0">
      <alignment vertical="center"/>
    </xf>
    <xf numFmtId="169" fontId="5" fillId="5" borderId="19" applyAlignment="1" pivotButton="0" quotePrefix="0" xfId="0">
      <alignment vertical="center"/>
    </xf>
    <xf numFmtId="169" fontId="5" fillId="5" borderId="18" applyAlignment="1" pivotButton="0" quotePrefix="0" xfId="0">
      <alignment vertical="center"/>
    </xf>
    <xf numFmtId="166" fontId="3" fillId="0" borderId="54" pivotButton="0" quotePrefix="0" xfId="0"/>
    <xf numFmtId="166" fontId="3" fillId="0" borderId="53" pivotButton="0" quotePrefix="0" xfId="0"/>
    <xf numFmtId="166" fontId="3" fillId="0" borderId="40" pivotButton="0" quotePrefix="0" xfId="0"/>
    <xf numFmtId="166" fontId="3" fillId="0" borderId="39" pivotButton="0" quotePrefix="0" xfId="0"/>
    <xf numFmtId="166" fontId="3" fillId="0" borderId="31" pivotButton="0" quotePrefix="0" xfId="0"/>
    <xf numFmtId="166" fontId="3" fillId="0" borderId="30" pivotButton="0" quotePrefix="0" xfId="0"/>
    <xf numFmtId="0" fontId="30" fillId="0" borderId="9" pivotButton="0" quotePrefix="0" xfId="0"/>
    <xf numFmtId="0" fontId="33" fillId="0" borderId="9" applyAlignment="1" pivotButton="0" quotePrefix="0" xfId="0">
      <alignment horizontal="right"/>
    </xf>
    <xf numFmtId="0" fontId="30" fillId="0" borderId="15" pivotButton="0" quotePrefix="0" xfId="0"/>
    <xf numFmtId="0" fontId="32" fillId="0" borderId="15" pivotButton="0" quotePrefix="0" xfId="0"/>
    <xf numFmtId="0" fontId="35" fillId="6" borderId="20" applyAlignment="1" pivotButton="0" quotePrefix="0" xfId="0">
      <alignment horizontal="centerContinuous"/>
    </xf>
    <xf numFmtId="0" fontId="35" fillId="6" borderId="25" applyAlignment="1" pivotButton="0" quotePrefix="0" xfId="0">
      <alignment horizontal="centerContinuous"/>
    </xf>
    <xf numFmtId="0" fontId="31" fillId="5" borderId="21" applyAlignment="1" pivotButton="0" quotePrefix="0" xfId="0">
      <alignment horizontal="center"/>
    </xf>
    <xf numFmtId="0" fontId="31" fillId="5" borderId="26" applyAlignment="1" pivotButton="0" quotePrefix="0" xfId="0">
      <alignment horizontal="center"/>
    </xf>
    <xf numFmtId="166" fontId="37" fillId="0" borderId="19" pivotButton="0" quotePrefix="0" xfId="0"/>
    <xf numFmtId="166" fontId="37" fillId="0" borderId="24" pivotButton="0" quotePrefix="0" xfId="0"/>
    <xf numFmtId="164" fontId="37" fillId="0" borderId="19" pivotButton="0" quotePrefix="0" xfId="0"/>
    <xf numFmtId="164" fontId="37" fillId="0" borderId="24" pivotButton="0" quotePrefix="0" xfId="0"/>
    <xf numFmtId="0" fontId="31" fillId="0" borderId="2" pivotButton="0" quotePrefix="0" xfId="0"/>
    <xf numFmtId="166" fontId="31" fillId="0" borderId="2" pivotButton="0" quotePrefix="0" xfId="0"/>
    <xf numFmtId="166" fontId="31" fillId="0" borderId="22" pivotButton="0" quotePrefix="0" xfId="0"/>
    <xf numFmtId="166" fontId="31" fillId="0" borderId="27" pivotButton="0" quotePrefix="0" xfId="0"/>
    <xf numFmtId="166" fontId="31" fillId="0" borderId="17" pivotButton="0" quotePrefix="0" xfId="0"/>
    <xf numFmtId="0" fontId="39" fillId="0" borderId="1" applyAlignment="1" pivotButton="0" quotePrefix="0" xfId="0">
      <alignment horizontal="left"/>
    </xf>
    <xf numFmtId="177" fontId="39" fillId="0" borderId="1" pivotButton="0" quotePrefix="0" xfId="0"/>
    <xf numFmtId="0" fontId="30" fillId="0" borderId="16" applyAlignment="1" pivotButton="0" quotePrefix="0" xfId="0">
      <alignment vertical="center"/>
    </xf>
    <xf numFmtId="0" fontId="32" fillId="5" borderId="9" applyAlignment="1" pivotButton="0" quotePrefix="0" xfId="0">
      <alignment vertical="center" indent="1"/>
    </xf>
    <xf numFmtId="0" fontId="30" fillId="5" borderId="15" applyAlignment="1" pivotButton="0" quotePrefix="0" xfId="0">
      <alignment vertical="center"/>
    </xf>
    <xf numFmtId="178" fontId="32" fillId="5" borderId="9" applyAlignment="1" pivotButton="0" quotePrefix="0" xfId="0">
      <alignment vertical="center"/>
    </xf>
    <xf numFmtId="0" fontId="32" fillId="5" borderId="5" applyAlignment="1" pivotButton="0" quotePrefix="0" xfId="0">
      <alignment vertical="center" indent="1"/>
    </xf>
    <xf numFmtId="0" fontId="30" fillId="5" borderId="5" applyAlignment="1" pivotButton="0" quotePrefix="0" xfId="0">
      <alignment vertical="center"/>
    </xf>
    <xf numFmtId="178" fontId="32" fillId="5" borderId="5" applyAlignment="1" pivotButton="0" quotePrefix="0" xfId="0">
      <alignment vertical="center"/>
    </xf>
    <xf numFmtId="164" fontId="38" fillId="2" borderId="1" pivotButton="0" quotePrefix="0" xfId="0"/>
    <xf numFmtId="0" fontId="31" fillId="0" borderId="1" pivotButton="0" quotePrefix="0" xfId="0"/>
    <xf numFmtId="0" fontId="32" fillId="0" borderId="1" pivotButton="0" quotePrefix="0" xfId="0"/>
    <xf numFmtId="0" fontId="41" fillId="0" borderId="19" pivotButton="0" quotePrefix="0" xfId="0"/>
    <xf numFmtId="0" fontId="41" fillId="0" borderId="24" pivotButton="0" quotePrefix="0" xfId="0"/>
    <xf numFmtId="0" fontId="41" fillId="0" borderId="16" pivotButton="0" quotePrefix="0" xfId="0"/>
    <xf numFmtId="0" fontId="30" fillId="0" borderId="16" applyAlignment="1" pivotButton="0" quotePrefix="0" xfId="0">
      <alignment horizontal="left" indent="1"/>
    </xf>
    <xf numFmtId="164" fontId="38" fillId="0" borderId="16" pivotButton="0" quotePrefix="0" xfId="0"/>
    <xf numFmtId="0" fontId="32" fillId="0" borderId="11" pivotButton="0" quotePrefix="0" xfId="0"/>
    <xf numFmtId="0" fontId="43" fillId="0" borderId="11" applyAlignment="1" pivotButton="0" quotePrefix="0" xfId="0">
      <alignment horizontal="center"/>
    </xf>
    <xf numFmtId="0" fontId="10" fillId="0" borderId="16" applyAlignment="1" pivotButton="0" quotePrefix="0" xfId="0">
      <alignment horizontal="centerContinuous"/>
    </xf>
    <xf numFmtId="0" fontId="3" fillId="0" borderId="16" applyAlignment="1" pivotButton="0" quotePrefix="0" xfId="0">
      <alignment horizontal="center"/>
    </xf>
    <xf numFmtId="0" fontId="10" fillId="0" borderId="16" pivotButton="0" quotePrefix="0" xfId="0"/>
    <xf numFmtId="0" fontId="5" fillId="0" borderId="16" applyAlignment="1" pivotButton="0" quotePrefix="0" xfId="0">
      <alignment horizontal="left" indent="1"/>
    </xf>
    <xf numFmtId="164" fontId="5" fillId="0" borderId="16" pivotButton="0" quotePrefix="0" xfId="0"/>
    <xf numFmtId="166" fontId="5" fillId="0" borderId="1" pivotButton="0" quotePrefix="0" xfId="0"/>
    <xf numFmtId="0" fontId="3" fillId="5" borderId="17" applyAlignment="1" pivotButton="0" quotePrefix="0" xfId="0">
      <alignment horizontal="left"/>
    </xf>
    <xf numFmtId="166" fontId="3" fillId="5" borderId="2" pivotButton="0" quotePrefix="0" xfId="0"/>
    <xf numFmtId="166" fontId="3" fillId="5" borderId="17" pivotButton="0" quotePrefix="0" xfId="0"/>
    <xf numFmtId="0" fontId="3" fillId="5" borderId="16" applyAlignment="1" pivotButton="0" quotePrefix="0" xfId="0">
      <alignment horizontal="center"/>
    </xf>
    <xf numFmtId="169" fontId="2" fillId="0" borderId="16" applyAlignment="1" pivotButton="0" quotePrefix="0" xfId="0">
      <alignment horizontal="center" vertical="center"/>
    </xf>
    <xf numFmtId="0" fontId="5" fillId="0" borderId="16" applyAlignment="1" pivotButton="0" quotePrefix="0" xfId="0">
      <alignment vertical="center"/>
    </xf>
    <xf numFmtId="179" fontId="2" fillId="0" borderId="16" applyAlignment="1" pivotButton="0" quotePrefix="0" xfId="0">
      <alignment horizontal="left" vertical="center"/>
    </xf>
    <xf numFmtId="0" fontId="5" fillId="0" borderId="16" pivotButton="0" quotePrefix="0" xfId="0"/>
    <xf numFmtId="0" fontId="3" fillId="5" borderId="16" applyAlignment="1" pivotButton="0" quotePrefix="0" xfId="0">
      <alignment vertical="center"/>
    </xf>
    <xf numFmtId="0" fontId="2" fillId="0" borderId="16" applyAlignment="1" pivotButton="0" quotePrefix="0" xfId="0">
      <alignment horizontal="left" vertical="center" indent="1"/>
    </xf>
    <xf numFmtId="0" fontId="3" fillId="0" borderId="16" applyAlignment="1" pivotButton="0" quotePrefix="0" xfId="0">
      <alignment vertical="center"/>
    </xf>
    <xf numFmtId="0" fontId="26" fillId="0" borderId="16" applyAlignment="1" pivotButton="0" quotePrefix="0" xfId="0">
      <alignment vertical="center"/>
    </xf>
    <xf numFmtId="164" fontId="2" fillId="0" borderId="16" applyAlignment="1" pivotButton="0" quotePrefix="0" xfId="0">
      <alignment horizontal="right" vertical="center"/>
    </xf>
    <xf numFmtId="0" fontId="3" fillId="5" borderId="56" applyAlignment="1" pivotButton="0" quotePrefix="0" xfId="0">
      <alignment horizontal="left" vertical="center"/>
    </xf>
    <xf numFmtId="166" fontId="44" fillId="5" borderId="56" applyAlignment="1" pivotButton="0" quotePrefix="0" xfId="0">
      <alignment vertical="center"/>
    </xf>
    <xf numFmtId="0" fontId="3" fillId="8" borderId="17" applyAlignment="1" pivotButton="0" quotePrefix="0" xfId="0">
      <alignment vertical="center"/>
    </xf>
    <xf numFmtId="166" fontId="3" fillId="8" borderId="2" applyAlignment="1" pivotButton="0" quotePrefix="0" xfId="0">
      <alignment horizontal="right" vertical="center"/>
    </xf>
    <xf numFmtId="169" fontId="3" fillId="8" borderId="2" applyAlignment="1" pivotButton="0" quotePrefix="0" xfId="0">
      <alignment horizontal="center" vertical="center"/>
    </xf>
    <xf numFmtId="164" fontId="3" fillId="8" borderId="2" applyAlignment="1" pivotButton="0" quotePrefix="0" xfId="0">
      <alignment horizontal="center"/>
    </xf>
    <xf numFmtId="166" fontId="3" fillId="8" borderId="2" applyAlignment="1" pivotButton="0" quotePrefix="0" xfId="0">
      <alignment horizontal="center" vertical="center"/>
    </xf>
    <xf numFmtId="169" fontId="3" fillId="8" borderId="45" applyAlignment="1" pivotButton="0" quotePrefix="0" xfId="0">
      <alignment horizontal="center" vertical="center"/>
    </xf>
    <xf numFmtId="0" fontId="2" fillId="8" borderId="2" pivotButton="0" quotePrefix="0" xfId="0"/>
    <xf numFmtId="169" fontId="3" fillId="8" borderId="17" applyAlignment="1" pivotButton="0" quotePrefix="0" xfId="0">
      <alignment horizontal="center" vertical="center"/>
    </xf>
    <xf numFmtId="166" fontId="3" fillId="8" borderId="17" applyAlignment="1" pivotButton="0" quotePrefix="0" xfId="0">
      <alignment horizontal="right" vertical="center"/>
    </xf>
    <xf numFmtId="0" fontId="3" fillId="5" borderId="15" applyAlignment="1" pivotButton="0" quotePrefix="0" xfId="0">
      <alignment horizontal="centerContinuous"/>
    </xf>
    <xf numFmtId="164" fontId="2" fillId="8" borderId="2" applyAlignment="1" pivotButton="0" quotePrefix="0" xfId="0">
      <alignment horizontal="center"/>
    </xf>
    <xf numFmtId="164" fontId="2" fillId="8" borderId="45" applyAlignment="1" pivotButton="0" quotePrefix="0" xfId="0">
      <alignment horizontal="center"/>
    </xf>
    <xf numFmtId="168" fontId="2" fillId="8" borderId="2" applyAlignment="1" pivotButton="0" quotePrefix="0" xfId="0">
      <alignment horizontal="center"/>
    </xf>
    <xf numFmtId="164" fontId="2" fillId="0" borderId="1" applyAlignment="1" pivotButton="0" quotePrefix="0" xfId="0">
      <alignment horizontal="center"/>
    </xf>
    <xf numFmtId="0" fontId="46" fillId="0" borderId="16" applyAlignment="1" pivotButton="0" quotePrefix="0" xfId="3">
      <alignment vertical="center"/>
    </xf>
    <xf numFmtId="0" fontId="48" fillId="0" borderId="16" applyAlignment="1" pivotButton="0" quotePrefix="0" xfId="4">
      <alignment vertical="center"/>
    </xf>
    <xf numFmtId="0" fontId="45" fillId="0" borderId="16" applyAlignment="1" pivotButton="0" quotePrefix="0" xfId="3">
      <alignment vertical="center"/>
    </xf>
    <xf numFmtId="0" fontId="3" fillId="0" borderId="13" applyAlignment="1" pivotButton="0" quotePrefix="0" xfId="5">
      <alignment vertical="center"/>
    </xf>
    <xf numFmtId="0" fontId="3" fillId="0" borderId="13" applyAlignment="1" pivotButton="0" quotePrefix="0" xfId="5">
      <alignment horizontal="right" vertical="center"/>
    </xf>
    <xf numFmtId="0" fontId="49" fillId="0" borderId="16" applyAlignment="1" pivotButton="0" quotePrefix="0" xfId="5">
      <alignment vertical="center"/>
    </xf>
    <xf numFmtId="0" fontId="5" fillId="0" borderId="16" applyAlignment="1" pivotButton="0" quotePrefix="0" xfId="5">
      <alignment horizontal="left" vertical="center"/>
    </xf>
    <xf numFmtId="0" fontId="50" fillId="0" borderId="16" applyAlignment="1" pivotButton="0" quotePrefix="0" xfId="3">
      <alignment vertical="center"/>
    </xf>
    <xf numFmtId="0" fontId="51" fillId="9" borderId="45" applyAlignment="1" pivotButton="0" quotePrefix="0" xfId="3">
      <alignment horizontal="center" vertical="center"/>
    </xf>
    <xf numFmtId="0" fontId="41" fillId="9" borderId="45" applyAlignment="1" pivotButton="0" quotePrefix="0" xfId="3">
      <alignment vertical="center"/>
    </xf>
    <xf numFmtId="2" fontId="51" fillId="9" borderId="45" applyAlignment="1" pivotButton="0" quotePrefix="0" xfId="3">
      <alignment horizontal="center" vertical="center"/>
    </xf>
    <xf numFmtId="0" fontId="41" fillId="0" borderId="16" applyAlignment="1" pivotButton="0" quotePrefix="0" xfId="3">
      <alignment vertical="center"/>
    </xf>
    <xf numFmtId="0" fontId="52" fillId="10" borderId="45" applyAlignment="1" pivotButton="0" quotePrefix="0" xfId="3">
      <alignment horizontal="center" vertical="center"/>
    </xf>
    <xf numFmtId="0" fontId="51" fillId="0" borderId="16" applyAlignment="1" pivotButton="0" quotePrefix="0" xfId="3">
      <alignment horizontal="center" vertical="center"/>
    </xf>
    <xf numFmtId="2" fontId="51" fillId="0" borderId="16" applyAlignment="1" pivotButton="0" quotePrefix="0" xfId="3">
      <alignment horizontal="center" vertical="center"/>
    </xf>
    <xf numFmtId="0" fontId="53" fillId="0" borderId="16" applyAlignment="1" pivotButton="0" quotePrefix="0" xfId="3">
      <alignment horizontal="center" vertical="center"/>
    </xf>
    <xf numFmtId="180" fontId="53" fillId="0" borderId="16" applyAlignment="1" pivotButton="0" quotePrefix="0" xfId="3">
      <alignment horizontal="center" vertical="center"/>
    </xf>
    <xf numFmtId="181" fontId="41" fillId="0" borderId="16" applyAlignment="1" pivotButton="0" quotePrefix="0" xfId="6">
      <alignment horizontal="center" vertical="center"/>
    </xf>
    <xf numFmtId="0" fontId="52" fillId="0" borderId="16" applyAlignment="1" pivotButton="0" quotePrefix="0" xfId="3">
      <alignment horizontal="center" vertical="center"/>
    </xf>
    <xf numFmtId="181" fontId="30" fillId="0" borderId="16" applyAlignment="1" pivotButton="0" quotePrefix="0" xfId="3">
      <alignment horizontal="center" vertical="center"/>
    </xf>
    <xf numFmtId="0" fontId="49" fillId="0" borderId="13" applyAlignment="1" pivotButton="0" quotePrefix="0" xfId="5">
      <alignment vertical="center"/>
    </xf>
    <xf numFmtId="0" fontId="34" fillId="9" borderId="16" applyAlignment="1" pivotButton="0" quotePrefix="0" xfId="7">
      <alignment horizontal="left" vertical="center"/>
    </xf>
    <xf numFmtId="0" fontId="51" fillId="9" borderId="16" applyAlignment="1" pivotButton="0" quotePrefix="0" xfId="7">
      <alignment horizontal="center" vertical="center"/>
    </xf>
    <xf numFmtId="9" fontId="51" fillId="9" borderId="57" applyAlignment="1" pivotButton="0" quotePrefix="0" xfId="6">
      <alignment horizontal="center" vertical="center"/>
    </xf>
    <xf numFmtId="0" fontId="34" fillId="9" borderId="16" applyAlignment="1" pivotButton="0" quotePrefix="0" xfId="7">
      <alignment horizontal="centerContinuous" vertical="center"/>
    </xf>
    <xf numFmtId="0" fontId="51" fillId="9" borderId="16" applyAlignment="1" pivotButton="0" quotePrefix="0" xfId="7">
      <alignment horizontal="centerContinuous" vertical="center"/>
    </xf>
    <xf numFmtId="0" fontId="54" fillId="0" borderId="16" applyAlignment="1" pivotButton="0" quotePrefix="0" xfId="7">
      <alignment horizontal="left" vertical="center"/>
    </xf>
    <xf numFmtId="0" fontId="54" fillId="0" borderId="16" applyAlignment="1" pivotButton="0" quotePrefix="0" xfId="7">
      <alignment vertical="center"/>
    </xf>
    <xf numFmtId="164" fontId="55" fillId="0" borderId="16" applyAlignment="1" pivotButton="0" quotePrefix="0" xfId="7">
      <alignment horizontal="right" vertical="center"/>
    </xf>
    <xf numFmtId="0" fontId="17" fillId="0" borderId="16" pivotButton="0" quotePrefix="0" xfId="3"/>
    <xf numFmtId="9" fontId="38" fillId="0" borderId="16" applyAlignment="1" pivotButton="0" quotePrefix="0" xfId="6">
      <alignment horizontal="center" vertical="center"/>
    </xf>
    <xf numFmtId="182" fontId="37" fillId="0" borderId="16" applyAlignment="1" pivotButton="0" quotePrefix="0" xfId="8">
      <alignment horizontal="right" vertical="center"/>
    </xf>
    <xf numFmtId="182" fontId="41" fillId="0" borderId="16" applyAlignment="1" pivotButton="0" quotePrefix="0" xfId="8">
      <alignment horizontal="right" vertical="center"/>
    </xf>
    <xf numFmtId="0" fontId="2" fillId="0" borderId="16" pivotButton="0" quotePrefix="0" xfId="3"/>
    <xf numFmtId="9" fontId="30" fillId="0" borderId="16" applyAlignment="1" pivotButton="0" quotePrefix="0" xfId="6">
      <alignment horizontal="center" vertical="center"/>
    </xf>
    <xf numFmtId="182" fontId="56" fillId="0" borderId="16" applyAlignment="1" pivotButton="0" quotePrefix="0" xfId="3">
      <alignment vertical="center"/>
    </xf>
    <xf numFmtId="182" fontId="53" fillId="0" borderId="16" applyAlignment="1" pivotButton="0" quotePrefix="0" xfId="8">
      <alignment horizontal="right" vertical="center"/>
    </xf>
    <xf numFmtId="0" fontId="30" fillId="0" borderId="11" applyAlignment="1" pivotButton="0" quotePrefix="0" xfId="7">
      <alignment vertical="center"/>
    </xf>
    <xf numFmtId="0" fontId="54" fillId="0" borderId="11" applyAlignment="1" pivotButton="0" quotePrefix="0" xfId="7">
      <alignment vertical="center"/>
    </xf>
    <xf numFmtId="0" fontId="41" fillId="0" borderId="11" applyAlignment="1" pivotButton="0" quotePrefix="0" xfId="7">
      <alignment vertical="center"/>
    </xf>
    <xf numFmtId="182" fontId="30" fillId="0" borderId="11" applyAlignment="1" pivotButton="0" quotePrefix="0" xfId="3">
      <alignment horizontal="right" vertical="center"/>
    </xf>
    <xf numFmtId="0" fontId="30" fillId="0" borderId="13" applyAlignment="1" pivotButton="0" quotePrefix="0" xfId="7">
      <alignment vertical="center"/>
    </xf>
    <xf numFmtId="0" fontId="54" fillId="0" borderId="13" applyAlignment="1" pivotButton="0" quotePrefix="0" xfId="7">
      <alignment vertical="center"/>
    </xf>
    <xf numFmtId="182" fontId="30" fillId="0" borderId="13" applyAlignment="1" pivotButton="0" quotePrefix="0" xfId="3">
      <alignment horizontal="right" vertical="center"/>
    </xf>
    <xf numFmtId="0" fontId="41" fillId="0" borderId="16" applyAlignment="1" pivotButton="0" quotePrefix="0" xfId="7">
      <alignment vertical="center"/>
    </xf>
    <xf numFmtId="183" fontId="41" fillId="0" borderId="16" applyAlignment="1" pivotButton="0" quotePrefix="0" xfId="8">
      <alignment vertical="center"/>
    </xf>
    <xf numFmtId="182" fontId="37" fillId="0" borderId="11" applyAlignment="1" pivotButton="0" quotePrefix="0" xfId="8">
      <alignment vertical="center"/>
    </xf>
    <xf numFmtId="182" fontId="37" fillId="0" borderId="13" applyAlignment="1" pivotButton="0" quotePrefix="0" xfId="8">
      <alignment vertical="center"/>
    </xf>
    <xf numFmtId="184" fontId="37" fillId="0" borderId="11" applyAlignment="1" pivotButton="0" quotePrefix="0" xfId="8">
      <alignment horizontal="right" vertical="center"/>
    </xf>
    <xf numFmtId="184" fontId="37" fillId="0" borderId="13" applyAlignment="1" pivotButton="0" quotePrefix="0" xfId="8">
      <alignment horizontal="right" vertical="center"/>
    </xf>
    <xf numFmtId="168" fontId="37" fillId="0" borderId="11" applyAlignment="1" pivotButton="0" quotePrefix="0" xfId="6">
      <alignment vertical="center"/>
    </xf>
    <xf numFmtId="168" fontId="37" fillId="0" borderId="13" applyAlignment="1" pivotButton="0" quotePrefix="0" xfId="6">
      <alignment vertical="center"/>
    </xf>
    <xf numFmtId="0" fontId="57" fillId="0" borderId="16" applyAlignment="1" pivotButton="0" quotePrefix="0" xfId="3">
      <alignment vertical="center"/>
    </xf>
    <xf numFmtId="0" fontId="49" fillId="0" borderId="16" pivotButton="0" quotePrefix="0" xfId="3"/>
    <xf numFmtId="0" fontId="50" fillId="0" borderId="11" applyAlignment="1" pivotButton="0" quotePrefix="0" xfId="3">
      <alignment vertical="center"/>
    </xf>
    <xf numFmtId="0" fontId="45" fillId="0" borderId="13" applyAlignment="1" pivotButton="0" quotePrefix="0" xfId="3">
      <alignment vertical="center"/>
    </xf>
    <xf numFmtId="0" fontId="45" fillId="0" borderId="11" applyAlignment="1" pivotButton="0" quotePrefix="0" xfId="3">
      <alignment vertical="center"/>
    </xf>
    <xf numFmtId="182" fontId="50" fillId="0" borderId="11" applyAlignment="1" pivotButton="0" quotePrefix="0" xfId="3">
      <alignment vertical="center"/>
    </xf>
    <xf numFmtId="0" fontId="50" fillId="0" borderId="13" applyAlignment="1" pivotButton="0" quotePrefix="0" xfId="3">
      <alignment vertical="center"/>
    </xf>
    <xf numFmtId="182" fontId="50" fillId="0" borderId="13" applyAlignment="1" pivotButton="0" quotePrefix="0" xfId="3">
      <alignment vertical="center"/>
    </xf>
    <xf numFmtId="0" fontId="34" fillId="9" borderId="11" applyAlignment="1" pivotButton="0" quotePrefix="0" xfId="3">
      <alignment vertical="center"/>
    </xf>
    <xf numFmtId="0" fontId="34" fillId="9" borderId="11" applyAlignment="1" pivotButton="0" quotePrefix="0" xfId="3">
      <alignment horizontal="center" vertical="center"/>
    </xf>
    <xf numFmtId="0" fontId="51" fillId="9" borderId="11" applyAlignment="1" pivotButton="0" quotePrefix="0" xfId="3">
      <alignment horizontal="center" vertical="center"/>
    </xf>
    <xf numFmtId="185" fontId="58" fillId="9" borderId="45" applyAlignment="1" pivotButton="0" quotePrefix="0" xfId="3">
      <alignment horizontal="centerContinuous" vertical="center"/>
    </xf>
    <xf numFmtId="0" fontId="59" fillId="9" borderId="11" applyAlignment="1" pivotButton="0" quotePrefix="0" xfId="3">
      <alignment horizontal="centerContinuous" vertical="center"/>
    </xf>
    <xf numFmtId="0" fontId="59" fillId="9" borderId="45" applyAlignment="1" pivotButton="0" quotePrefix="0" xfId="3">
      <alignment horizontal="centerContinuous" vertical="center"/>
    </xf>
    <xf numFmtId="185" fontId="31" fillId="10" borderId="45" applyAlignment="1" pivotButton="0" quotePrefix="0" xfId="3">
      <alignment horizontal="center" vertical="center"/>
    </xf>
    <xf numFmtId="185" fontId="52" fillId="10" borderId="45" applyAlignment="1" pivotButton="0" quotePrefix="0" xfId="3">
      <alignment horizontal="center" vertical="center"/>
    </xf>
    <xf numFmtId="185" fontId="31" fillId="10" borderId="11" applyAlignment="1" pivotButton="0" quotePrefix="0" xfId="3">
      <alignment horizontal="center" vertical="center"/>
    </xf>
    <xf numFmtId="185" fontId="31" fillId="10" borderId="13" applyAlignment="1" pivotButton="0" quotePrefix="0" xfId="3">
      <alignment horizontal="center" vertical="center"/>
    </xf>
    <xf numFmtId="0" fontId="53" fillId="0" borderId="16" applyAlignment="1" pivotButton="0" quotePrefix="0" xfId="3">
      <alignment vertical="center"/>
    </xf>
    <xf numFmtId="0" fontId="60" fillId="0" borderId="16" applyAlignment="1" pivotButton="0" quotePrefix="0" xfId="3">
      <alignment vertical="center"/>
    </xf>
    <xf numFmtId="0" fontId="38" fillId="0" borderId="16" applyAlignment="1" pivotButton="0" quotePrefix="0" xfId="3">
      <alignment horizontal="center" vertical="center"/>
    </xf>
    <xf numFmtId="182" fontId="53" fillId="0" borderId="16" applyAlignment="1" pivotButton="0" quotePrefix="0" xfId="3">
      <alignment horizontal="right" vertical="center"/>
    </xf>
    <xf numFmtId="178" fontId="53" fillId="0" borderId="16" applyAlignment="1" pivotButton="0" quotePrefix="0" xfId="3">
      <alignment horizontal="right" vertical="center"/>
    </xf>
    <xf numFmtId="182" fontId="30" fillId="0" borderId="16" applyAlignment="1" pivotButton="0" quotePrefix="0" xfId="3">
      <alignment horizontal="right" vertical="center"/>
    </xf>
    <xf numFmtId="182" fontId="61" fillId="0" borderId="16" applyAlignment="1" pivotButton="0" quotePrefix="0" xfId="3">
      <alignment horizontal="right" vertical="center"/>
    </xf>
    <xf numFmtId="168" fontId="30" fillId="0" borderId="11" applyAlignment="1" pivotButton="0" quotePrefix="0" xfId="6">
      <alignment horizontal="right" vertical="center"/>
    </xf>
    <xf numFmtId="178" fontId="37" fillId="0" borderId="16" applyAlignment="1" pivotButton="0" quotePrefix="0" xfId="3">
      <alignment horizontal="right" vertical="center"/>
    </xf>
    <xf numFmtId="178" fontId="30" fillId="0" borderId="16" applyAlignment="1" pivotButton="0" quotePrefix="0" xfId="3">
      <alignment horizontal="right" vertical="center"/>
    </xf>
    <xf numFmtId="182" fontId="61" fillId="0" borderId="11" applyAlignment="1" pivotButton="0" quotePrefix="0" xfId="3">
      <alignment horizontal="right" vertical="center"/>
    </xf>
    <xf numFmtId="182" fontId="53" fillId="0" borderId="11" applyAlignment="1" pivotButton="0" quotePrefix="0" xfId="3">
      <alignment horizontal="right" vertical="center"/>
    </xf>
    <xf numFmtId="184" fontId="30" fillId="0" borderId="16" applyAlignment="1" pivotButton="0" quotePrefix="0" xfId="3">
      <alignment horizontal="right" vertical="center"/>
    </xf>
    <xf numFmtId="184" fontId="30" fillId="0" borderId="11" applyAlignment="1" pivotButton="0" quotePrefix="0" xfId="3">
      <alignment horizontal="right" vertical="center"/>
    </xf>
    <xf numFmtId="178" fontId="61" fillId="0" borderId="16" applyAlignment="1" pivotButton="0" quotePrefix="0" xfId="3">
      <alignment horizontal="right" vertical="center"/>
    </xf>
    <xf numFmtId="168" fontId="30" fillId="0" borderId="16" applyAlignment="1" pivotButton="0" quotePrefix="0" xfId="6">
      <alignment horizontal="right" vertical="center"/>
    </xf>
    <xf numFmtId="0" fontId="53" fillId="0" borderId="13" applyAlignment="1" pivotButton="0" quotePrefix="0" xfId="3">
      <alignment vertical="center"/>
    </xf>
    <xf numFmtId="0" fontId="60" fillId="0" borderId="13" applyAlignment="1" pivotButton="0" quotePrefix="0" xfId="3">
      <alignment vertical="center"/>
    </xf>
    <xf numFmtId="0" fontId="38" fillId="0" borderId="13" applyAlignment="1" pivotButton="0" quotePrefix="0" xfId="3">
      <alignment horizontal="center" vertical="center"/>
    </xf>
    <xf numFmtId="178" fontId="53" fillId="0" borderId="13" applyAlignment="1" pivotButton="0" quotePrefix="0" xfId="3">
      <alignment horizontal="right" vertical="center"/>
    </xf>
    <xf numFmtId="178" fontId="30" fillId="0" borderId="13" applyAlignment="1" pivotButton="0" quotePrefix="0" xfId="3">
      <alignment horizontal="right" vertical="center"/>
    </xf>
    <xf numFmtId="178" fontId="61" fillId="0" borderId="13" applyAlignment="1" pivotButton="0" quotePrefix="0" xfId="3">
      <alignment horizontal="right" vertical="center"/>
    </xf>
    <xf numFmtId="168" fontId="30" fillId="0" borderId="13" applyAlignment="1" pivotButton="0" quotePrefix="0" xfId="6">
      <alignment horizontal="right" vertical="center"/>
    </xf>
    <xf numFmtId="178" fontId="37" fillId="0" borderId="13" applyAlignment="1" pivotButton="0" quotePrefix="0" xfId="3">
      <alignment horizontal="right" vertical="center"/>
    </xf>
    <xf numFmtId="184" fontId="30" fillId="0" borderId="13" applyAlignment="1" pivotButton="0" quotePrefix="0" xfId="3">
      <alignment horizontal="right" vertical="center"/>
    </xf>
    <xf numFmtId="0" fontId="30" fillId="0" borderId="16" applyAlignment="1" pivotButton="0" quotePrefix="0" xfId="3">
      <alignment vertical="center"/>
    </xf>
    <xf numFmtId="0" fontId="30" fillId="0" borderId="13" applyAlignment="1" pivotButton="0" quotePrefix="0" xfId="3">
      <alignment vertical="center"/>
    </xf>
    <xf numFmtId="0" fontId="31" fillId="0" borderId="16" applyAlignment="1" pivotButton="0" quotePrefix="0" xfId="3">
      <alignment vertical="center"/>
    </xf>
    <xf numFmtId="186" fontId="41" fillId="0" borderId="16" applyAlignment="1" pivotButton="0" quotePrefix="0" xfId="3">
      <alignment horizontal="center" vertical="center"/>
    </xf>
    <xf numFmtId="172" fontId="41" fillId="0" borderId="16" applyAlignment="1" pivotButton="0" quotePrefix="0" xfId="3">
      <alignment horizontal="center" vertical="center"/>
    </xf>
    <xf numFmtId="186" fontId="30" fillId="0" borderId="16" applyAlignment="1" pivotButton="0" quotePrefix="0" xfId="3">
      <alignment horizontal="center" vertical="center"/>
    </xf>
    <xf numFmtId="186" fontId="53" fillId="0" borderId="16" applyAlignment="1" pivotButton="0" quotePrefix="0" xfId="3">
      <alignment horizontal="center" vertical="center"/>
    </xf>
    <xf numFmtId="186" fontId="62" fillId="0" borderId="16" applyAlignment="1" pivotButton="0" quotePrefix="0" xfId="3">
      <alignment horizontal="center" vertical="center"/>
    </xf>
    <xf numFmtId="0" fontId="53" fillId="0" borderId="45" applyAlignment="1" pivotButton="0" quotePrefix="0" xfId="3">
      <alignment vertical="center"/>
    </xf>
    <xf numFmtId="0" fontId="60" fillId="0" borderId="45" applyAlignment="1" pivotButton="0" quotePrefix="0" xfId="3">
      <alignment vertical="center"/>
    </xf>
    <xf numFmtId="0" fontId="37" fillId="0" borderId="45" applyAlignment="1" pivotButton="0" quotePrefix="0" xfId="3">
      <alignment horizontal="center" vertical="center"/>
    </xf>
    <xf numFmtId="182" fontId="53" fillId="0" borderId="45" applyAlignment="1" pivotButton="0" quotePrefix="0" xfId="3">
      <alignment horizontal="right" vertical="center"/>
    </xf>
    <xf numFmtId="178" fontId="53" fillId="0" borderId="45" applyAlignment="1" pivotButton="0" quotePrefix="0" xfId="3">
      <alignment horizontal="right" vertical="center"/>
    </xf>
    <xf numFmtId="182" fontId="30" fillId="0" borderId="45" applyAlignment="1" pivotButton="0" quotePrefix="0" xfId="3">
      <alignment horizontal="right" vertical="center"/>
    </xf>
    <xf numFmtId="168" fontId="30" fillId="0" borderId="45" applyAlignment="1" pivotButton="0" quotePrefix="0" xfId="6">
      <alignment horizontal="right" vertical="center"/>
    </xf>
    <xf numFmtId="178" fontId="37" fillId="0" borderId="45" applyAlignment="1" pivotButton="0" quotePrefix="0" xfId="3">
      <alignment horizontal="right" vertical="center"/>
    </xf>
    <xf numFmtId="178" fontId="30" fillId="0" borderId="45" applyAlignment="1" pivotButton="0" quotePrefix="0" xfId="3">
      <alignment horizontal="right" vertical="center"/>
    </xf>
    <xf numFmtId="182" fontId="61" fillId="0" borderId="45" applyAlignment="1" pivotButton="0" quotePrefix="0" xfId="3">
      <alignment horizontal="right" vertical="center"/>
    </xf>
    <xf numFmtId="184" fontId="30" fillId="0" borderId="45" applyAlignment="1" pivotButton="0" quotePrefix="0" xfId="3">
      <alignment horizontal="right" vertical="center"/>
    </xf>
    <xf numFmtId="0" fontId="31" fillId="0" borderId="16" applyAlignment="1" pivotButton="0" quotePrefix="0" xfId="3">
      <alignment horizontal="center" vertical="center"/>
    </xf>
    <xf numFmtId="0" fontId="63" fillId="0" borderId="16" applyAlignment="1" pivotButton="0" quotePrefix="0" xfId="3">
      <alignment horizontal="center" vertical="center"/>
    </xf>
    <xf numFmtId="0" fontId="30" fillId="0" borderId="11" applyAlignment="1" pivotButton="0" quotePrefix="0" xfId="3">
      <alignment vertical="center"/>
    </xf>
    <xf numFmtId="0" fontId="31" fillId="0" borderId="11" applyAlignment="1" pivotButton="0" quotePrefix="0" xfId="3">
      <alignment vertical="center"/>
    </xf>
    <xf numFmtId="0" fontId="60" fillId="0" borderId="11" applyAlignment="1" pivotButton="0" quotePrefix="0" xfId="3">
      <alignment vertical="center"/>
    </xf>
    <xf numFmtId="178" fontId="30" fillId="0" borderId="11" applyAlignment="1" pivotButton="0" quotePrefix="0" xfId="3">
      <alignment horizontal="right" vertical="center"/>
    </xf>
    <xf numFmtId="178" fontId="41" fillId="0" borderId="16" applyAlignment="1" pivotButton="0" quotePrefix="0" xfId="3">
      <alignment horizontal="right" vertical="center"/>
    </xf>
    <xf numFmtId="0" fontId="31" fillId="0" borderId="13" applyAlignment="1" pivotButton="0" quotePrefix="0" xfId="3">
      <alignment vertical="center"/>
    </xf>
    <xf numFmtId="164" fontId="30" fillId="0" borderId="11" applyAlignment="1" pivotButton="0" quotePrefix="0" xfId="3">
      <alignment horizontal="right" vertical="center"/>
    </xf>
    <xf numFmtId="184" fontId="30" fillId="0" borderId="11" applyAlignment="1" pivotButton="0" quotePrefix="0" xfId="3">
      <alignment vertical="center"/>
    </xf>
    <xf numFmtId="0" fontId="38" fillId="11" borderId="11" applyAlignment="1" pivotButton="0" quotePrefix="0" xfId="3">
      <alignment horizontal="center" vertical="center"/>
    </xf>
    <xf numFmtId="164" fontId="30" fillId="0" borderId="13" applyAlignment="1" pivotButton="0" quotePrefix="0" xfId="3">
      <alignment horizontal="right" vertical="center"/>
    </xf>
    <xf numFmtId="184" fontId="30" fillId="0" borderId="13" applyAlignment="1" pivotButton="0" quotePrefix="0" xfId="3">
      <alignment vertical="center"/>
    </xf>
    <xf numFmtId="0" fontId="38" fillId="11" borderId="13" applyAlignment="1" pivotButton="0" quotePrefix="0" xfId="3">
      <alignment horizontal="center" vertical="center"/>
    </xf>
    <xf numFmtId="168" fontId="50" fillId="0" borderId="11" applyAlignment="1" pivotButton="0" quotePrefix="0" xfId="3">
      <alignment vertical="center"/>
    </xf>
    <xf numFmtId="168" fontId="50" fillId="0" borderId="13" applyAlignment="1" pivotButton="0" quotePrefix="0" xfId="3">
      <alignment vertical="center"/>
    </xf>
    <xf numFmtId="0" fontId="64" fillId="9" borderId="11" applyAlignment="1" pivotButton="0" quotePrefix="0" xfId="3">
      <alignment vertical="center"/>
    </xf>
    <xf numFmtId="9" fontId="51" fillId="9" borderId="11" applyAlignment="1" pivotButton="0" quotePrefix="0" xfId="6">
      <alignment vertical="center"/>
    </xf>
    <xf numFmtId="0" fontId="64" fillId="0" borderId="16" applyAlignment="1" pivotButton="0" quotePrefix="0" xfId="3">
      <alignment vertical="center"/>
    </xf>
    <xf numFmtId="9" fontId="51" fillId="0" borderId="16" applyAlignment="1" pivotButton="0" quotePrefix="0" xfId="6">
      <alignment vertical="center"/>
    </xf>
    <xf numFmtId="0" fontId="52" fillId="10" borderId="45" applyAlignment="1" pivotButton="0" quotePrefix="0" xfId="3">
      <alignment vertical="center"/>
    </xf>
    <xf numFmtId="0" fontId="54" fillId="10" borderId="45" applyAlignment="1" pivotButton="0" quotePrefix="0" xfId="3">
      <alignment vertical="center"/>
    </xf>
    <xf numFmtId="0" fontId="54" fillId="0" borderId="16" applyAlignment="1" pivotButton="0" quotePrefix="0" xfId="3">
      <alignment vertical="center"/>
    </xf>
    <xf numFmtId="168" fontId="53" fillId="0" borderId="16" applyAlignment="1" pivotButton="0" quotePrefix="0" xfId="6">
      <alignment horizontal="right" vertical="center"/>
    </xf>
    <xf numFmtId="168" fontId="61" fillId="0" borderId="16" applyAlignment="1" pivotButton="0" quotePrefix="0" xfId="6">
      <alignment horizontal="right" vertical="center"/>
    </xf>
    <xf numFmtId="0" fontId="60" fillId="0" borderId="14" applyAlignment="1" pivotButton="0" quotePrefix="0" xfId="3">
      <alignment vertical="center"/>
    </xf>
    <xf numFmtId="0" fontId="41" fillId="0" borderId="14" applyAlignment="1" pivotButton="0" quotePrefix="0" xfId="3">
      <alignment vertical="center"/>
    </xf>
    <xf numFmtId="168" fontId="31" fillId="0" borderId="14" applyAlignment="1" pivotButton="0" quotePrefix="0" xfId="6">
      <alignment horizontal="right" vertical="center"/>
    </xf>
    <xf numFmtId="168" fontId="31" fillId="0" borderId="16" applyAlignment="1" pivotButton="0" quotePrefix="0" xfId="6">
      <alignment horizontal="right" vertical="center"/>
    </xf>
    <xf numFmtId="0" fontId="41" fillId="0" borderId="16" applyAlignment="1" pivotButton="0" quotePrefix="0" xfId="3">
      <alignment horizontal="left" vertical="center"/>
    </xf>
    <xf numFmtId="187" fontId="41" fillId="0" borderId="16" applyAlignment="1" pivotButton="0" quotePrefix="0" xfId="3">
      <alignment vertical="center"/>
    </xf>
    <xf numFmtId="0" fontId="41" fillId="0" borderId="45" applyAlignment="1" pivotButton="0" quotePrefix="0" xfId="3">
      <alignment vertical="center"/>
    </xf>
    <xf numFmtId="168" fontId="43" fillId="0" borderId="45" applyAlignment="1" pivotButton="0" quotePrefix="0" xfId="6">
      <alignment horizontal="right" vertical="center"/>
    </xf>
    <xf numFmtId="168" fontId="41" fillId="0" borderId="16" applyAlignment="1" pivotButton="0" quotePrefix="0" xfId="3">
      <alignment horizontal="right" vertical="center"/>
    </xf>
    <xf numFmtId="0" fontId="31" fillId="5" borderId="60" applyAlignment="1" pivotButton="0" quotePrefix="0" xfId="3">
      <alignment vertical="center"/>
    </xf>
    <xf numFmtId="0" fontId="41" fillId="5" borderId="60" applyAlignment="1" pivotButton="0" quotePrefix="0" xfId="3">
      <alignment vertical="center"/>
    </xf>
    <xf numFmtId="168" fontId="60" fillId="5" borderId="60" applyAlignment="1" pivotButton="0" quotePrefix="0" xfId="3">
      <alignment horizontal="right" vertical="center"/>
    </xf>
    <xf numFmtId="168" fontId="60" fillId="0" borderId="16" applyAlignment="1" pivotButton="0" quotePrefix="0" xfId="3">
      <alignment horizontal="right" vertical="center"/>
    </xf>
    <xf numFmtId="0" fontId="34" fillId="9" borderId="16" applyAlignment="1" pivotButton="0" quotePrefix="0" xfId="3">
      <alignment vertical="center"/>
    </xf>
    <xf numFmtId="0" fontId="34" fillId="9" borderId="16" applyAlignment="1" pivotButton="0" quotePrefix="0" xfId="3">
      <alignment horizontal="center" vertical="center"/>
    </xf>
    <xf numFmtId="0" fontId="34" fillId="0" borderId="16" applyAlignment="1" pivotButton="0" quotePrefix="0" xfId="3">
      <alignment horizontal="center" vertical="center"/>
    </xf>
    <xf numFmtId="185" fontId="31" fillId="0" borderId="16" applyAlignment="1" pivotButton="0" quotePrefix="0" xfId="3">
      <alignment horizontal="center" vertical="center"/>
    </xf>
    <xf numFmtId="0" fontId="30" fillId="0" borderId="11" applyAlignment="1" pivotButton="0" quotePrefix="0" xfId="3">
      <alignment horizontal="center" vertical="center"/>
    </xf>
    <xf numFmtId="182" fontId="38" fillId="0" borderId="16" applyAlignment="1" pivotButton="0" quotePrefix="0" xfId="3">
      <alignment horizontal="right" vertical="center"/>
    </xf>
    <xf numFmtId="184" fontId="53" fillId="0" borderId="16" applyAlignment="1" pivotButton="0" quotePrefix="0" xfId="3">
      <alignment horizontal="right" vertical="center"/>
    </xf>
    <xf numFmtId="188" fontId="53" fillId="0" borderId="16" applyAlignment="1" pivotButton="0" quotePrefix="0" xfId="3">
      <alignment horizontal="right" vertical="center"/>
    </xf>
    <xf numFmtId="0" fontId="30" fillId="0" borderId="16" applyAlignment="1" pivotButton="0" quotePrefix="0" xfId="3">
      <alignment horizontal="center" vertical="center"/>
    </xf>
    <xf numFmtId="0" fontId="30" fillId="0" borderId="45" applyAlignment="1" pivotButton="0" quotePrefix="0" xfId="3">
      <alignment vertical="center"/>
    </xf>
    <xf numFmtId="0" fontId="31" fillId="0" borderId="45" applyAlignment="1" pivotButton="0" quotePrefix="0" xfId="3">
      <alignment vertical="center"/>
    </xf>
    <xf numFmtId="182" fontId="41" fillId="0" borderId="45" applyAlignment="1" pivotButton="0" quotePrefix="0" xfId="3">
      <alignment horizontal="right" vertical="center"/>
    </xf>
    <xf numFmtId="178" fontId="41" fillId="0" borderId="45" applyAlignment="1" pivotButton="0" quotePrefix="0" xfId="3">
      <alignment horizontal="right" vertical="center"/>
    </xf>
    <xf numFmtId="186" fontId="53" fillId="0" borderId="45" applyAlignment="1" pivotButton="0" quotePrefix="0" xfId="3">
      <alignment horizontal="right" vertical="center"/>
    </xf>
    <xf numFmtId="186" fontId="53" fillId="0" borderId="16" applyAlignment="1" pivotButton="0" quotePrefix="0" xfId="3">
      <alignment horizontal="right" vertical="center"/>
    </xf>
    <xf numFmtId="0" fontId="30" fillId="0" borderId="45" applyAlignment="1" pivotButton="0" quotePrefix="0" xfId="3">
      <alignment horizontal="center" vertical="center"/>
    </xf>
    <xf numFmtId="182" fontId="38" fillId="0" borderId="45" applyAlignment="1" pivotButton="0" quotePrefix="0" xfId="3">
      <alignment horizontal="right" vertical="center"/>
    </xf>
    <xf numFmtId="184" fontId="38" fillId="0" borderId="45" applyAlignment="1" pivotButton="0" quotePrefix="0" xfId="3">
      <alignment horizontal="right" vertical="center"/>
    </xf>
    <xf numFmtId="168" fontId="38" fillId="0" borderId="45" applyAlignment="1" pivotButton="0" quotePrefix="0" xfId="3">
      <alignment horizontal="right" vertical="center"/>
    </xf>
    <xf numFmtId="168" fontId="30" fillId="0" borderId="16" applyAlignment="1" pivotButton="0" quotePrefix="0" xfId="3">
      <alignment horizontal="right" vertical="center"/>
    </xf>
    <xf numFmtId="9" fontId="60" fillId="0" borderId="16" applyAlignment="1" pivotButton="0" quotePrefix="0" xfId="6">
      <alignment vertical="center"/>
    </xf>
    <xf numFmtId="164" fontId="38" fillId="0" borderId="11" applyAlignment="1" pivotButton="0" quotePrefix="0" xfId="3">
      <alignment horizontal="right" vertical="center"/>
    </xf>
    <xf numFmtId="178" fontId="30" fillId="0" borderId="11" applyAlignment="1" pivotButton="0" quotePrefix="0" xfId="3">
      <alignment vertical="center"/>
    </xf>
    <xf numFmtId="188" fontId="30" fillId="0" borderId="11" applyAlignment="1" pivotButton="0" quotePrefix="0" xfId="6">
      <alignment vertical="center"/>
    </xf>
    <xf numFmtId="188" fontId="30" fillId="0" borderId="16" applyAlignment="1" pivotButton="0" quotePrefix="0" xfId="6">
      <alignment vertical="center"/>
    </xf>
    <xf numFmtId="164" fontId="38" fillId="0" borderId="16" applyAlignment="1" pivotButton="0" quotePrefix="0" xfId="3">
      <alignment horizontal="right" vertical="center"/>
    </xf>
    <xf numFmtId="184" fontId="30" fillId="0" borderId="16" applyAlignment="1" pivotButton="0" quotePrefix="0" xfId="3">
      <alignment vertical="center"/>
    </xf>
    <xf numFmtId="178" fontId="30" fillId="0" borderId="16" applyAlignment="1" pivotButton="0" quotePrefix="0" xfId="3">
      <alignment vertical="center"/>
    </xf>
    <xf numFmtId="188" fontId="30" fillId="0" borderId="16" applyAlignment="1" pivotButton="0" quotePrefix="0" xfId="3">
      <alignment vertical="center"/>
    </xf>
    <xf numFmtId="164" fontId="38" fillId="0" borderId="13" applyAlignment="1" pivotButton="0" quotePrefix="0" xfId="3">
      <alignment horizontal="right" vertical="center"/>
    </xf>
    <xf numFmtId="178" fontId="30" fillId="0" borderId="13" applyAlignment="1" pivotButton="0" quotePrefix="0" xfId="3">
      <alignment vertical="center"/>
    </xf>
    <xf numFmtId="188" fontId="30" fillId="0" borderId="13" applyAlignment="1" pivotButton="0" quotePrefix="0" xfId="3">
      <alignment vertical="center"/>
    </xf>
    <xf numFmtId="0" fontId="30" fillId="0" borderId="16" pivotButton="0" quotePrefix="0" xfId="3"/>
    <xf numFmtId="0" fontId="34" fillId="9" borderId="45" applyAlignment="1" pivotButton="0" quotePrefix="0" xfId="3">
      <alignment vertical="center"/>
    </xf>
    <xf numFmtId="0" fontId="64" fillId="9" borderId="45" applyAlignment="1" pivotButton="0" quotePrefix="0" xfId="3">
      <alignment vertical="center"/>
    </xf>
    <xf numFmtId="0" fontId="65" fillId="9" borderId="45" applyAlignment="1" pivotButton="0" quotePrefix="0" xfId="3">
      <alignment horizontal="centerContinuous" vertical="center"/>
    </xf>
    <xf numFmtId="0" fontId="64" fillId="9" borderId="45" applyAlignment="1" pivotButton="0" quotePrefix="0" xfId="3">
      <alignment horizontal="centerContinuous" vertical="center"/>
    </xf>
    <xf numFmtId="0" fontId="64" fillId="9" borderId="61" applyAlignment="1" pivotButton="0" quotePrefix="0" xfId="3">
      <alignment horizontal="centerContinuous" vertical="center"/>
    </xf>
    <xf numFmtId="0" fontId="32" fillId="12" borderId="45" applyAlignment="1" pivotButton="0" quotePrefix="0" xfId="3">
      <alignment horizontal="centerContinuous" vertical="center"/>
    </xf>
    <xf numFmtId="0" fontId="41" fillId="12" borderId="45" applyAlignment="1" pivotButton="0" quotePrefix="0" xfId="3">
      <alignment horizontal="centerContinuous" vertical="center"/>
    </xf>
    <xf numFmtId="0" fontId="41" fillId="0" borderId="16" pivotButton="0" quotePrefix="0" xfId="3"/>
    <xf numFmtId="0" fontId="41" fillId="10" borderId="45" applyAlignment="1" pivotButton="0" quotePrefix="0" xfId="3">
      <alignment horizontal="center" vertical="center" wrapText="1"/>
    </xf>
    <xf numFmtId="189" fontId="60" fillId="10" borderId="45" applyAlignment="1" pivotButton="0" quotePrefix="0" xfId="3">
      <alignment horizontal="center" vertical="center"/>
    </xf>
    <xf numFmtId="189" fontId="60" fillId="10" borderId="13" applyAlignment="1" pivotButton="0" quotePrefix="0" xfId="3">
      <alignment horizontal="center" vertical="center"/>
    </xf>
    <xf numFmtId="189" fontId="31" fillId="10" borderId="62" applyAlignment="1" pivotButton="0" quotePrefix="0" xfId="3">
      <alignment horizontal="center" vertical="center"/>
    </xf>
    <xf numFmtId="190" fontId="31" fillId="10" borderId="45" applyAlignment="1" pivotButton="0" quotePrefix="0" xfId="3">
      <alignment horizontal="center" vertical="center"/>
    </xf>
    <xf numFmtId="191" fontId="31" fillId="10" borderId="45" applyAlignment="1" pivotButton="0" quotePrefix="0" xfId="3">
      <alignment horizontal="center" vertical="center"/>
    </xf>
    <xf numFmtId="0" fontId="30" fillId="0" borderId="16" applyAlignment="1" pivotButton="0" quotePrefix="0" xfId="3">
      <alignment horizontal="left"/>
    </xf>
    <xf numFmtId="0" fontId="41" fillId="0" borderId="16" applyAlignment="1" pivotButton="0" quotePrefix="0" xfId="3">
      <alignment horizontal="center"/>
    </xf>
    <xf numFmtId="189" fontId="60" fillId="0" borderId="16" applyAlignment="1" pivotButton="0" quotePrefix="0" xfId="3">
      <alignment horizontal="center"/>
    </xf>
    <xf numFmtId="189" fontId="31" fillId="0" borderId="16" applyAlignment="1" pivotButton="0" quotePrefix="0" xfId="3">
      <alignment horizontal="center"/>
    </xf>
    <xf numFmtId="0" fontId="30" fillId="0" borderId="16" applyAlignment="1" pivotButton="0" quotePrefix="0" xfId="3">
      <alignment horizontal="left" indent="1"/>
    </xf>
    <xf numFmtId="178" fontId="30" fillId="0" borderId="16" pivotButton="0" quotePrefix="0" xfId="3"/>
    <xf numFmtId="192" fontId="31" fillId="0" borderId="11" applyAlignment="1" pivotButton="0" quotePrefix="0" xfId="3">
      <alignment horizontal="left"/>
    </xf>
    <xf numFmtId="0" fontId="66" fillId="0" borderId="11" pivotButton="0" quotePrefix="0" xfId="3"/>
    <xf numFmtId="182" fontId="31" fillId="0" borderId="11" pivotButton="0" quotePrefix="0" xfId="3"/>
    <xf numFmtId="192" fontId="30" fillId="0" borderId="16" applyAlignment="1" pivotButton="0" quotePrefix="0" xfId="3">
      <alignment horizontal="left" indent="1"/>
    </xf>
    <xf numFmtId="0" fontId="66" fillId="0" borderId="16" pivotButton="0" quotePrefix="0" xfId="3"/>
    <xf numFmtId="168" fontId="67" fillId="0" borderId="16" pivotButton="0" quotePrefix="0" xfId="3"/>
    <xf numFmtId="178" fontId="38" fillId="0" borderId="16" pivotButton="0" quotePrefix="0" xfId="3"/>
    <xf numFmtId="0" fontId="31" fillId="0" borderId="11" applyAlignment="1" pivotButton="0" quotePrefix="0" xfId="3">
      <alignment horizontal="left"/>
    </xf>
    <xf numFmtId="0" fontId="41" fillId="0" borderId="11" pivotButton="0" quotePrefix="0" xfId="3"/>
    <xf numFmtId="193" fontId="60" fillId="0" borderId="11" pivotButton="0" quotePrefix="0" xfId="3"/>
    <xf numFmtId="194" fontId="60" fillId="0" borderId="11" pivotButton="0" quotePrefix="0" xfId="3"/>
    <xf numFmtId="168" fontId="30" fillId="0" borderId="16" pivotButton="0" quotePrefix="0" xfId="3"/>
    <xf numFmtId="192" fontId="30" fillId="0" borderId="16" applyAlignment="1" pivotButton="0" quotePrefix="0" xfId="3">
      <alignment horizontal="left"/>
    </xf>
    <xf numFmtId="168" fontId="38" fillId="0" borderId="16" pivotButton="0" quotePrefix="0" xfId="3"/>
    <xf numFmtId="192" fontId="31" fillId="0" borderId="14" applyAlignment="1" pivotButton="0" quotePrefix="0" xfId="3">
      <alignment horizontal="left"/>
    </xf>
    <xf numFmtId="0" fontId="41" fillId="0" borderId="14" pivotButton="0" quotePrefix="0" xfId="3"/>
    <xf numFmtId="0" fontId="66" fillId="0" borderId="14" pivotButton="0" quotePrefix="0" xfId="3"/>
    <xf numFmtId="182" fontId="31" fillId="0" borderId="14" pivotButton="0" quotePrefix="0" xfId="3"/>
    <xf numFmtId="0" fontId="34" fillId="9" borderId="11" applyAlignment="1" pivotButton="0" quotePrefix="0" xfId="3">
      <alignment horizontal="left"/>
    </xf>
    <xf numFmtId="0" fontId="41" fillId="9" borderId="11" pivotButton="0" quotePrefix="0" xfId="3"/>
    <xf numFmtId="193" fontId="60" fillId="9" borderId="11" pivotButton="0" quotePrefix="0" xfId="3"/>
    <xf numFmtId="194" fontId="60" fillId="0" borderId="16" pivotButton="0" quotePrefix="0" xfId="3"/>
    <xf numFmtId="193" fontId="60" fillId="9" borderId="45" pivotButton="0" quotePrefix="0" xfId="3"/>
    <xf numFmtId="195" fontId="38" fillId="0" borderId="11" pivotButton="0" quotePrefix="0" xfId="3"/>
    <xf numFmtId="196" fontId="38" fillId="0" borderId="16" pivotButton="0" quotePrefix="0" xfId="3"/>
    <xf numFmtId="0" fontId="68" fillId="0" borderId="11" applyAlignment="1" pivotButton="0" quotePrefix="0" xfId="3">
      <alignment vertical="center"/>
    </xf>
    <xf numFmtId="182" fontId="68" fillId="0" borderId="11" applyAlignment="1" pivotButton="0" quotePrefix="0" xfId="3">
      <alignment vertical="center"/>
    </xf>
    <xf numFmtId="0" fontId="69" fillId="0" borderId="14" pivotButton="0" quotePrefix="0" xfId="3"/>
    <xf numFmtId="168" fontId="31" fillId="0" borderId="14" pivotButton="0" quotePrefix="0" xfId="3"/>
    <xf numFmtId="0" fontId="69" fillId="0" borderId="63" pivotButton="0" quotePrefix="0" xfId="3"/>
    <xf numFmtId="0" fontId="69" fillId="0" borderId="45" pivotButton="0" quotePrefix="0" xfId="3"/>
    <xf numFmtId="0" fontId="34" fillId="0" borderId="16" applyAlignment="1" pivotButton="0" quotePrefix="0" xfId="3">
      <alignment horizontal="left"/>
    </xf>
    <xf numFmtId="193" fontId="60" fillId="0" borderId="16" pivotButton="0" quotePrefix="0" xfId="3"/>
    <xf numFmtId="168" fontId="61" fillId="0" borderId="16" pivotButton="0" quotePrefix="0" xfId="3"/>
    <xf numFmtId="168" fontId="37" fillId="0" borderId="16" pivotButton="0" quotePrefix="0" xfId="3"/>
    <xf numFmtId="0" fontId="69" fillId="0" borderId="11" pivotButton="0" quotePrefix="0" xfId="3"/>
    <xf numFmtId="0" fontId="49" fillId="0" borderId="11" pivotButton="0" quotePrefix="0" xfId="3"/>
    <xf numFmtId="168" fontId="31" fillId="0" borderId="11" pivotButton="0" quotePrefix="0" xfId="3"/>
    <xf numFmtId="0" fontId="3" fillId="0" borderId="16" pivotButton="0" quotePrefix="0" xfId="3"/>
    <xf numFmtId="178" fontId="31" fillId="0" borderId="16" pivotButton="0" quotePrefix="0" xfId="3"/>
    <xf numFmtId="168" fontId="60" fillId="0" borderId="16" pivotButton="0" quotePrefix="0" xfId="3"/>
    <xf numFmtId="168" fontId="38" fillId="11" borderId="64" pivotButton="0" quotePrefix="0" xfId="3"/>
    <xf numFmtId="184" fontId="37" fillId="0" borderId="13" pivotButton="0" quotePrefix="0" xfId="3"/>
    <xf numFmtId="184" fontId="38" fillId="0" borderId="16" pivotButton="0" quotePrefix="0" xfId="3"/>
    <xf numFmtId="182" fontId="30" fillId="0" borderId="16" pivotButton="0" quotePrefix="0" xfId="3"/>
    <xf numFmtId="182" fontId="43" fillId="0" borderId="16" pivotButton="0" quotePrefix="0" xfId="3"/>
    <xf numFmtId="166" fontId="43" fillId="0" borderId="16" pivotButton="0" quotePrefix="0" xfId="3"/>
    <xf numFmtId="0" fontId="64" fillId="0" borderId="11" pivotButton="0" quotePrefix="0" xfId="3"/>
    <xf numFmtId="0" fontId="64" fillId="0" borderId="16" pivotButton="0" quotePrefix="0" xfId="3"/>
    <xf numFmtId="0" fontId="49" fillId="0" borderId="36" pivotButton="0" quotePrefix="0" xfId="3"/>
    <xf numFmtId="0" fontId="41" fillId="0" borderId="36" applyAlignment="1" pivotButton="0" quotePrefix="0" xfId="3">
      <alignment horizontal="center"/>
    </xf>
    <xf numFmtId="189" fontId="60" fillId="0" borderId="36" applyAlignment="1" pivotButton="0" quotePrefix="0" xfId="3">
      <alignment horizontal="center"/>
    </xf>
    <xf numFmtId="182" fontId="31" fillId="0" borderId="16" applyAlignment="1" pivotButton="0" quotePrefix="0" xfId="3">
      <alignment horizontal="right"/>
    </xf>
    <xf numFmtId="168" fontId="31" fillId="0" borderId="16" pivotButton="0" quotePrefix="0" xfId="3"/>
    <xf numFmtId="0" fontId="3" fillId="0" borderId="36" pivotButton="0" quotePrefix="0" xfId="3"/>
    <xf numFmtId="0" fontId="66" fillId="0" borderId="36" pivotButton="0" quotePrefix="0" xfId="3"/>
    <xf numFmtId="184" fontId="70" fillId="0" borderId="36" pivotButton="0" quotePrefix="0" xfId="3"/>
    <xf numFmtId="0" fontId="31" fillId="12" borderId="45" applyAlignment="1" pivotButton="0" quotePrefix="0" xfId="5">
      <alignment horizontal="centerContinuous"/>
    </xf>
    <xf numFmtId="0" fontId="71" fillId="12" borderId="45" applyAlignment="1" pivotButton="0" quotePrefix="0" xfId="5">
      <alignment horizontal="centerContinuous"/>
    </xf>
    <xf numFmtId="0" fontId="71" fillId="0" borderId="16" pivotButton="0" quotePrefix="0" xfId="5"/>
    <xf numFmtId="0" fontId="72" fillId="0" borderId="16" pivotButton="0" quotePrefix="0" xfId="5"/>
    <xf numFmtId="168" fontId="73" fillId="0" borderId="16" pivotButton="0" quotePrefix="0" xfId="5"/>
    <xf numFmtId="0" fontId="72" fillId="0" borderId="36" pivotButton="0" quotePrefix="0" xfId="5"/>
    <xf numFmtId="184" fontId="73" fillId="0" borderId="36" pivotButton="0" quotePrefix="0" xfId="5"/>
    <xf numFmtId="0" fontId="31" fillId="10" borderId="45" applyAlignment="1" pivotButton="0" quotePrefix="0" xfId="5">
      <alignment horizontal="centerContinuous"/>
    </xf>
    <xf numFmtId="0" fontId="71" fillId="10" borderId="45" applyAlignment="1" pivotButton="0" quotePrefix="0" xfId="5">
      <alignment horizontal="centerContinuous"/>
    </xf>
    <xf numFmtId="0" fontId="31" fillId="0" borderId="13" applyAlignment="1" pivotButton="0" quotePrefix="0" xfId="5">
      <alignment horizontal="centerContinuous"/>
    </xf>
    <xf numFmtId="0" fontId="71" fillId="0" borderId="13" applyAlignment="1" pivotButton="0" quotePrefix="0" xfId="5">
      <alignment horizontal="centerContinuous"/>
    </xf>
    <xf numFmtId="182" fontId="74" fillId="0" borderId="16" applyAlignment="1" pivotButton="0" quotePrefix="0" xfId="5">
      <alignment horizontal="center"/>
    </xf>
    <xf numFmtId="184" fontId="72" fillId="0" borderId="16" pivotButton="0" quotePrefix="0" xfId="5"/>
    <xf numFmtId="184" fontId="73" fillId="0" borderId="16" pivotButton="0" quotePrefix="0" xfId="5"/>
    <xf numFmtId="0" fontId="71" fillId="0" borderId="55" pivotButton="0" quotePrefix="0" xfId="5"/>
    <xf numFmtId="168" fontId="71" fillId="0" borderId="16" pivotButton="0" quotePrefix="0" xfId="5"/>
    <xf numFmtId="182" fontId="41" fillId="10" borderId="58" applyAlignment="1" pivotButton="0" quotePrefix="0" xfId="5">
      <alignment horizontal="right"/>
    </xf>
    <xf numFmtId="182" fontId="41" fillId="10" borderId="11" applyAlignment="1" pivotButton="0" quotePrefix="0" xfId="5">
      <alignment horizontal="right"/>
    </xf>
    <xf numFmtId="182" fontId="41" fillId="10" borderId="61" applyAlignment="1" pivotButton="0" quotePrefix="0" xfId="5">
      <alignment horizontal="right"/>
    </xf>
    <xf numFmtId="168" fontId="72" fillId="0" borderId="16" pivotButton="0" quotePrefix="0" xfId="5"/>
    <xf numFmtId="182" fontId="41" fillId="10" borderId="65" applyAlignment="1" pivotButton="0" quotePrefix="0" xfId="5">
      <alignment horizontal="right"/>
    </xf>
    <xf numFmtId="182" fontId="41" fillId="12" borderId="58" applyAlignment="1" pivotButton="0" quotePrefix="0" xfId="5">
      <alignment horizontal="right"/>
    </xf>
    <xf numFmtId="182" fontId="41" fillId="12" borderId="11" applyAlignment="1" pivotButton="0" quotePrefix="0" xfId="5">
      <alignment horizontal="right"/>
    </xf>
    <xf numFmtId="182" fontId="41" fillId="12" borderId="61" applyAlignment="1" pivotButton="0" quotePrefix="0" xfId="5">
      <alignment horizontal="right"/>
    </xf>
    <xf numFmtId="182" fontId="41" fillId="10" borderId="55" applyAlignment="1" pivotButton="0" quotePrefix="0" xfId="5">
      <alignment horizontal="right"/>
    </xf>
    <xf numFmtId="0" fontId="31" fillId="0" borderId="55" applyAlignment="1" pivotButton="0" quotePrefix="0" xfId="5">
      <alignment horizontal="right"/>
    </xf>
    <xf numFmtId="182" fontId="41" fillId="12" borderId="65" applyAlignment="1" pivotButton="0" quotePrefix="0" xfId="5">
      <alignment horizontal="right"/>
    </xf>
    <xf numFmtId="182" fontId="51" fillId="9" borderId="66" applyAlignment="1" pivotButton="0" quotePrefix="0" xfId="5">
      <alignment horizontal="right"/>
    </xf>
    <xf numFmtId="182" fontId="41" fillId="12" borderId="55" applyAlignment="1" pivotButton="0" quotePrefix="0" xfId="5">
      <alignment horizontal="right"/>
    </xf>
    <xf numFmtId="182" fontId="41" fillId="12" borderId="67" applyAlignment="1" pivotButton="0" quotePrefix="0" xfId="5">
      <alignment horizontal="right"/>
    </xf>
    <xf numFmtId="182" fontId="41" fillId="12" borderId="13" applyAlignment="1" pivotButton="0" quotePrefix="0" xfId="5">
      <alignment horizontal="right"/>
    </xf>
    <xf numFmtId="182" fontId="41" fillId="12" borderId="68" applyAlignment="1" pivotButton="0" quotePrefix="0" xfId="5">
      <alignment horizontal="right"/>
    </xf>
    <xf numFmtId="182" fontId="41" fillId="10" borderId="67" applyAlignment="1" pivotButton="0" quotePrefix="0" xfId="5">
      <alignment horizontal="right"/>
    </xf>
    <xf numFmtId="182" fontId="41" fillId="10" borderId="13" applyAlignment="1" pivotButton="0" quotePrefix="0" xfId="5">
      <alignment horizontal="right"/>
    </xf>
    <xf numFmtId="182" fontId="41" fillId="10" borderId="68" applyAlignment="1" pivotButton="0" quotePrefix="0" xfId="5">
      <alignment horizontal="right"/>
    </xf>
    <xf numFmtId="168" fontId="74" fillId="0" borderId="16" applyAlignment="1" pivotButton="0" quotePrefix="0" xfId="5">
      <alignment horizontal="center"/>
    </xf>
    <xf numFmtId="168" fontId="41" fillId="10" borderId="58" applyAlignment="1" pivotButton="0" quotePrefix="0" xfId="5">
      <alignment horizontal="right"/>
    </xf>
    <xf numFmtId="168" fontId="41" fillId="10" borderId="11" applyAlignment="1" pivotButton="0" quotePrefix="0" xfId="5">
      <alignment horizontal="right"/>
    </xf>
    <xf numFmtId="168" fontId="41" fillId="10" borderId="61" applyAlignment="1" pivotButton="0" quotePrefix="0" xfId="5">
      <alignment horizontal="right"/>
    </xf>
    <xf numFmtId="168" fontId="41" fillId="10" borderId="65" applyAlignment="1" pivotButton="0" quotePrefix="0" xfId="5">
      <alignment horizontal="right"/>
    </xf>
    <xf numFmtId="168" fontId="41" fillId="12" borderId="58" applyAlignment="1" pivotButton="0" quotePrefix="0" xfId="5">
      <alignment horizontal="right"/>
    </xf>
    <xf numFmtId="168" fontId="41" fillId="12" borderId="11" applyAlignment="1" pivotButton="0" quotePrefix="0" xfId="5">
      <alignment horizontal="right"/>
    </xf>
    <xf numFmtId="168" fontId="41" fillId="12" borderId="61" applyAlignment="1" pivotButton="0" quotePrefix="0" xfId="5">
      <alignment horizontal="right"/>
    </xf>
    <xf numFmtId="168" fontId="41" fillId="10" borderId="55" applyAlignment="1" pivotButton="0" quotePrefix="0" xfId="5">
      <alignment horizontal="right"/>
    </xf>
    <xf numFmtId="168" fontId="41" fillId="12" borderId="65" applyAlignment="1" pivotButton="0" quotePrefix="0" xfId="5">
      <alignment horizontal="right"/>
    </xf>
    <xf numFmtId="168" fontId="51" fillId="9" borderId="66" applyAlignment="1" pivotButton="0" quotePrefix="0" xfId="5">
      <alignment horizontal="right"/>
    </xf>
    <xf numFmtId="168" fontId="41" fillId="12" borderId="55" applyAlignment="1" pivotButton="0" quotePrefix="0" xfId="5">
      <alignment horizontal="right"/>
    </xf>
    <xf numFmtId="168" fontId="41" fillId="12" borderId="67" applyAlignment="1" pivotButton="0" quotePrefix="0" xfId="5">
      <alignment horizontal="right"/>
    </xf>
    <xf numFmtId="168" fontId="41" fillId="12" borderId="13" applyAlignment="1" pivotButton="0" quotePrefix="0" xfId="5">
      <alignment horizontal="right"/>
    </xf>
    <xf numFmtId="168" fontId="41" fillId="12" borderId="68" applyAlignment="1" pivotButton="0" quotePrefix="0" xfId="5">
      <alignment horizontal="right"/>
    </xf>
    <xf numFmtId="168" fontId="41" fillId="10" borderId="67" applyAlignment="1" pivotButton="0" quotePrefix="0" xfId="5">
      <alignment horizontal="right"/>
    </xf>
    <xf numFmtId="168" fontId="41" fillId="10" borderId="13" applyAlignment="1" pivotButton="0" quotePrefix="0" xfId="5">
      <alignment horizontal="right"/>
    </xf>
    <xf numFmtId="168" fontId="41" fillId="10" borderId="68" applyAlignment="1" pivotButton="0" quotePrefix="0" xfId="5">
      <alignment horizontal="right"/>
    </xf>
    <xf numFmtId="168" fontId="73" fillId="0" borderId="36" pivotButton="0" quotePrefix="0" xfId="5"/>
    <xf numFmtId="0" fontId="3" fillId="0" borderId="13" applyAlignment="1" pivotButton="0" quotePrefix="0" xfId="5">
      <alignment horizontal="right"/>
    </xf>
    <xf numFmtId="0" fontId="77" fillId="0" borderId="0" pivotButton="0" quotePrefix="0" xfId="0"/>
    <xf numFmtId="0" fontId="76" fillId="0" borderId="16" applyAlignment="1" pivotButton="0" quotePrefix="0" xfId="3">
      <alignment horizontal="left"/>
    </xf>
    <xf numFmtId="182" fontId="75" fillId="0" borderId="16" pivotButton="0" quotePrefix="0" xfId="3"/>
    <xf numFmtId="178" fontId="75" fillId="0" borderId="16" pivotButton="0" quotePrefix="0" xfId="3"/>
    <xf numFmtId="182" fontId="83" fillId="0" borderId="16" pivotButton="0" quotePrefix="0" xfId="3"/>
    <xf numFmtId="178" fontId="83" fillId="0" borderId="16" pivotButton="0" quotePrefix="0" xfId="3"/>
    <xf numFmtId="168" fontId="80" fillId="0" borderId="62" pivotButton="0" quotePrefix="0" xfId="3"/>
    <xf numFmtId="168" fontId="78" fillId="0" borderId="16" pivotButton="0" quotePrefix="0" xfId="3"/>
    <xf numFmtId="168" fontId="81" fillId="0" borderId="62" pivotButton="0" quotePrefix="0" xfId="3"/>
    <xf numFmtId="164" fontId="78" fillId="0" borderId="16" applyAlignment="1" pivotButton="0" quotePrefix="0" xfId="3">
      <alignment horizontal="right"/>
    </xf>
    <xf numFmtId="168" fontId="78" fillId="0" borderId="16" applyAlignment="1" pivotButton="0" quotePrefix="0" xfId="3">
      <alignment horizontal="right"/>
    </xf>
    <xf numFmtId="168" fontId="80" fillId="0" borderId="11" pivotButton="0" quotePrefix="0" xfId="3"/>
    <xf numFmtId="182" fontId="81" fillId="0" borderId="16" pivotButton="0" quotePrefix="0" xfId="3"/>
    <xf numFmtId="182" fontId="80" fillId="0" borderId="16" pivotButton="0" quotePrefix="0" xfId="3"/>
    <xf numFmtId="168" fontId="82" fillId="0" borderId="16" pivotButton="0" quotePrefix="0" xfId="3"/>
    <xf numFmtId="168" fontId="79" fillId="0" borderId="16" pivotButton="0" quotePrefix="0" xfId="3"/>
    <xf numFmtId="182" fontId="78" fillId="0" borderId="16" pivotButton="0" quotePrefix="0" xfId="3"/>
    <xf numFmtId="182" fontId="80" fillId="0" borderId="11" pivotButton="0" quotePrefix="0" xfId="3"/>
    <xf numFmtId="168" fontId="76" fillId="0" borderId="16" pivotButton="0" quotePrefix="0" xfId="3"/>
    <xf numFmtId="178" fontId="78" fillId="0" borderId="16" pivotButton="0" quotePrefix="0" xfId="3"/>
    <xf numFmtId="0" fontId="29" fillId="0" borderId="16" applyAlignment="1" pivotButton="0" quotePrefix="0" xfId="3">
      <alignment vertical="center"/>
    </xf>
    <xf numFmtId="0" fontId="31" fillId="0" borderId="13" applyAlignment="1" pivotButton="0" quotePrefix="0" xfId="5">
      <alignment vertical="center"/>
    </xf>
    <xf numFmtId="0" fontId="41" fillId="0" borderId="13" applyAlignment="1" pivotButton="0" quotePrefix="0" xfId="5">
      <alignment vertical="center"/>
    </xf>
    <xf numFmtId="0" fontId="31" fillId="0" borderId="13" applyAlignment="1" pivotButton="0" quotePrefix="0" xfId="5">
      <alignment horizontal="right" vertical="center"/>
    </xf>
    <xf numFmtId="0" fontId="31" fillId="0" borderId="13" applyAlignment="1" pivotButton="0" quotePrefix="0" xfId="5">
      <alignment horizontal="right"/>
    </xf>
    <xf numFmtId="0" fontId="32" fillId="0" borderId="16" applyAlignment="1" pivotButton="0" quotePrefix="0" xfId="5">
      <alignment horizontal="left" vertical="center"/>
    </xf>
    <xf numFmtId="0" fontId="34" fillId="9" borderId="45" applyAlignment="1" pivotButton="0" quotePrefix="0" xfId="3">
      <alignment horizontal="centerContinuous" vertical="center"/>
    </xf>
    <xf numFmtId="0" fontId="52" fillId="8" borderId="69" applyAlignment="1" pivotButton="0" quotePrefix="0" xfId="3">
      <alignment horizontal="centerContinuous"/>
    </xf>
    <xf numFmtId="0" fontId="52" fillId="8" borderId="69" applyAlignment="1" pivotButton="0" quotePrefix="0" xfId="3">
      <alignment horizontal="center"/>
    </xf>
    <xf numFmtId="197" fontId="38" fillId="0" borderId="16" applyAlignment="1" pivotButton="0" quotePrefix="0" xfId="3">
      <alignment horizontal="center"/>
    </xf>
    <xf numFmtId="0" fontId="38" fillId="0" borderId="16" applyAlignment="1" pivotButton="0" quotePrefix="0" xfId="3">
      <alignment horizontal="left"/>
    </xf>
    <xf numFmtId="166" fontId="38" fillId="0" borderId="16" applyAlignment="1" pivotButton="0" quotePrefix="0" xfId="3">
      <alignment horizontal="right"/>
    </xf>
    <xf numFmtId="184" fontId="38" fillId="0" borderId="16" applyAlignment="1" pivotButton="0" quotePrefix="0" xfId="3">
      <alignment horizontal="right"/>
    </xf>
    <xf numFmtId="168" fontId="38" fillId="0" borderId="16" applyAlignment="1" pivotButton="0" quotePrefix="0" xfId="3">
      <alignment horizontal="right"/>
    </xf>
    <xf numFmtId="0" fontId="34" fillId="9" borderId="16" applyAlignment="1" pivotButton="0" quotePrefix="0" xfId="3">
      <alignment horizontal="center"/>
    </xf>
    <xf numFmtId="0" fontId="34" fillId="9" borderId="59" applyAlignment="1" pivotButton="0" quotePrefix="0" xfId="3">
      <alignment horizontal="centerContinuous"/>
    </xf>
    <xf numFmtId="0" fontId="37" fillId="5" borderId="45" applyAlignment="1" pivotButton="0" quotePrefix="0" xfId="3">
      <alignment horizontal="left"/>
    </xf>
    <xf numFmtId="182" fontId="37" fillId="5" borderId="45" applyAlignment="1" pivotButton="0" quotePrefix="0" xfId="3">
      <alignment horizontal="centerContinuous"/>
    </xf>
    <xf numFmtId="178" fontId="37" fillId="5" borderId="45" applyAlignment="1" pivotButton="0" quotePrefix="0" xfId="3">
      <alignment horizontal="centerContinuous"/>
    </xf>
    <xf numFmtId="0" fontId="30" fillId="0" borderId="11" pivotButton="0" quotePrefix="0" xfId="3"/>
    <xf numFmtId="184" fontId="30" fillId="0" borderId="11" applyAlignment="1" pivotButton="0" quotePrefix="0" xfId="3">
      <alignment horizontal="right"/>
    </xf>
    <xf numFmtId="168" fontId="30" fillId="0" borderId="8" applyAlignment="1" pivotButton="0" quotePrefix="0" xfId="3">
      <alignment horizontal="right"/>
    </xf>
    <xf numFmtId="184" fontId="30" fillId="0" borderId="16" applyAlignment="1" pivotButton="0" quotePrefix="0" xfId="3">
      <alignment horizontal="right"/>
    </xf>
    <xf numFmtId="168" fontId="30" fillId="0" borderId="16" applyAlignment="1" pivotButton="0" quotePrefix="0" xfId="3">
      <alignment horizontal="right"/>
    </xf>
    <xf numFmtId="0" fontId="30" fillId="0" borderId="13" pivotButton="0" quotePrefix="0" xfId="3"/>
    <xf numFmtId="184" fontId="30" fillId="0" borderId="13" applyAlignment="1" pivotButton="0" quotePrefix="0" xfId="3">
      <alignment horizontal="right"/>
    </xf>
    <xf numFmtId="168" fontId="30" fillId="0" borderId="7" applyAlignment="1" pivotButton="0" quotePrefix="0" xfId="3">
      <alignment horizontal="right"/>
    </xf>
    <xf numFmtId="0" fontId="38" fillId="11" borderId="11" applyAlignment="1" pivotButton="0" quotePrefix="0" xfId="3">
      <alignment horizontal="center"/>
    </xf>
    <xf numFmtId="168" fontId="30" fillId="0" borderId="11" applyAlignment="1" pivotButton="0" quotePrefix="0" xfId="3">
      <alignment horizontal="right"/>
    </xf>
    <xf numFmtId="0" fontId="41" fillId="0" borderId="13" applyAlignment="1" pivotButton="0" quotePrefix="0" xfId="3">
      <alignment vertical="center"/>
    </xf>
    <xf numFmtId="168" fontId="30" fillId="0" borderId="13" applyAlignment="1" pivotButton="0" quotePrefix="0" xfId="3">
      <alignment horizontal="right"/>
    </xf>
    <xf numFmtId="0" fontId="41" fillId="0" borderId="11" applyAlignment="1" pivotButton="0" quotePrefix="0" xfId="3">
      <alignment vertical="center"/>
    </xf>
    <xf numFmtId="182" fontId="30" fillId="0" borderId="11" applyAlignment="1" pivotButton="0" quotePrefix="0" xfId="3">
      <alignment vertical="center"/>
    </xf>
    <xf numFmtId="182" fontId="30" fillId="0" borderId="13" applyAlignment="1" pivotButton="0" quotePrefix="0" xfId="3">
      <alignment vertical="center"/>
    </xf>
    <xf numFmtId="182" fontId="37" fillId="0" borderId="11" applyAlignment="1" pivotButton="0" quotePrefix="0" xfId="3">
      <alignment vertical="center"/>
    </xf>
    <xf numFmtId="182" fontId="37" fillId="0" borderId="13" applyAlignment="1" pivotButton="0" quotePrefix="0" xfId="3">
      <alignment vertical="center"/>
    </xf>
    <xf numFmtId="168" fontId="37" fillId="0" borderId="11" applyAlignment="1" pivotButton="0" quotePrefix="0" xfId="3">
      <alignment vertical="center"/>
    </xf>
    <xf numFmtId="168" fontId="37" fillId="0" borderId="13" applyAlignment="1" pivotButton="0" quotePrefix="0" xfId="3">
      <alignment vertical="center"/>
    </xf>
    <xf numFmtId="0" fontId="41" fillId="0" borderId="13" pivotButton="0" quotePrefix="0" xfId="0"/>
    <xf numFmtId="0" fontId="34" fillId="9" borderId="16" applyAlignment="1" pivotButton="0" quotePrefix="0" xfId="3">
      <alignment horizontal="left"/>
    </xf>
    <xf numFmtId="0" fontId="41" fillId="0" borderId="16" pivotButton="0" quotePrefix="0" xfId="0"/>
    <xf numFmtId="0" fontId="52" fillId="8" borderId="45" applyAlignment="1" pivotButton="0" quotePrefix="0" xfId="3">
      <alignment horizontal="center"/>
    </xf>
    <xf numFmtId="0" fontId="84" fillId="0" borderId="16" pivotButton="0" quotePrefix="0" xfId="0"/>
    <xf numFmtId="0" fontId="54" fillId="0" borderId="16" applyAlignment="1" pivotButton="0" quotePrefix="0" xfId="4">
      <alignment vertical="center"/>
    </xf>
    <xf numFmtId="0" fontId="41" fillId="0" borderId="16" pivotButton="0" quotePrefix="0" xfId="3"/>
    <xf numFmtId="0" fontId="30" fillId="0" borderId="16" pivotButton="0" quotePrefix="0" xfId="3"/>
    <xf numFmtId="197" fontId="38" fillId="0" borderId="36" applyAlignment="1" pivotButton="0" quotePrefix="0" xfId="3">
      <alignment horizontal="center"/>
    </xf>
    <xf numFmtId="0" fontId="38" fillId="0" borderId="36" applyAlignment="1" pivotButton="0" quotePrefix="0" xfId="3">
      <alignment horizontal="left"/>
    </xf>
    <xf numFmtId="0" fontId="41" fillId="0" borderId="36" pivotButton="0" quotePrefix="0" xfId="0"/>
    <xf numFmtId="166" fontId="38" fillId="0" borderId="36" applyAlignment="1" pivotButton="0" quotePrefix="0" xfId="3">
      <alignment horizontal="right"/>
    </xf>
    <xf numFmtId="184" fontId="38" fillId="0" borderId="36" applyAlignment="1" pivotButton="0" quotePrefix="0" xfId="3">
      <alignment horizontal="right"/>
    </xf>
    <xf numFmtId="168" fontId="38" fillId="0" borderId="36" applyAlignment="1" pivotButton="0" quotePrefix="0" xfId="3">
      <alignment horizontal="right"/>
    </xf>
    <xf numFmtId="0" fontId="34" fillId="0" borderId="16" applyAlignment="1" pivotButton="0" quotePrefix="0" xfId="3">
      <alignment vertical="center"/>
    </xf>
    <xf numFmtId="0" fontId="38" fillId="11" borderId="13" applyAlignment="1" pivotButton="0" quotePrefix="0" xfId="3">
      <alignment horizontal="center"/>
    </xf>
    <xf numFmtId="0" fontId="41" fillId="0" borderId="45" pivotButton="0" quotePrefix="0" xfId="0"/>
    <xf numFmtId="0" fontId="52" fillId="8" borderId="71" applyAlignment="1" pivotButton="0" quotePrefix="0" xfId="3">
      <alignment horizontal="centerContinuous"/>
    </xf>
    <xf numFmtId="0" fontId="41" fillId="0" borderId="11" pivotButton="0" quotePrefix="0" xfId="0"/>
    <xf numFmtId="184" fontId="41" fillId="0" borderId="11" pivotButton="0" quotePrefix="0" xfId="0"/>
    <xf numFmtId="184" fontId="41" fillId="0" borderId="13" pivotButton="0" quotePrefix="0" xfId="0"/>
    <xf numFmtId="0" fontId="41" fillId="0" borderId="0" applyAlignment="1" pivotButton="0" quotePrefix="0" xfId="0">
      <alignment horizontal="center" vertical="center" wrapText="1"/>
    </xf>
    <xf numFmtId="0" fontId="41" fillId="0" borderId="36" applyAlignment="1" pivotButton="0" quotePrefix="0" xfId="0">
      <alignment horizontal="center" vertical="center" wrapText="1"/>
    </xf>
    <xf numFmtId="0" fontId="41" fillId="0" borderId="72" applyAlignment="1" pivotButton="0" quotePrefix="0" xfId="0">
      <alignment horizontal="center" vertical="center" wrapText="1"/>
    </xf>
    <xf numFmtId="0" fontId="41" fillId="0" borderId="73" applyAlignment="1" pivotButton="0" quotePrefix="0" xfId="0">
      <alignment horizontal="center" vertical="center" wrapText="1"/>
    </xf>
    <xf numFmtId="197" fontId="30" fillId="0" borderId="72" applyAlignment="1" pivotButton="0" quotePrefix="0" xfId="3">
      <alignment horizontal="center" vertical="center"/>
    </xf>
    <xf numFmtId="0" fontId="30" fillId="0" borderId="72" applyAlignment="1" pivotButton="0" quotePrefix="0" xfId="3">
      <alignment horizontal="center" vertical="center"/>
    </xf>
    <xf numFmtId="0" fontId="30" fillId="0" borderId="72" applyAlignment="1" pivotButton="0" quotePrefix="0" xfId="0">
      <alignment horizontal="center" vertical="center"/>
    </xf>
    <xf numFmtId="166" fontId="30" fillId="0" borderId="72" applyAlignment="1" pivotButton="0" quotePrefix="0" xfId="3">
      <alignment horizontal="center" vertical="center"/>
    </xf>
    <xf numFmtId="197" fontId="30" fillId="0" borderId="73" applyAlignment="1" pivotButton="0" quotePrefix="0" xfId="3">
      <alignment horizontal="center" vertical="center"/>
    </xf>
    <xf numFmtId="0" fontId="30" fillId="0" borderId="73" applyAlignment="1" pivotButton="0" quotePrefix="0" xfId="3">
      <alignment horizontal="center" vertical="center"/>
    </xf>
    <xf numFmtId="0" fontId="30" fillId="0" borderId="73" applyAlignment="1" pivotButton="0" quotePrefix="0" xfId="0">
      <alignment horizontal="center" vertical="center"/>
    </xf>
    <xf numFmtId="166" fontId="30" fillId="0" borderId="73" applyAlignment="1" pivotButton="0" quotePrefix="0" xfId="3">
      <alignment horizontal="center" vertical="center"/>
    </xf>
    <xf numFmtId="197" fontId="30" fillId="0" borderId="16" applyAlignment="1" pivotButton="0" quotePrefix="0" xfId="3">
      <alignment horizontal="center" vertical="center"/>
    </xf>
    <xf numFmtId="0" fontId="30" fillId="0" borderId="0" applyAlignment="1" pivotButton="0" quotePrefix="0" xfId="0">
      <alignment horizontal="center" vertical="center"/>
    </xf>
    <xf numFmtId="166" fontId="30" fillId="0" borderId="16" applyAlignment="1" pivotButton="0" quotePrefix="0" xfId="3">
      <alignment horizontal="center" vertical="center"/>
    </xf>
    <xf numFmtId="197" fontId="30" fillId="0" borderId="36" applyAlignment="1" pivotButton="0" quotePrefix="0" xfId="3">
      <alignment horizontal="center" vertical="center"/>
    </xf>
    <xf numFmtId="0" fontId="30" fillId="0" borderId="36" applyAlignment="1" pivotButton="0" quotePrefix="0" xfId="3">
      <alignment horizontal="center" vertical="center"/>
    </xf>
    <xf numFmtId="0" fontId="30" fillId="0" borderId="36" applyAlignment="1" pivotButton="0" quotePrefix="0" xfId="0">
      <alignment horizontal="center" vertical="center"/>
    </xf>
    <xf numFmtId="166" fontId="30" fillId="0" borderId="36" applyAlignment="1" pivotButton="0" quotePrefix="0" xfId="3">
      <alignment horizontal="center" vertical="center"/>
    </xf>
    <xf numFmtId="0" fontId="41" fillId="0" borderId="74" pivotButton="0" quotePrefix="0" xfId="0"/>
    <xf numFmtId="0" fontId="52" fillId="8" borderId="70" applyAlignment="1" pivotButton="0" quotePrefix="0" xfId="3">
      <alignment horizontal="centerContinuous"/>
    </xf>
    <xf numFmtId="175" fontId="99" fillId="2" borderId="10" applyAlignment="1" pivotButton="0" quotePrefix="0" xfId="0">
      <alignment horizontal="right"/>
    </xf>
    <xf numFmtId="197" fontId="38" fillId="0" borderId="16" applyAlignment="1" pivotButton="0" quotePrefix="0" xfId="3">
      <alignment horizontal="center"/>
    </xf>
    <xf numFmtId="184" fontId="38" fillId="0" borderId="16" applyAlignment="1" pivotButton="0" quotePrefix="0" xfId="3">
      <alignment horizontal="right"/>
    </xf>
    <xf numFmtId="197" fontId="38" fillId="0" borderId="36" applyAlignment="1" pivotButton="0" quotePrefix="0" xfId="3">
      <alignment horizontal="center"/>
    </xf>
    <xf numFmtId="184" fontId="38" fillId="0" borderId="36" applyAlignment="1" pivotButton="0" quotePrefix="0" xfId="3">
      <alignment horizontal="right"/>
    </xf>
    <xf numFmtId="182" fontId="37" fillId="5" borderId="45" applyAlignment="1" pivotButton="0" quotePrefix="0" xfId="3">
      <alignment horizontal="centerContinuous"/>
    </xf>
    <xf numFmtId="184" fontId="30" fillId="0" borderId="11" applyAlignment="1" pivotButton="0" quotePrefix="0" xfId="3">
      <alignment horizontal="right"/>
    </xf>
    <xf numFmtId="184" fontId="30" fillId="0" borderId="16" applyAlignment="1" pivotButton="0" quotePrefix="0" xfId="3">
      <alignment horizontal="right"/>
    </xf>
    <xf numFmtId="184" fontId="30" fillId="0" borderId="13" applyAlignment="1" pivotButton="0" quotePrefix="0" xfId="3">
      <alignment horizontal="right"/>
    </xf>
    <xf numFmtId="182" fontId="30" fillId="0" borderId="11" applyAlignment="1" pivotButton="0" quotePrefix="0" xfId="3">
      <alignment vertical="center"/>
    </xf>
    <xf numFmtId="182" fontId="30" fillId="0" borderId="13" applyAlignment="1" pivotButton="0" quotePrefix="0" xfId="3">
      <alignment vertical="center"/>
    </xf>
    <xf numFmtId="184" fontId="30" fillId="0" borderId="11" applyAlignment="1" pivotButton="0" quotePrefix="0" xfId="3">
      <alignment vertical="center"/>
    </xf>
    <xf numFmtId="184" fontId="41" fillId="0" borderId="11" pivotButton="0" quotePrefix="0" xfId="0"/>
    <xf numFmtId="184" fontId="30" fillId="0" borderId="13" applyAlignment="1" pivotButton="0" quotePrefix="0" xfId="3">
      <alignment vertical="center"/>
    </xf>
    <xf numFmtId="184" fontId="41" fillId="0" borderId="13" pivotButton="0" quotePrefix="0" xfId="0"/>
    <xf numFmtId="182" fontId="37" fillId="0" borderId="11" applyAlignment="1" pivotButton="0" quotePrefix="0" xfId="3">
      <alignment vertical="center"/>
    </xf>
    <xf numFmtId="182" fontId="37" fillId="0" borderId="13" applyAlignment="1" pivotButton="0" quotePrefix="0" xfId="3">
      <alignment vertical="center"/>
    </xf>
    <xf numFmtId="197" fontId="30" fillId="0" borderId="72" applyAlignment="1" pivotButton="0" quotePrefix="0" xfId="3">
      <alignment horizontal="center" vertical="center"/>
    </xf>
    <xf numFmtId="0" fontId="0" fillId="0" borderId="72" pivotButton="0" quotePrefix="0" xfId="0"/>
    <xf numFmtId="197" fontId="30" fillId="0" borderId="73" applyAlignment="1" pivotButton="0" quotePrefix="0" xfId="3">
      <alignment horizontal="center" vertical="center"/>
    </xf>
    <xf numFmtId="0" fontId="0" fillId="0" borderId="73" pivotButton="0" quotePrefix="0" xfId="0"/>
    <xf numFmtId="197" fontId="30" fillId="0" borderId="16" applyAlignment="1" pivotButton="0" quotePrefix="0" xfId="3">
      <alignment horizontal="center" vertical="center"/>
    </xf>
    <xf numFmtId="0" fontId="41" fillId="0" borderId="16" applyAlignment="1" pivotButton="0" quotePrefix="0" xfId="0">
      <alignment horizontal="center" vertical="center" wrapText="1"/>
    </xf>
    <xf numFmtId="197" fontId="30" fillId="0" borderId="36" applyAlignment="1" pivotButton="0" quotePrefix="0" xfId="3">
      <alignment horizontal="center" vertical="center"/>
    </xf>
    <xf numFmtId="0" fontId="0" fillId="0" borderId="36" pivotButton="0" quotePrefix="0" xfId="0"/>
    <xf numFmtId="182" fontId="53" fillId="0" borderId="16" applyAlignment="1" pivotButton="0" quotePrefix="0" xfId="3">
      <alignment horizontal="right" vertical="center"/>
    </xf>
    <xf numFmtId="182" fontId="30" fillId="0" borderId="16" applyAlignment="1" pivotButton="0" quotePrefix="0" xfId="3">
      <alignment horizontal="right"/>
    </xf>
    <xf numFmtId="182" fontId="61" fillId="0" borderId="16" applyAlignment="1" pivotButton="0" quotePrefix="0" xfId="3">
      <alignment horizontal="right" vertical="center"/>
    </xf>
    <xf numFmtId="168" fontId="30" fillId="0" borderId="11" applyAlignment="1" pivotButton="0" quotePrefix="0" xfId="6">
      <alignment horizontal="right"/>
    </xf>
    <xf numFmtId="178" fontId="37" fillId="0" borderId="16" applyAlignment="1" pivotButton="0" quotePrefix="0" xfId="3">
      <alignment horizontal="right"/>
    </xf>
    <xf numFmtId="178" fontId="30" fillId="0" borderId="16" applyAlignment="1" pivotButton="0" quotePrefix="0" xfId="3">
      <alignment horizontal="right"/>
    </xf>
    <xf numFmtId="182" fontId="61" fillId="0" borderId="11" applyAlignment="1" pivotButton="0" quotePrefix="0" xfId="3">
      <alignment horizontal="right" vertical="center"/>
    </xf>
    <xf numFmtId="182" fontId="53" fillId="0" borderId="11" applyAlignment="1" pivotButton="0" quotePrefix="0" xfId="3">
      <alignment horizontal="right" vertical="center"/>
    </xf>
    <xf numFmtId="168" fontId="30" fillId="0" borderId="16" applyAlignment="1" pivotButton="0" quotePrefix="0" xfId="6">
      <alignment horizontal="right"/>
    </xf>
    <xf numFmtId="178" fontId="30" fillId="0" borderId="13" applyAlignment="1" pivotButton="0" quotePrefix="0" xfId="3">
      <alignment horizontal="right"/>
    </xf>
    <xf numFmtId="168" fontId="30" fillId="0" borderId="13" applyAlignment="1" pivotButton="0" quotePrefix="0" xfId="6">
      <alignment horizontal="right"/>
    </xf>
    <xf numFmtId="178" fontId="37" fillId="0" borderId="13" applyAlignment="1" pivotButton="0" quotePrefix="0" xfId="3">
      <alignment horizontal="right"/>
    </xf>
    <xf numFmtId="182" fontId="53" fillId="0" borderId="45" applyAlignment="1" pivotButton="0" quotePrefix="0" xfId="3">
      <alignment horizontal="right" vertical="center"/>
    </xf>
    <xf numFmtId="182" fontId="30" fillId="0" borderId="45" applyAlignment="1" pivotButton="0" quotePrefix="0" xfId="3">
      <alignment horizontal="right"/>
    </xf>
    <xf numFmtId="168" fontId="30" fillId="0" borderId="45" applyAlignment="1" pivotButton="0" quotePrefix="0" xfId="6">
      <alignment horizontal="right"/>
    </xf>
    <xf numFmtId="178" fontId="37" fillId="0" borderId="45" applyAlignment="1" pivotButton="0" quotePrefix="0" xfId="3">
      <alignment horizontal="right"/>
    </xf>
    <xf numFmtId="178" fontId="30" fillId="0" borderId="45" applyAlignment="1" pivotButton="0" quotePrefix="0" xfId="3">
      <alignment horizontal="right"/>
    </xf>
    <xf numFmtId="182" fontId="61" fillId="0" borderId="45" applyAlignment="1" pivotButton="0" quotePrefix="0" xfId="3">
      <alignment horizontal="right" vertical="center"/>
    </xf>
    <xf numFmtId="184" fontId="30" fillId="0" borderId="45" applyAlignment="1" pivotButton="0" quotePrefix="0" xfId="3">
      <alignment horizontal="right"/>
    </xf>
    <xf numFmtId="182" fontId="30" fillId="0" borderId="11" applyAlignment="1" pivotButton="0" quotePrefix="0" xfId="3">
      <alignment horizontal="right"/>
    </xf>
    <xf numFmtId="178" fontId="30" fillId="0" borderId="11" applyAlignment="1" pivotButton="0" quotePrefix="0" xfId="3">
      <alignment horizontal="right"/>
    </xf>
    <xf numFmtId="178" fontId="41" fillId="0" borderId="16" applyAlignment="1" pivotButton="0" quotePrefix="0" xfId="3">
      <alignment horizontal="right"/>
    </xf>
    <xf numFmtId="182" fontId="30" fillId="0" borderId="13" applyAlignment="1" pivotButton="0" quotePrefix="0" xfId="3">
      <alignment horizontal="right"/>
    </xf>
    <xf numFmtId="182" fontId="50" fillId="0" borderId="11" applyAlignment="1" pivotButton="0" quotePrefix="0" xfId="3">
      <alignment vertical="center"/>
    </xf>
    <xf numFmtId="182" fontId="50" fillId="0" borderId="11" applyAlignment="1" pivotButton="0" quotePrefix="0" xfId="3">
      <alignment horizontal="right"/>
    </xf>
    <xf numFmtId="182" fontId="50" fillId="0" borderId="13" applyAlignment="1" pivotButton="0" quotePrefix="0" xfId="3">
      <alignment vertical="center"/>
    </xf>
    <xf numFmtId="182" fontId="50" fillId="0" borderId="13" applyAlignment="1" pivotButton="0" quotePrefix="0" xfId="3">
      <alignment horizontal="right"/>
    </xf>
    <xf numFmtId="168" fontId="50" fillId="0" borderId="11" applyAlignment="1" pivotButton="0" quotePrefix="0" xfId="3">
      <alignment horizontal="right"/>
    </xf>
    <xf numFmtId="168" fontId="50" fillId="0" borderId="13" applyAlignment="1" pivotButton="0" quotePrefix="0" xfId="3">
      <alignment horizontal="right"/>
    </xf>
    <xf numFmtId="168" fontId="31" fillId="0" borderId="14" applyAlignment="1" pivotButton="0" quotePrefix="0" xfId="6">
      <alignment horizontal="right"/>
    </xf>
    <xf numFmtId="182" fontId="38" fillId="0" borderId="16" applyAlignment="1" pivotButton="0" quotePrefix="0" xfId="3">
      <alignment horizontal="right" vertical="center"/>
    </xf>
    <xf numFmtId="184" fontId="53" fillId="0" borderId="16" applyAlignment="1" pivotButton="0" quotePrefix="0" xfId="3">
      <alignment horizontal="right" vertical="center"/>
    </xf>
    <xf numFmtId="182" fontId="41" fillId="0" borderId="45" applyAlignment="1" pivotButton="0" quotePrefix="0" xfId="3">
      <alignment horizontal="right" vertical="center"/>
    </xf>
    <xf numFmtId="182" fontId="38" fillId="0" borderId="45" applyAlignment="1" pivotButton="0" quotePrefix="0" xfId="3">
      <alignment horizontal="right" vertical="center"/>
    </xf>
    <xf numFmtId="184" fontId="38" fillId="0" borderId="45" applyAlignment="1" pivotButton="0" quotePrefix="0" xfId="3">
      <alignment horizontal="right" vertical="center"/>
    </xf>
    <xf numFmtId="188" fontId="30" fillId="0" borderId="11" applyAlignment="1" pivotButton="0" quotePrefix="0" xfId="6">
      <alignment horizontal="right"/>
    </xf>
    <xf numFmtId="188" fontId="30" fillId="0" borderId="16" applyAlignment="1" pivotButton="0" quotePrefix="0" xfId="6">
      <alignment horizontal="right"/>
    </xf>
    <xf numFmtId="188" fontId="30" fillId="0" borderId="16" applyAlignment="1" pivotButton="0" quotePrefix="0" xfId="3">
      <alignment horizontal="right"/>
    </xf>
    <xf numFmtId="188" fontId="30" fillId="0" borderId="13" applyAlignment="1" pivotButton="0" quotePrefix="0" xfId="3">
      <alignment horizontal="right"/>
    </xf>
    <xf numFmtId="165" fontId="86" fillId="0" borderId="0" pivotButton="0" quotePrefix="0" xfId="0"/>
    <xf numFmtId="0" fontId="87" fillId="0" borderId="0" pivotButton="0" quotePrefix="0" xfId="0"/>
    <xf numFmtId="0" fontId="88" fillId="0" borderId="76" applyAlignment="1" pivotButton="0" quotePrefix="0" xfId="0">
      <alignment horizontal="left"/>
    </xf>
    <xf numFmtId="0" fontId="0" fillId="0" borderId="76" pivotButton="0" quotePrefix="0" xfId="0"/>
    <xf numFmtId="0" fontId="88" fillId="0" borderId="76" applyAlignment="1" pivotButton="0" quotePrefix="0" xfId="0">
      <alignment horizontal="right"/>
    </xf>
    <xf numFmtId="0" fontId="89" fillId="0" borderId="0" applyAlignment="1" pivotButton="0" quotePrefix="0" xfId="0">
      <alignment horizontal="left"/>
    </xf>
    <xf numFmtId="0" fontId="88" fillId="0" borderId="0" applyAlignment="1" pivotButton="0" quotePrefix="0" xfId="0">
      <alignment horizontal="left"/>
    </xf>
    <xf numFmtId="0" fontId="90" fillId="2" borderId="77" applyAlignment="1" pivotButton="0" quotePrefix="0" xfId="0">
      <alignment horizontal="center"/>
    </xf>
    <xf numFmtId="198" fontId="91" fillId="0" borderId="0" applyAlignment="1" pivotButton="0" quotePrefix="0" xfId="0">
      <alignment horizontal="center"/>
    </xf>
    <xf numFmtId="0" fontId="92" fillId="0" borderId="0" pivotButton="0" quotePrefix="0" xfId="0"/>
    <xf numFmtId="0" fontId="93" fillId="3" borderId="78" applyAlignment="1" pivotButton="0" quotePrefix="0" xfId="0">
      <alignment horizontal="left"/>
    </xf>
    <xf numFmtId="0" fontId="94" fillId="3" borderId="78" applyAlignment="1" pivotButton="0" quotePrefix="0" xfId="0">
      <alignment horizontal="centerContinuous"/>
    </xf>
    <xf numFmtId="0" fontId="94" fillId="13" borderId="79" applyAlignment="1" pivotButton="0" quotePrefix="0" xfId="0">
      <alignment horizontal="centerContinuous"/>
    </xf>
    <xf numFmtId="0" fontId="94" fillId="14" borderId="78" applyAlignment="1" pivotButton="0" quotePrefix="0" xfId="0">
      <alignment horizontal="centerContinuous"/>
    </xf>
    <xf numFmtId="0" fontId="88" fillId="15" borderId="76" pivotButton="0" quotePrefix="0" xfId="0"/>
    <xf numFmtId="0" fontId="88" fillId="15" borderId="76" applyAlignment="1" pivotButton="0" quotePrefix="0" xfId="0">
      <alignment horizontal="center"/>
    </xf>
    <xf numFmtId="0" fontId="88" fillId="15" borderId="80" applyAlignment="1" pivotButton="0" quotePrefix="0" xfId="0">
      <alignment horizontal="center"/>
    </xf>
    <xf numFmtId="0" fontId="0" fillId="0" borderId="81" pivotButton="0" quotePrefix="0" xfId="0"/>
    <xf numFmtId="0" fontId="92" fillId="0" borderId="0" applyAlignment="1" pivotButton="0" quotePrefix="0" xfId="0">
      <alignment horizontal="left" indent="1"/>
    </xf>
    <xf numFmtId="166" fontId="92" fillId="0" borderId="0" pivotButton="0" quotePrefix="0" xfId="0"/>
    <xf numFmtId="166" fontId="92" fillId="0" borderId="81" pivotButton="0" quotePrefix="0" xfId="0"/>
    <xf numFmtId="0" fontId="89" fillId="0" borderId="0" applyAlignment="1" pivotButton="0" quotePrefix="0" xfId="0">
      <alignment horizontal="left" indent="2"/>
    </xf>
    <xf numFmtId="168" fontId="92" fillId="0" borderId="0" pivotButton="0" quotePrefix="0" xfId="0"/>
    <xf numFmtId="168" fontId="92" fillId="0" borderId="81" pivotButton="0" quotePrefix="0" xfId="0"/>
    <xf numFmtId="164" fontId="92" fillId="0" borderId="0" pivotButton="0" quotePrefix="0" xfId="0"/>
    <xf numFmtId="164" fontId="92" fillId="0" borderId="81" pivotButton="0" quotePrefix="0" xfId="0"/>
    <xf numFmtId="164" fontId="92" fillId="0" borderId="0" applyAlignment="1" pivotButton="0" quotePrefix="0" xfId="0">
      <alignment horizontal="right"/>
    </xf>
    <xf numFmtId="168" fontId="92" fillId="0" borderId="0" applyAlignment="1" pivotButton="0" quotePrefix="0" xfId="0">
      <alignment horizontal="right"/>
    </xf>
    <xf numFmtId="0" fontId="88" fillId="0" borderId="82" applyAlignment="1" pivotButton="0" quotePrefix="0" xfId="0">
      <alignment horizontal="left"/>
    </xf>
    <xf numFmtId="166" fontId="88" fillId="0" borderId="82" pivotButton="0" quotePrefix="0" xfId="0"/>
    <xf numFmtId="166" fontId="88" fillId="0" borderId="83" pivotButton="0" quotePrefix="0" xfId="0"/>
    <xf numFmtId="0" fontId="95" fillId="0" borderId="0" applyAlignment="1" pivotButton="0" quotePrefix="0" xfId="0">
      <alignment horizontal="left" indent="1"/>
    </xf>
    <xf numFmtId="166" fontId="95" fillId="0" borderId="0" pivotButton="0" quotePrefix="0" xfId="0"/>
    <xf numFmtId="166" fontId="95" fillId="0" borderId="81" pivotButton="0" quotePrefix="0" xfId="0"/>
    <xf numFmtId="0" fontId="96" fillId="0" borderId="0" applyAlignment="1" pivotButton="0" quotePrefix="0" xfId="0">
      <alignment horizontal="left" indent="1"/>
    </xf>
    <xf numFmtId="166" fontId="96" fillId="0" borderId="0" pivotButton="0" quotePrefix="0" xfId="0"/>
    <xf numFmtId="166" fontId="96" fillId="0" borderId="81" pivotButton="0" quotePrefix="0" xfId="0"/>
    <xf numFmtId="0" fontId="88" fillId="15" borderId="82" applyAlignment="1" pivotButton="0" quotePrefix="0" xfId="0">
      <alignment horizontal="left"/>
    </xf>
    <xf numFmtId="0" fontId="0" fillId="15" borderId="82" pivotButton="0" quotePrefix="0" xfId="0"/>
    <xf numFmtId="0" fontId="0" fillId="15" borderId="83" pivotButton="0" quotePrefix="0" xfId="0"/>
    <xf numFmtId="0" fontId="92" fillId="15" borderId="0" applyAlignment="1" pivotButton="0" quotePrefix="0" xfId="0">
      <alignment horizontal="left" indent="1"/>
    </xf>
    <xf numFmtId="0" fontId="0" fillId="15" borderId="0" pivotButton="0" quotePrefix="0" xfId="0"/>
    <xf numFmtId="164" fontId="92" fillId="15" borderId="0" pivotButton="0" quotePrefix="0" xfId="0"/>
    <xf numFmtId="0" fontId="0" fillId="15" borderId="81" pivotButton="0" quotePrefix="0" xfId="0"/>
    <xf numFmtId="166" fontId="92" fillId="15" borderId="0" pivotButton="0" quotePrefix="0" xfId="0"/>
    <xf numFmtId="166" fontId="92" fillId="15" borderId="81" pivotButton="0" quotePrefix="0" xfId="0"/>
    <xf numFmtId="0" fontId="89" fillId="15" borderId="0" applyAlignment="1" pivotButton="0" quotePrefix="0" xfId="0">
      <alignment horizontal="left" indent="1"/>
    </xf>
    <xf numFmtId="168" fontId="92" fillId="15" borderId="81" pivotButton="0" quotePrefix="0" xfId="0"/>
    <xf numFmtId="168" fontId="92" fillId="15" borderId="0" pivotButton="0" quotePrefix="0" xfId="0"/>
    <xf numFmtId="164" fontId="97" fillId="15" borderId="0" pivotButton="0" quotePrefix="0" xfId="0"/>
    <xf numFmtId="164" fontId="97" fillId="15" borderId="81" pivotButton="0" quotePrefix="0" xfId="0"/>
    <xf numFmtId="0" fontId="89" fillId="15" borderId="0" applyAlignment="1" pivotButton="0" quotePrefix="0" xfId="0">
      <alignment horizontal="left" indent="2"/>
    </xf>
    <xf numFmtId="0" fontId="92" fillId="15" borderId="84" applyAlignment="1" pivotButton="0" quotePrefix="0" xfId="0">
      <alignment horizontal="left" indent="1"/>
    </xf>
    <xf numFmtId="164" fontId="92" fillId="15" borderId="84" pivotButton="0" quotePrefix="0" xfId="0"/>
    <xf numFmtId="164" fontId="92" fillId="15" borderId="85" pivotButton="0" quotePrefix="0" xfId="0"/>
    <xf numFmtId="166" fontId="98" fillId="0" borderId="0" pivotButton="0" quotePrefix="0" xfId="0"/>
    <xf numFmtId="164" fontId="98" fillId="0" borderId="0" pivotButton="0" quotePrefix="0" xfId="0"/>
    <xf numFmtId="164" fontId="98" fillId="0" borderId="81" pivotButton="0" quotePrefix="0" xfId="0"/>
    <xf numFmtId="168" fontId="98" fillId="0" borderId="0" pivotButton="0" quotePrefix="0" xfId="0"/>
    <xf numFmtId="0" fontId="89" fillId="0" borderId="0" applyAlignment="1" pivotButton="0" quotePrefix="0" xfId="0">
      <alignment horizontal="left" indent="3"/>
    </xf>
    <xf numFmtId="168" fontId="98" fillId="2" borderId="0" pivotButton="0" quotePrefix="0" xfId="0"/>
    <xf numFmtId="182" fontId="98" fillId="0" borderId="0" pivotButton="0" quotePrefix="0" xfId="0"/>
    <xf numFmtId="182" fontId="92" fillId="0" borderId="0" pivotButton="0" quotePrefix="0" xfId="0"/>
    <xf numFmtId="173" fontId="92" fillId="0" borderId="0" pivotButton="0" quotePrefix="0" xfId="0"/>
    <xf numFmtId="164" fontId="97" fillId="0" borderId="0" pivotButton="0" quotePrefix="0" xfId="0"/>
    <xf numFmtId="164" fontId="97" fillId="0" borderId="81" pivotButton="0" quotePrefix="0" xfId="0"/>
    <xf numFmtId="166" fontId="92" fillId="0" borderId="0" applyAlignment="1" pivotButton="0" quotePrefix="0" xfId="0">
      <alignment horizontal="right"/>
    </xf>
    <xf numFmtId="166" fontId="98" fillId="0" borderId="86" pivotButton="0" quotePrefix="0" xfId="0"/>
    <xf numFmtId="164" fontId="98" fillId="0" borderId="86" pivotButton="0" quotePrefix="0" xfId="0"/>
    <xf numFmtId="166" fontId="88" fillId="0" borderId="78" pivotButton="0" quotePrefix="0" xfId="0"/>
    <xf numFmtId="166" fontId="95" fillId="0" borderId="86" pivotButton="0" quotePrefix="0" xfId="0"/>
    <xf numFmtId="166" fontId="96" fillId="0" borderId="86" pivotButton="0" quotePrefix="0" xfId="0"/>
    <xf numFmtId="164" fontId="98" fillId="15" borderId="0" pivotButton="0" quotePrefix="0" xfId="0"/>
    <xf numFmtId="164" fontId="98" fillId="15" borderId="86" pivotButton="0" quotePrefix="0" xfId="0"/>
    <xf numFmtId="168" fontId="92" fillId="15" borderId="86" pivotButton="0" quotePrefix="0" xfId="0"/>
    <xf numFmtId="0" fontId="89" fillId="15" borderId="84" applyAlignment="1" pivotButton="0" quotePrefix="0" xfId="0">
      <alignment horizontal="left" indent="1"/>
    </xf>
    <xf numFmtId="0" fontId="0" fillId="15" borderId="84" pivotButton="0" quotePrefix="0" xfId="0"/>
    <xf numFmtId="168" fontId="92" fillId="15" borderId="76" pivotButton="0" quotePrefix="0" xfId="0"/>
    <xf numFmtId="168" fontId="92" fillId="15" borderId="84" pivotButton="0" quotePrefix="0" xfId="0"/>
    <xf numFmtId="166" fontId="90" fillId="0" borderId="0" pivotButton="0" quotePrefix="0" xfId="0"/>
    <xf numFmtId="166" fontId="90" fillId="0" borderId="81" pivotButton="0" quotePrefix="0" xfId="0"/>
    <xf numFmtId="166" fontId="97" fillId="0" borderId="0" pivotButton="0" quotePrefix="0" xfId="0"/>
    <xf numFmtId="166" fontId="97" fillId="0" borderId="81" pivotButton="0" quotePrefix="0" xfId="0"/>
    <xf numFmtId="173" fontId="98" fillId="2" borderId="0" pivotButton="0" quotePrefix="0" xfId="0"/>
    <xf numFmtId="168" fontId="92" fillId="0" borderId="81" applyAlignment="1" pivotButton="0" quotePrefix="0" xfId="0">
      <alignment horizontal="right"/>
    </xf>
    <xf numFmtId="178" fontId="92" fillId="0" borderId="0" pivotButton="0" quotePrefix="0" xfId="0"/>
    <xf numFmtId="178" fontId="92" fillId="0" borderId="81" pivotButton="0" quotePrefix="0" xfId="0"/>
    <xf numFmtId="182" fontId="75" fillId="0" borderId="16" pivotButton="0" quotePrefix="0" xfId="3"/>
    <xf numFmtId="182" fontId="31" fillId="0" borderId="11" pivotButton="0" quotePrefix="0" xfId="3"/>
    <xf numFmtId="182" fontId="31" fillId="0" borderId="14" pivotButton="0" quotePrefix="0" xfId="3"/>
    <xf numFmtId="182" fontId="83" fillId="0" borderId="16" pivotButton="0" quotePrefix="0" xfId="3"/>
    <xf numFmtId="182" fontId="68" fillId="0" borderId="11" applyAlignment="1" pivotButton="0" quotePrefix="0" xfId="3">
      <alignment vertical="center"/>
    </xf>
    <xf numFmtId="168" fontId="97" fillId="0" borderId="16" pivotButton="0" quotePrefix="0" xfId="3"/>
    <xf numFmtId="184" fontId="37" fillId="0" borderId="13" pivotButton="0" quotePrefix="0" xfId="3"/>
    <xf numFmtId="184" fontId="38" fillId="0" borderId="16" pivotButton="0" quotePrefix="0" xfId="3"/>
    <xf numFmtId="182" fontId="30" fillId="0" borderId="16" pivotButton="0" quotePrefix="0" xfId="3"/>
    <xf numFmtId="182" fontId="43" fillId="0" borderId="16" pivotButton="0" quotePrefix="0" xfId="3"/>
    <xf numFmtId="182" fontId="31" fillId="0" borderId="16" applyAlignment="1" pivotButton="0" quotePrefix="0" xfId="3">
      <alignment horizontal="right"/>
    </xf>
    <xf numFmtId="184" fontId="70" fillId="0" borderId="36" pivotButton="0" quotePrefix="0" xfId="3"/>
    <xf numFmtId="184" fontId="73" fillId="0" borderId="36" pivotButton="0" quotePrefix="0" xfId="5"/>
    <xf numFmtId="182" fontId="74" fillId="0" borderId="16" applyAlignment="1" pivotButton="0" quotePrefix="0" xfId="5">
      <alignment horizontal="center"/>
    </xf>
    <xf numFmtId="184" fontId="72" fillId="0" borderId="16" pivotButton="0" quotePrefix="0" xfId="5"/>
    <xf numFmtId="184" fontId="73" fillId="0" borderId="16" pivotButton="0" quotePrefix="0" xfId="5"/>
    <xf numFmtId="182" fontId="41" fillId="10" borderId="58" applyAlignment="1" pivotButton="0" quotePrefix="0" xfId="5">
      <alignment horizontal="right"/>
    </xf>
    <xf numFmtId="182" fontId="41" fillId="10" borderId="11" applyAlignment="1" pivotButton="0" quotePrefix="0" xfId="5">
      <alignment horizontal="right"/>
    </xf>
    <xf numFmtId="182" fontId="41" fillId="10" borderId="61" applyAlignment="1" pivotButton="0" quotePrefix="0" xfId="5">
      <alignment horizontal="right"/>
    </xf>
    <xf numFmtId="182" fontId="41" fillId="10" borderId="65" applyAlignment="1" pivotButton="0" quotePrefix="0" xfId="5">
      <alignment horizontal="right"/>
    </xf>
    <xf numFmtId="182" fontId="41" fillId="12" borderId="58" applyAlignment="1" pivotButton="0" quotePrefix="0" xfId="5">
      <alignment horizontal="right"/>
    </xf>
    <xf numFmtId="182" fontId="41" fillId="12" borderId="11" applyAlignment="1" pivotButton="0" quotePrefix="0" xfId="5">
      <alignment horizontal="right"/>
    </xf>
    <xf numFmtId="182" fontId="41" fillId="12" borderId="61" applyAlignment="1" pivotButton="0" quotePrefix="0" xfId="5">
      <alignment horizontal="right"/>
    </xf>
    <xf numFmtId="182" fontId="41" fillId="10" borderId="55" applyAlignment="1" pivotButton="0" quotePrefix="0" xfId="5">
      <alignment horizontal="right"/>
    </xf>
    <xf numFmtId="182" fontId="41" fillId="12" borderId="65" applyAlignment="1" pivotButton="0" quotePrefix="0" xfId="5">
      <alignment horizontal="right"/>
    </xf>
    <xf numFmtId="182" fontId="51" fillId="9" borderId="66" applyAlignment="1" pivotButton="0" quotePrefix="0" xfId="5">
      <alignment horizontal="right"/>
    </xf>
    <xf numFmtId="182" fontId="41" fillId="12" borderId="55" applyAlignment="1" pivotButton="0" quotePrefix="0" xfId="5">
      <alignment horizontal="right"/>
    </xf>
    <xf numFmtId="182" fontId="41" fillId="12" borderId="67" applyAlignment="1" pivotButton="0" quotePrefix="0" xfId="5">
      <alignment horizontal="right"/>
    </xf>
    <xf numFmtId="182" fontId="41" fillId="12" borderId="13" applyAlignment="1" pivotButton="0" quotePrefix="0" xfId="5">
      <alignment horizontal="right"/>
    </xf>
    <xf numFmtId="182" fontId="41" fillId="12" borderId="68" applyAlignment="1" pivotButton="0" quotePrefix="0" xfId="5">
      <alignment horizontal="right"/>
    </xf>
    <xf numFmtId="182" fontId="41" fillId="10" borderId="67" applyAlignment="1" pivotButton="0" quotePrefix="0" xfId="5">
      <alignment horizontal="right"/>
    </xf>
    <xf numFmtId="182" fontId="41" fillId="10" borderId="13" applyAlignment="1" pivotButton="0" quotePrefix="0" xfId="5">
      <alignment horizontal="right"/>
    </xf>
    <xf numFmtId="182" fontId="41" fillId="10" borderId="68" applyAlignment="1" pivotButton="0" quotePrefix="0" xfId="5">
      <alignment horizontal="right"/>
    </xf>
    <xf numFmtId="182" fontId="90" fillId="0" borderId="16" pivotButton="0" quotePrefix="0" xfId="3"/>
    <xf numFmtId="168" fontId="95" fillId="0" borderId="16" pivotButton="0" quotePrefix="0" xfId="3"/>
    <xf numFmtId="178" fontId="97" fillId="0" borderId="16" pivotButton="0" quotePrefix="0" xfId="3"/>
    <xf numFmtId="182" fontId="97" fillId="0" borderId="16" pivotButton="0" quotePrefix="0" xfId="3"/>
    <xf numFmtId="182" fontId="80" fillId="0" borderId="11" pivotButton="0" quotePrefix="0" xfId="3"/>
    <xf numFmtId="0" fontId="91" fillId="0" borderId="0" pivotButton="0" quotePrefix="0" xfId="0"/>
    <xf numFmtId="180" fontId="53" fillId="0" borderId="16" applyAlignment="1" pivotButton="0" quotePrefix="0" xfId="3">
      <alignment horizontal="center" vertical="center"/>
    </xf>
    <xf numFmtId="181" fontId="41" fillId="0" borderId="16" applyAlignment="1" pivotButton="0" quotePrefix="0" xfId="6">
      <alignment horizontal="center" vertical="center"/>
    </xf>
    <xf numFmtId="181" fontId="30" fillId="0" borderId="16" applyAlignment="1" pivotButton="0" quotePrefix="0" xfId="3">
      <alignment horizontal="center" vertical="center"/>
    </xf>
    <xf numFmtId="182" fontId="37" fillId="0" borderId="16" applyAlignment="1" pivotButton="0" quotePrefix="0" xfId="8">
      <alignment horizontal="right" vertical="center"/>
    </xf>
    <xf numFmtId="182" fontId="41" fillId="0" borderId="16" applyAlignment="1" pivotButton="0" quotePrefix="0" xfId="8">
      <alignment horizontal="right" vertical="center"/>
    </xf>
    <xf numFmtId="182" fontId="56" fillId="0" borderId="16" applyAlignment="1" pivotButton="0" quotePrefix="0" xfId="3">
      <alignment vertical="center"/>
    </xf>
    <xf numFmtId="182" fontId="53" fillId="0" borderId="16" applyAlignment="1" pivotButton="0" quotePrefix="0" xfId="8">
      <alignment horizontal="right" vertical="center"/>
    </xf>
    <xf numFmtId="182" fontId="30" fillId="0" borderId="11" applyAlignment="1" pivotButton="0" quotePrefix="0" xfId="3">
      <alignment horizontal="right" vertical="center"/>
    </xf>
    <xf numFmtId="182" fontId="30" fillId="0" borderId="13" applyAlignment="1" pivotButton="0" quotePrefix="0" xfId="3">
      <alignment horizontal="right" vertical="center"/>
    </xf>
    <xf numFmtId="183" fontId="41" fillId="0" borderId="16" applyAlignment="1" pivotButton="0" quotePrefix="0" xfId="8">
      <alignment vertical="center"/>
    </xf>
    <xf numFmtId="182" fontId="37" fillId="0" borderId="11" applyAlignment="1" pivotButton="0" quotePrefix="0" xfId="8">
      <alignment vertical="center"/>
    </xf>
    <xf numFmtId="182" fontId="37" fillId="0" borderId="13" applyAlignment="1" pivotButton="0" quotePrefix="0" xfId="8">
      <alignment vertical="center"/>
    </xf>
    <xf numFmtId="184" fontId="37" fillId="0" borderId="11" applyAlignment="1" pivotButton="0" quotePrefix="0" xfId="8">
      <alignment horizontal="right" vertical="center"/>
    </xf>
    <xf numFmtId="184" fontId="37" fillId="0" borderId="13" applyAlignment="1" pivotButton="0" quotePrefix="0" xfId="8">
      <alignment horizontal="right" vertical="center"/>
    </xf>
  </cellXfs>
  <cellStyles count="9">
    <cellStyle name="Normal" xfId="0" builtinId="0"/>
    <cellStyle name="Hyperlink" xfId="1" builtinId="8"/>
    <cellStyle name="Percent" xfId="2" builtinId="5"/>
    <cellStyle name="Normal 2" xfId="3"/>
    <cellStyle name="Hyperlink 2" xfId="4"/>
    <cellStyle name="Normal 2 2" xfId="5"/>
    <cellStyle name="Percent 2" xfId="6"/>
    <cellStyle name="Normal 3" xfId="7"/>
    <cellStyle name="Currency 2" xf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FCC"/>
      <rgbColor rgb="FFCEF5F5"/>
      <rgbColor rgb="FF660066"/>
      <rgbColor rgb="FFFF8080"/>
      <rgbColor rgb="FF0066CC"/>
      <rgbColor rgb="FFBCBFC6"/>
      <rgbColor rgb="FF000080"/>
      <rgbColor rgb="FFFF00FF"/>
      <rgbColor rgb="FFFFFF00"/>
      <rgbColor rgb="FF00FFFF"/>
      <rgbColor rgb="FF800080"/>
      <rgbColor rgb="FF800000"/>
      <rgbColor rgb="FF008080"/>
      <rgbColor rgb="FF0000FF"/>
      <rgbColor rgb="FF00CCFF"/>
      <rgbColor rgb="FFD3EFEF"/>
      <rgbColor rgb="FFDCE8F4"/>
      <rgbColor rgb="FFF2F2F2"/>
      <rgbColor rgb="FF99CCFF"/>
      <rgbColor rgb="FFFF99CC"/>
      <rgbColor rgb="FFCC99FF"/>
      <rgbColor rgb="FFF2F2F4"/>
      <rgbColor rgb="FF3366FF"/>
      <rgbColor rgb="FF33CCCC"/>
      <rgbColor rgb="FF99CC00"/>
      <rgbColor rgb="FFFFCC00"/>
      <rgbColor rgb="FFFF9900"/>
      <rgbColor rgb="FFFF6600"/>
      <rgbColor rgb="FF525766"/>
      <rgbColor rgb="FFA6A6A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externalLink" Target="/xl/externalLinks/externalLink1.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NWC!$N$11</c:f>
              <c:strCache>
                <c:ptCount val="1"/>
                <c:pt idx="0">
                  <c:v>Accounts receivable, net</c:v>
                </c:pt>
              </c:strCache>
            </c:strRef>
          </c:tx>
          <c:spPr>
            <a:solidFill>
              <a:srgbClr val="00206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NWC!$R$11:$U$11</c:f>
              <c:numCache>
                <c:formatCode>_([$$]#,##0_)_%;\([$$]#,##0\)_%;_("–"_)_%;_(@_)_%</c:formatCode>
                <c:ptCount val="4"/>
                <c:pt idx="0">
                  <c:v>39</c:v>
                </c:pt>
                <c:pt idx="1">
                  <c:v>-7</c:v>
                </c:pt>
                <c:pt idx="2">
                  <c:v>-54</c:v>
                </c:pt>
                <c:pt idx="3">
                  <c:v>326</c:v>
                </c:pt>
              </c:numCache>
            </c:numRef>
          </c:val>
          <c:extLst>
            <c:ext xmlns:c16="http://schemas.microsoft.com/office/drawing/2014/chart" uri="{C3380CC4-5D6E-409C-BE32-E72D297353CC}">
              <c16:uniqueId val="{00000000-3E44-4937-A420-81A47A4406F5}"/>
            </c:ext>
          </c:extLst>
        </c:ser>
        <c:ser>
          <c:idx val="1"/>
          <c:order val="1"/>
          <c:tx>
            <c:strRef>
              <c:f>NWC!$N$12</c:f>
              <c:strCache>
                <c:ptCount val="1"/>
                <c:pt idx="0">
                  <c:v>Billed finance receivables</c:v>
                </c:pt>
              </c:strCache>
            </c:strRef>
          </c:tx>
          <c:spPr>
            <a:solidFill>
              <a:srgbClr val="BFBFBF"/>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NWC!$R$12:$U$12</c:f>
              <c:numCache>
                <c:formatCode>_(#,##0_)_%;\(#,##0\)_%;_("–"_)_%;_(@_)_%</c:formatCode>
                <c:ptCount val="4"/>
                <c:pt idx="0">
                  <c:v>-1</c:v>
                </c:pt>
                <c:pt idx="1">
                  <c:v>-22</c:v>
                </c:pt>
                <c:pt idx="2">
                  <c:v>-23</c:v>
                </c:pt>
                <c:pt idx="3">
                  <c:v>-2</c:v>
                </c:pt>
              </c:numCache>
            </c:numRef>
          </c:val>
          <c:extLst>
            <c:ext xmlns:c16="http://schemas.microsoft.com/office/drawing/2014/chart" uri="{C3380CC4-5D6E-409C-BE32-E72D297353CC}">
              <c16:uniqueId val="{00000001-3E44-4937-A420-81A47A4406F5}"/>
            </c:ext>
          </c:extLst>
        </c:ser>
        <c:ser>
          <c:idx val="2"/>
          <c:order val="2"/>
          <c:tx>
            <c:strRef>
              <c:f>NWC!$N$13</c:f>
              <c:strCache>
                <c:ptCount val="1"/>
                <c:pt idx="0">
                  <c:v>Inventories</c:v>
                </c:pt>
              </c:strCache>
            </c:strRef>
          </c:tx>
          <c:spPr>
            <a:solidFill>
              <a:srgbClr val="9DC3E6"/>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NWC!$R$13:$U$13</c:f>
              <c:numCache>
                <c:formatCode>_(#,##0_)_%;\(#,##0\)_%;_("–"_)_%;_(@_)_%</c:formatCode>
                <c:ptCount val="4"/>
                <c:pt idx="0">
                  <c:v>101</c:v>
                </c:pt>
                <c:pt idx="1">
                  <c:v>-136</c:v>
                </c:pt>
                <c:pt idx="2">
                  <c:v>34</c:v>
                </c:pt>
                <c:pt idx="3">
                  <c:v>321</c:v>
                </c:pt>
              </c:numCache>
            </c:numRef>
          </c:val>
          <c:extLst>
            <c:ext xmlns:c16="http://schemas.microsoft.com/office/drawing/2014/chart" uri="{C3380CC4-5D6E-409C-BE32-E72D297353CC}">
              <c16:uniqueId val="{00000002-3E44-4937-A420-81A47A4406F5}"/>
            </c:ext>
          </c:extLst>
        </c:ser>
        <c:ser>
          <c:idx val="3"/>
          <c:order val="3"/>
          <c:tx>
            <c:strRef>
              <c:f>NWC!$N$14</c:f>
              <c:strCache>
                <c:ptCount val="1"/>
                <c:pt idx="0">
                  <c:v>Other current assets</c:v>
                </c:pt>
              </c:strCache>
            </c:strRef>
          </c:tx>
          <c:spPr>
            <a:solidFill>
              <a:srgbClr val="80808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NWC!$R$14:$U$14</c:f>
              <c:numCache>
                <c:formatCode>_(#,##0_)_%;\(#,##0\)_%;_("–"_)_%;_(@_)_%</c:formatCode>
                <c:ptCount val="4"/>
                <c:pt idx="0">
                  <c:v>43</c:v>
                </c:pt>
                <c:pt idx="1">
                  <c:v>-20</c:v>
                </c:pt>
                <c:pt idx="2">
                  <c:v>-22</c:v>
                </c:pt>
                <c:pt idx="3">
                  <c:v>150</c:v>
                </c:pt>
              </c:numCache>
            </c:numRef>
          </c:val>
          <c:extLst>
            <c:ext xmlns:c16="http://schemas.microsoft.com/office/drawing/2014/chart" uri="{C3380CC4-5D6E-409C-BE32-E72D297353CC}">
              <c16:uniqueId val="{00000003-3E44-4937-A420-81A47A4406F5}"/>
            </c:ext>
          </c:extLst>
        </c:ser>
        <c:ser>
          <c:idx val="4"/>
          <c:order val="4"/>
          <c:tx>
            <c:strRef>
              <c:f>NWC!$N$15</c:f>
              <c:strCache>
                <c:ptCount val="1"/>
                <c:pt idx="0">
                  <c:v>Accounts payable</c:v>
                </c:pt>
              </c:strCache>
            </c:strRef>
          </c:tx>
          <c:spPr>
            <a:solidFill>
              <a:srgbClr val="C0000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NWC!$R$15:$U$15</c:f>
              <c:numCache>
                <c:formatCode>_(#,##0_)_%;\(#,##0\)_%;_("–"_)_%;_(@_)_%</c:formatCode>
                <c:ptCount val="4"/>
                <c:pt idx="0">
                  <c:v>-262</c:v>
                </c:pt>
                <c:pt idx="1">
                  <c:v>287</c:v>
                </c:pt>
                <c:pt idx="2">
                  <c:v>21</c:v>
                </c:pt>
                <c:pt idx="3">
                  <c:v>-475</c:v>
                </c:pt>
              </c:numCache>
            </c:numRef>
          </c:val>
          <c:extLst>
            <c:ext xmlns:c16="http://schemas.microsoft.com/office/drawing/2014/chart" uri="{C3380CC4-5D6E-409C-BE32-E72D297353CC}">
              <c16:uniqueId val="{00000004-3E44-4937-A420-81A47A4406F5}"/>
            </c:ext>
          </c:extLst>
        </c:ser>
        <c:ser>
          <c:idx val="5"/>
          <c:order val="5"/>
          <c:tx>
            <c:strRef>
              <c:f>NWC!$N$16</c:f>
              <c:strCache>
                <c:ptCount val="1"/>
                <c:pt idx="0">
                  <c:v>Accrued compensation &amp; benefits</c:v>
                </c:pt>
              </c:strCache>
            </c:strRef>
          </c:tx>
          <c:spPr>
            <a:solidFill>
              <a:srgbClr val="2F5597"/>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NWC!$R$16:$U$16</c:f>
              <c:numCache>
                <c:formatCode>_(#,##0_)_%;\(#,##0\)_%;_("–"_)_%;_(@_)_%</c:formatCode>
                <c:ptCount val="4"/>
                <c:pt idx="0">
                  <c:v>-19</c:v>
                </c:pt>
                <c:pt idx="1">
                  <c:v>-48</c:v>
                </c:pt>
                <c:pt idx="2">
                  <c:v>79</c:v>
                </c:pt>
                <c:pt idx="3">
                  <c:v>-8</c:v>
                </c:pt>
              </c:numCache>
            </c:numRef>
          </c:val>
          <c:extLst>
            <c:ext xmlns:c16="http://schemas.microsoft.com/office/drawing/2014/chart" uri="{C3380CC4-5D6E-409C-BE32-E72D297353CC}">
              <c16:uniqueId val="{00000005-3E44-4937-A420-81A47A4406F5}"/>
            </c:ext>
          </c:extLst>
        </c:ser>
        <c:ser>
          <c:idx val="6"/>
          <c:order val="6"/>
          <c:tx>
            <c:strRef>
              <c:f>NWC!$N$17</c:f>
              <c:strCache>
                <c:ptCount val="1"/>
                <c:pt idx="0">
                  <c:v>Accrued exp. &amp; other CL</c:v>
                </c:pt>
              </c:strCache>
            </c:strRef>
          </c:tx>
          <c:spPr>
            <a:solidFill>
              <a:srgbClr val="40404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NWC!$R$17:$U$17</c:f>
              <c:numCache>
                <c:formatCode>_(#,##0_)_%;\(#,##0\)_%;_("–"_)_%;_(@_)_%</c:formatCode>
                <c:ptCount val="4"/>
                <c:pt idx="0">
                  <c:v>-10</c:v>
                </c:pt>
                <c:pt idx="1">
                  <c:v>19</c:v>
                </c:pt>
                <c:pt idx="2">
                  <c:v>78</c:v>
                </c:pt>
                <c:pt idx="3">
                  <c:v>-474</c:v>
                </c:pt>
              </c:numCache>
            </c:numRef>
          </c:val>
          <c:extLst>
            <c:ext xmlns:c16="http://schemas.microsoft.com/office/drawing/2014/chart" uri="{C3380CC4-5D6E-409C-BE32-E72D297353CC}">
              <c16:uniqueId val="{00000006-3E44-4937-A420-81A47A4406F5}"/>
            </c:ext>
          </c:extLst>
        </c:ser>
        <c:dLbls>
          <c:showLegendKey val="0"/>
          <c:showVal val="1"/>
          <c:showCatName val="0"/>
          <c:showSerName val="0"/>
          <c:showPercent val="0"/>
          <c:showBubbleSize val="0"/>
        </c:dLbls>
        <c:gapWidth val="150"/>
        <c:overlap val="100"/>
        <c:axId val="100000000"/>
        <c:axId val="100000001"/>
      </c:barChart>
      <c:lineChart>
        <c:grouping val="standard"/>
        <c:varyColors val="0"/>
        <c:ser>
          <c:idx val="7"/>
          <c:order val="7"/>
          <c:tx>
            <c:strRef>
              <c:f>NWC!$N$18</c:f>
              <c:strCache>
                <c:ptCount val="1"/>
                <c:pt idx="0">
                  <c:v>Change in NWC</c:v>
                </c:pt>
              </c:strCache>
            </c:strRef>
          </c:tx>
          <c:spPr>
            <a:ln w="28575" cap="rnd">
              <a:solidFill>
                <a:srgbClr val="000000"/>
              </a:solidFill>
              <a:round/>
            </a:ln>
            <a:effectLst/>
          </c:spPr>
          <c:marker>
            <c:symbol val="diamond"/>
            <c:size val="5"/>
            <c:spPr>
              <a:solidFill>
                <a:srgbClr val="F2D544"/>
              </a:solidFill>
              <a:ln w="9525">
                <a:solidFill>
                  <a:srgbClr val="C9A227"/>
                </a:solidFill>
              </a:ln>
              <a:effectLst/>
            </c:spPr>
          </c:marker>
          <c:dLbls>
            <c:numFmt formatCode="&quot;$&quot;#,##0_);\(&quot;$&quot;#,##0\)" sourceLinked="0"/>
            <c:spPr>
              <a:solidFill>
                <a:srgbClr val="F2D544"/>
              </a:solidFill>
              <a:ln>
                <a:solidFill>
                  <a:srgbClr val="C9A227"/>
                </a:solidFill>
              </a:ln>
              <a:effectLst/>
            </c:spPr>
            <c:txPr>
              <a:bodyPr rot="0" spcFirstLastPara="1" vertOverflow="ellipsis" vert="horz" wrap="square" lIns="38100" tIns="19050" rIns="38100" bIns="19050" anchor="ctr" anchorCtr="1"/>
              <a:lstStyle/>
              <a:p>
                <a:pPr>
                  <a:defRPr sz="900" b="0" i="0" u="none" strike="noStrike" kern="1200" baseline="0">
                    <a:solidFill>
                      <a:srgbClr val="000000"/>
                    </a:solidFill>
                    <a:latin typeface="Garamond"/>
                    <a:ea typeface="+mn-ea"/>
                    <a:cs typeface="Garamond"/>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NWC!$R$18:$U$18</c:f>
              <c:numCache>
                <c:formatCode>_([$$]#,##0_)_%;\([$$]#,##0\)_%;_("–"_)_%;_(@_)_%</c:formatCode>
                <c:ptCount val="4"/>
                <c:pt idx="0">
                  <c:v>-109</c:v>
                </c:pt>
                <c:pt idx="1">
                  <c:v>73</c:v>
                </c:pt>
                <c:pt idx="2">
                  <c:v>113</c:v>
                </c:pt>
                <c:pt idx="3">
                  <c:v>-162</c:v>
                </c:pt>
              </c:numCache>
            </c:numRef>
          </c:val>
          <c:smooth val="0"/>
          <c:extLst>
            <c:ext xmlns:c16="http://schemas.microsoft.com/office/drawing/2014/chart" uri="{C3380CC4-5D6E-409C-BE32-E72D297353CC}">
              <c16:uniqueId val="{00000007-3E44-4937-A420-81A47A4406F5}"/>
            </c:ext>
          </c:extLst>
        </c:ser>
        <c:dLbls>
          <c:showLegendKey val="0"/>
          <c:showVal val="0"/>
          <c:showCatName val="0"/>
          <c:showSerName val="0"/>
          <c:showPercent val="0"/>
          <c:showBubbleSize val="0"/>
        </c:dLbls>
        <c:marker val="1"/>
        <c:smooth val="0"/>
        <c:axId val="100000003"/>
        <c:axId val="100000002"/>
      </c:lineChart>
      <c:catAx>
        <c:axId val="100000000"/>
        <c:scaling>
          <c:orientation val="minMax"/>
        </c:scaling>
        <c:delete val="0"/>
        <c:axPos val="b"/>
        <c:numFmt formatCode="General" sourceLinked="1"/>
        <c:majorTickMark val="none"/>
        <c:minorTickMark val="none"/>
        <c:tickLblPos val="low"/>
        <c:spPr>
          <a:noFill/>
          <a:ln w="9525" cap="flat" cmpd="sng" algn="ctr">
            <a:solidFill>
              <a:srgbClr val="BFBFBF"/>
            </a:solidFill>
            <a:round/>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crossAx val="100000001"/>
        <c:crosses val="autoZero"/>
        <c:auto val="1"/>
        <c:lblAlgn val="ctr"/>
        <c:lblOffset val="100"/>
        <c:noMultiLvlLbl val="0"/>
      </c:catAx>
      <c:valAx>
        <c:axId val="100000001"/>
        <c:scaling>
          <c:orientation val="minMax"/>
        </c:scaling>
        <c:delete val="1"/>
        <c:axPos val="l"/>
        <c:majorGridlines>
          <c:spPr>
            <a:ln w="9525" cap="flat" cmpd="sng" algn="ctr">
              <a:noFill/>
              <a:round/>
            </a:ln>
            <a:effectLst/>
          </c:spPr>
        </c:majorGridlines>
        <c:numFmt formatCode="_([$$]#,##0_)_%;\([$$]#,##0\)_%;_(&quot;–&quot;_)_%;_(@_)_%" sourceLinked="1"/>
        <c:majorTickMark val="none"/>
        <c:minorTickMark val="none"/>
        <c:tickLblPos val="none"/>
        <c:crossAx val="100000000"/>
        <c:crosses val="autoZero"/>
        <c:crossBetween val="between"/>
      </c:valAx>
      <c:valAx>
        <c:axId val="100000002"/>
        <c:scaling>
          <c:orientation val="minMax"/>
        </c:scaling>
        <c:delete val="0"/>
        <c:axPos val="r"/>
        <c:majorGridlines>
          <c:spPr>
            <a:ln w="9525" cap="flat" cmpd="sng" algn="ctr">
              <a:noFill/>
              <a:round/>
            </a:ln>
            <a:effectLst/>
          </c:spPr>
        </c:majorGridlines>
        <c:numFmt formatCode="_([$$]#,##0_)_%;\([$$]#,##0\)_%;_(&quot;–&quot;_)_%;_(@_)_%" sourceLinked="1"/>
        <c:majorTickMark val="none"/>
        <c:minorTickMark val="none"/>
        <c:tickLblPos val="nextTo"/>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crossAx val="100000003"/>
        <c:crosses val="max"/>
        <c:crossBetween val="between"/>
      </c:valAx>
      <c:catAx>
        <c:axId val="100000003"/>
        <c:scaling>
          <c:orientation val="minMax"/>
        </c:scaling>
        <c:delete val="0"/>
        <c:axPos val="t"/>
        <c:numFmt formatCode="General" sourceLinked="1"/>
        <c:majorTickMark val="none"/>
        <c:minorTickMark val="none"/>
        <c:tickLblPos val="none"/>
        <c:spPr>
          <a:noFill/>
          <a:ln>
            <a:noFill/>
          </a:ln>
          <a:effectLst/>
        </c:spPr>
        <c:crossAx val="100000002"/>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00">
          <a:solidFill>
            <a:srgbClr val="000000"/>
          </a:solidFill>
          <a:latin typeface="Garamond"/>
          <a:cs typeface="Garamond"/>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stacked"/>
        <c:varyColors val="0"/>
        <c:ser>
          <c:idx val="0"/>
          <c:order val="0"/>
          <c:tx>
            <c:strRef>
              <c:f>'Maturity Schedule'!$C$9</c:f>
              <c:strCache>
                <c:ptCount val="1"/>
                <c:pt idx="0">
                  <c:v>Cash &amp; Equivalents</c:v>
                </c:pt>
              </c:strCache>
            </c:strRef>
          </c:tx>
          <c:spPr>
            <a:solidFill>
              <a:srgbClr val="BFBFBF"/>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Schedule'!$D$9:$J$9</c:f>
              <c:numCache>
                <c:formatCode>_([$$]#,##0_)_%;\([$$]#,##0\)_%;_("–"_)_%;_(@_)_%</c:formatCode>
                <c:ptCount val="7"/>
                <c:pt idx="0">
                  <c:v>495</c:v>
                </c:pt>
              </c:numCache>
            </c:numRef>
          </c:val>
          <c:extLst>
            <c:ext xmlns:c16="http://schemas.microsoft.com/office/drawing/2014/chart" uri="{C3380CC4-5D6E-409C-BE32-E72D297353CC}">
              <c16:uniqueId val="{00000000-B212-4375-91D7-BCC07D9759D5}"/>
            </c:ext>
          </c:extLst>
        </c:ser>
        <c:ser>
          <c:idx val="1"/>
          <c:order val="1"/>
          <c:tx>
            <c:strRef>
              <c:f>'Maturity Schedule'!$C$10</c:f>
              <c:strCache>
                <c:ptCount val="1"/>
                <c:pt idx="0">
                  <c:v>ABL Availability</c:v>
                </c:pt>
              </c:strCache>
            </c:strRef>
          </c:tx>
          <c:spPr>
            <a:noFill/>
            <a:ln w="25400">
              <a:solidFill>
                <a:srgbClr val="BFBFBF"/>
              </a:solidFill>
              <a:prstDash val="dash"/>
            </a:ln>
          </c:spPr>
          <c:invertIfNegative val="0"/>
          <c:dLbls>
            <c:spPr>
              <a:noFill/>
              <a:ln>
                <a:noFill/>
              </a:ln>
            </c:spPr>
            <c:txPr>
              <a:bodyPr/>
              <a:lstStyle/>
              <a:p>
                <a:pPr>
                  <a:defRPr sz="900" b="0">
                    <a:solidFill>
                      <a:srgbClr val="000000"/>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Schedule'!$D$10:$J$10</c:f>
              <c:numCache>
                <c:formatCode>_(#,##0_)_%;\(#,##0\)_%;_("–"_)_%;_(@_)_%</c:formatCode>
                <c:ptCount val="7"/>
                <c:pt idx="0">
                  <c:v>276</c:v>
                </c:pt>
              </c:numCache>
            </c:numRef>
          </c:val>
          <c:extLst>
            <c:ext xmlns:c16="http://schemas.microsoft.com/office/drawing/2014/chart" uri="{C3380CC4-5D6E-409C-BE32-E72D297353CC}">
              <c16:uniqueId val="{00000001-B212-4375-91D7-BCC07D9759D5}"/>
            </c:ext>
          </c:extLst>
        </c:ser>
        <c:ser>
          <c:idx val="2"/>
          <c:order val="2"/>
          <c:tx>
            <c:strRef>
              <c:f>'Maturity Schedule'!$C$11</c:f>
              <c:strCache>
                <c:ptCount val="1"/>
                <c:pt idx="0">
                  <c:v>Secured Term Loan</c:v>
                </c:pt>
              </c:strCache>
            </c:strRef>
          </c:tx>
          <c:spPr>
            <a:solidFill>
              <a:srgbClr val="40404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Schedule'!$D$11:$J$11</c:f>
              <c:numCache>
                <c:formatCode>_(#,##0_)_%;\(#,##0\)_%;_("–"_)_%;_(@_)_%</c:formatCode>
                <c:ptCount val="7"/>
                <c:pt idx="1">
                  <c:v>0</c:v>
                </c:pt>
                <c:pt idx="2">
                  <c:v>0</c:v>
                </c:pt>
                <c:pt idx="3">
                  <c:v>0</c:v>
                </c:pt>
                <c:pt idx="4">
                  <c:v>405</c:v>
                </c:pt>
                <c:pt idx="5">
                  <c:v>0</c:v>
                </c:pt>
                <c:pt idx="6">
                  <c:v>0</c:v>
                </c:pt>
              </c:numCache>
            </c:numRef>
          </c:val>
          <c:extLst>
            <c:ext xmlns:c16="http://schemas.microsoft.com/office/drawing/2014/chart" uri="{C3380CC4-5D6E-409C-BE32-E72D297353CC}">
              <c16:uniqueId val="{00000002-B212-4375-91D7-BCC07D9759D5}"/>
            </c:ext>
          </c:extLst>
        </c:ser>
        <c:ser>
          <c:idx val="3"/>
          <c:order val="3"/>
          <c:tx>
            <c:strRef>
              <c:f>'Maturity Schedule'!$C$12</c:f>
              <c:strCache>
                <c:ptCount val="1"/>
                <c:pt idx="0">
                  <c:v>1L Term Loan</c:v>
                </c:pt>
              </c:strCache>
            </c:strRef>
          </c:tx>
          <c:spPr>
            <a:solidFill>
              <a:srgbClr val="2F5597"/>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Schedule'!$D$12:$J$12</c:f>
              <c:numCache>
                <c:formatCode>_(#,##0_)_%;\(#,##0\)_%;_("–"_)_%;_(@_)_%</c:formatCode>
                <c:ptCount val="7"/>
                <c:pt idx="1">
                  <c:v>0</c:v>
                </c:pt>
                <c:pt idx="2">
                  <c:v>705</c:v>
                </c:pt>
                <c:pt idx="3">
                  <c:v>0</c:v>
                </c:pt>
                <c:pt idx="4">
                  <c:v>0</c:v>
                </c:pt>
                <c:pt idx="5">
                  <c:v>0</c:v>
                </c:pt>
                <c:pt idx="6">
                  <c:v>0</c:v>
                </c:pt>
              </c:numCache>
            </c:numRef>
          </c:val>
          <c:extLst>
            <c:ext xmlns:c16="http://schemas.microsoft.com/office/drawing/2014/chart" uri="{C3380CC4-5D6E-409C-BE32-E72D297353CC}">
              <c16:uniqueId val="{00000003-B212-4375-91D7-BCC07D9759D5}"/>
            </c:ext>
          </c:extLst>
        </c:ser>
        <c:ser>
          <c:idx val="4"/>
          <c:order val="4"/>
          <c:tx>
            <c:strRef>
              <c:f>'Maturity Schedule'!$C$13</c:f>
              <c:strCache>
                <c:ptCount val="1"/>
                <c:pt idx="0">
                  <c:v>1L Notes</c:v>
                </c:pt>
              </c:strCache>
            </c:strRef>
          </c:tx>
          <c:spPr>
            <a:solidFill>
              <a:srgbClr val="8FAADC"/>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Schedule'!$D$13:$J$13</c:f>
              <c:numCache>
                <c:formatCode>_(#,##0_)_%;\(#,##0\)_%;_("–"_)_%;_(@_)_%</c:formatCode>
                <c:ptCount val="7"/>
                <c:pt idx="1">
                  <c:v>0</c:v>
                </c:pt>
                <c:pt idx="2">
                  <c:v>0</c:v>
                </c:pt>
                <c:pt idx="3">
                  <c:v>400</c:v>
                </c:pt>
                <c:pt idx="4">
                  <c:v>0</c:v>
                </c:pt>
                <c:pt idx="5">
                  <c:v>0</c:v>
                </c:pt>
                <c:pt idx="6">
                  <c:v>0</c:v>
                </c:pt>
              </c:numCache>
            </c:numRef>
          </c:val>
          <c:extLst>
            <c:ext xmlns:c16="http://schemas.microsoft.com/office/drawing/2014/chart" uri="{C3380CC4-5D6E-409C-BE32-E72D297353CC}">
              <c16:uniqueId val="{00000004-B212-4375-91D7-BCC07D9759D5}"/>
            </c:ext>
          </c:extLst>
        </c:ser>
        <c:ser>
          <c:idx val="5"/>
          <c:order val="5"/>
          <c:tx>
            <c:strRef>
              <c:f>'Maturity Schedule'!$C$14</c:f>
              <c:strCache>
                <c:ptCount val="1"/>
                <c:pt idx="0">
                  <c:v>2L Notes</c:v>
                </c:pt>
              </c:strCache>
            </c:strRef>
          </c:tx>
          <c:spPr>
            <a:solidFill>
              <a:srgbClr val="80808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Schedule'!$D$14:$J$14</c:f>
              <c:numCache>
                <c:formatCode>_(#,##0_)_%;\(#,##0\)_%;_("–"_)_%;_(@_)_%</c:formatCode>
                <c:ptCount val="7"/>
                <c:pt idx="1">
                  <c:v>0</c:v>
                </c:pt>
                <c:pt idx="2">
                  <c:v>0</c:v>
                </c:pt>
                <c:pt idx="3">
                  <c:v>0</c:v>
                </c:pt>
                <c:pt idx="4">
                  <c:v>494</c:v>
                </c:pt>
                <c:pt idx="5">
                  <c:v>0</c:v>
                </c:pt>
                <c:pt idx="6">
                  <c:v>0</c:v>
                </c:pt>
              </c:numCache>
            </c:numRef>
          </c:val>
          <c:extLst>
            <c:ext xmlns:c16="http://schemas.microsoft.com/office/drawing/2014/chart" uri="{C3380CC4-5D6E-409C-BE32-E72D297353CC}">
              <c16:uniqueId val="{00000005-B212-4375-91D7-BCC07D9759D5}"/>
            </c:ext>
          </c:extLst>
        </c:ser>
        <c:ser>
          <c:idx val="6"/>
          <c:order val="6"/>
          <c:tx>
            <c:strRef>
              <c:f>'Maturity Schedule'!$C$15</c:f>
              <c:strCache>
                <c:ptCount val="1"/>
                <c:pt idx="0">
                  <c:v>Senior Unsecured Notes</c:v>
                </c:pt>
              </c:strCache>
            </c:strRef>
          </c:tx>
          <c:spPr>
            <a:solidFill>
              <a:srgbClr val="00206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Schedule'!$D$15:$J$15</c:f>
              <c:numCache>
                <c:formatCode>_(#,##0_)_%;\(#,##0\)_%;_("–"_)_%;_(@_)_%</c:formatCode>
                <c:ptCount val="7"/>
                <c:pt idx="1">
                  <c:v>556</c:v>
                </c:pt>
                <c:pt idx="2">
                  <c:v>500</c:v>
                </c:pt>
                <c:pt idx="3">
                  <c:v>650</c:v>
                </c:pt>
                <c:pt idx="4">
                  <c:v>0</c:v>
                </c:pt>
                <c:pt idx="5">
                  <c:v>250</c:v>
                </c:pt>
                <c:pt idx="6">
                  <c:v>350</c:v>
                </c:pt>
              </c:numCache>
            </c:numRef>
          </c:val>
          <c:extLst>
            <c:ext xmlns:c16="http://schemas.microsoft.com/office/drawing/2014/chart" uri="{C3380CC4-5D6E-409C-BE32-E72D297353CC}">
              <c16:uniqueId val="{00000006-B212-4375-91D7-BCC07D9759D5}"/>
            </c:ext>
          </c:extLst>
        </c:ser>
        <c:ser>
          <c:idx val="7"/>
          <c:order val="7"/>
          <c:tx>
            <c:strRef>
              <c:f>'Maturity Schedule'!$C$16</c:f>
              <c:strCache>
                <c:ptCount val="1"/>
                <c:pt idx="0">
                  <c:v>Total</c:v>
                </c:pt>
              </c:strCache>
            </c:strRef>
          </c:tx>
          <c:spPr>
            <a:noFill/>
            <a:ln>
              <a:noFill/>
            </a:ln>
          </c:spPr>
          <c:invertIfNegative val="0"/>
          <c:dLbls>
            <c:spPr>
              <a:noFill/>
              <a:ln>
                <a:noFill/>
              </a:ln>
            </c:spPr>
            <c:txPr>
              <a:bodyPr/>
              <a:lstStyle/>
              <a:p>
                <a:pPr>
                  <a:defRPr sz="900" b="0">
                    <a:solidFill>
                      <a:srgbClr val="000000"/>
                    </a:solidFill>
                    <a:latin typeface="Garamond"/>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Schedule'!$D$16:$J$16</c:f>
              <c:numCache>
                <c:formatCode>_([$$]#,##0_)_%;\([$$]#,##0\)_%;_("–"_)_%;_(@_)_%</c:formatCode>
                <c:ptCount val="7"/>
                <c:pt idx="0">
                  <c:v>771</c:v>
                </c:pt>
                <c:pt idx="1">
                  <c:v>556</c:v>
                </c:pt>
                <c:pt idx="2">
                  <c:v>1205</c:v>
                </c:pt>
                <c:pt idx="3">
                  <c:v>1050</c:v>
                </c:pt>
                <c:pt idx="4">
                  <c:v>899</c:v>
                </c:pt>
                <c:pt idx="5">
                  <c:v>250</c:v>
                </c:pt>
                <c:pt idx="6">
                  <c:v>350</c:v>
                </c:pt>
              </c:numCache>
            </c:numRef>
          </c:val>
          <c:extLst>
            <c:ext xmlns:c16="http://schemas.microsoft.com/office/drawing/2014/chart" uri="{C3380CC4-5D6E-409C-BE32-E72D297353CC}">
              <c16:uniqueId val="{00000007-B212-4375-91D7-BCC07D9759D5}"/>
            </c:ext>
          </c:extLst>
        </c:ser>
        <c:dLbls>
          <c:showLegendKey val="0"/>
          <c:showVal val="0"/>
          <c:showCatName val="0"/>
          <c:showSerName val="0"/>
          <c:showPercent val="0"/>
          <c:showBubbleSize val="0"/>
        </c:dLbls>
        <c:gapWidth val="75"/>
        <c:overlap val="100"/>
        <c:axId val="111111111"/>
        <c:axId val="222222222"/>
      </c:barChart>
      <c:catAx>
        <c:axId val="111111111"/>
        <c:scaling>
          <c:orientation val="minMax"/>
        </c:scaling>
        <c:delete val="0"/>
        <c:axPos val="b"/>
        <c:numFmt formatCode="General" sourceLinked="1"/>
        <c:majorTickMark val="none"/>
        <c:minorTickMark val="none"/>
        <c:tickLblPos val="nextTo"/>
        <c:spPr>
          <a:ln w="9525">
            <a:solidFill>
              <a:srgbClr val="2F5597"/>
            </a:solidFill>
          </a:ln>
        </c:spPr>
        <c:txPr>
          <a:bodyPr/>
          <a:lstStyle/>
          <a:p>
            <a:pPr>
              <a:defRPr sz="900">
                <a:solidFill>
                  <a:srgbClr val="000000"/>
                </a:solidFill>
                <a:latin typeface="Garamond"/>
              </a:defRPr>
            </a:pPr>
            <a:endParaRPr lang="en-US"/>
          </a:p>
        </c:txPr>
        <c:crossAx val="222222222"/>
        <c:crosses val="autoZero"/>
        <c:auto val="1"/>
        <c:lblAlgn val="ctr"/>
        <c:lblOffset val="100"/>
        <c:noMultiLvlLbl val="0"/>
      </c:catAx>
      <c:valAx>
        <c:axId val="222222222"/>
        <c:scaling>
          <c:orientation val="minMax"/>
          <c:max val="1450"/>
          <c:min val="0"/>
        </c:scaling>
        <c:delete val="0"/>
        <c:axPos val="l"/>
        <c:numFmt formatCode="&quot;$&quot;#,##0" sourceLinked="0"/>
        <c:majorTickMark val="none"/>
        <c:minorTickMark val="none"/>
        <c:tickLblPos val="none"/>
        <c:spPr>
          <a:noFill/>
          <a:ln>
            <a:noFill/>
          </a:ln>
        </c:spPr>
        <c:txPr>
          <a:bodyPr/>
          <a:lstStyle/>
          <a:p>
            <a:pPr>
              <a:defRPr sz="900">
                <a:solidFill>
                  <a:srgbClr val="000000"/>
                </a:solidFill>
                <a:latin typeface="Garamond"/>
              </a:defRPr>
            </a:pPr>
            <a:endParaRPr lang="en-US"/>
          </a:p>
        </c:txPr>
        <c:crossAx val="111111111"/>
        <c:crosses val="autoZero"/>
        <c:crossBetween val="between"/>
      </c:valAx>
      <c:spPr>
        <a:noFill/>
        <a:ln>
          <a:noFill/>
        </a:ln>
      </c:spPr>
    </c:plotArea>
    <c:legend>
      <c:legendPos val="t"/>
      <c:legendEntry>
        <c:idx val="7"/>
        <c:delete val="1"/>
      </c:legendEntry>
      <c:overlay val="0"/>
      <c:txPr>
        <a:bodyPr/>
        <a:lstStyle/>
        <a:p>
          <a:pPr>
            <a:defRPr sz="900">
              <a:solidFill>
                <a:srgbClr val="000000"/>
              </a:solidFill>
              <a:latin typeface="Garamond"/>
            </a:defRPr>
          </a:pPr>
          <a:endParaRPr lang="en-US"/>
        </a:p>
      </c:txPr>
    </c:legend>
    <c:plotVisOnly val="1"/>
    <c:dispBlanksAs val="gap"/>
    <c:showDLblsOverMax val="1"/>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'$XRX Stock Performance'!$F$6</c:f>
              <c:strCache>
                <c:ptCount val="1"/>
                <c:pt idx="0">
                  <c:v>XRX Return</c:v>
                </c:pt>
              </c:strCache>
            </c:strRef>
          </c:tx>
          <c:spPr>
            <a:ln w="28575" cap="rnd">
              <a:solidFill>
                <a:schemeClr val="tx2">
                  <a:lumMod val="10000"/>
                  <a:lumOff val="90000"/>
                </a:schemeClr>
              </a:solidFill>
              <a:round/>
            </a:ln>
            <a:effectLst/>
          </c:spPr>
          <c:marker>
            <c:symbol val="none"/>
          </c:marker>
          <c:cat>
            <c:strRef>
              <c:f>'$XRX Stock Performance'!$C$7:$C$258</c:f>
              <c:strCache>
                <c:ptCount val="1"/>
                <c:pt idx="0">
                  <c:v>10/16/25</c:v>
                </c:pt>
              </c:strCache>
            </c:strRef>
          </c:cat>
          <c:val>
            <c:numRef>
              <c:f>'$XRX Stock Performance'!$F$7:$F$258</c:f>
              <c:numCache>
                <c:formatCode>##,##0.0%_);\(##,##0.0%\);"-"</c:formatCode>
                <c:ptCount val="252"/>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numCache>
            </c:numRef>
          </c:val>
          <c:smooth val="0"/>
          <c:extLst>
            <c:ext xmlns:c16="http://schemas.microsoft.com/office/drawing/2014/chart" uri="{C3380CC4-5D6E-409C-BE32-E72D297353CC}">
              <c16:uniqueId val="{00000000-8E5A-410A-A6F7-C7736751CD0C}"/>
            </c:ext>
          </c:extLst>
        </c:ser>
        <c:ser>
          <c:idx val="1"/>
          <c:order val="1"/>
          <c:tx>
            <c:strRef>
              <c:f>'$XRX Stock Performance'!$G$6</c:f>
              <c:strCache>
                <c:ptCount val="1"/>
                <c:pt idx="0">
                  <c:v>IGV Return</c:v>
                </c:pt>
              </c:strCache>
            </c:strRef>
          </c:tx>
          <c:spPr>
            <a:ln w="28575" cap="rnd">
              <a:solidFill>
                <a:srgbClr val="002060"/>
              </a:solidFill>
              <a:round/>
            </a:ln>
            <a:effectLst/>
          </c:spPr>
          <c:marker>
            <c:symbol val="none"/>
          </c:marker>
          <c:cat>
            <c:strRef>
              <c:f>'$XRX Stock Performance'!$C$7:$C$258</c:f>
              <c:strCache>
                <c:ptCount val="1"/>
                <c:pt idx="0">
                  <c:v>10/16/25</c:v>
                </c:pt>
              </c:strCache>
            </c:strRef>
          </c:cat>
          <c:val>
            <c:numRef>
              <c:f>'$XRX Stock Performance'!$G$7:$G$258</c:f>
              <c:numCache>
                <c:formatCode>##,##0.0%_);\(##,##0.0%\);"-"</c:formatCode>
                <c:ptCount val="252"/>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numCache>
            </c:numRef>
          </c:val>
          <c:smooth val="0"/>
          <c:extLst>
            <c:ext xmlns:c16="http://schemas.microsoft.com/office/drawing/2014/chart" uri="{C3380CC4-5D6E-409C-BE32-E72D297353CC}">
              <c16:uniqueId val="{00000001-8E5A-410A-A6F7-C7736751CD0C}"/>
            </c:ext>
          </c:extLst>
        </c:ser>
        <c:dLbls>
          <c:showLegendKey val="0"/>
          <c:showVal val="0"/>
          <c:showCatName val="0"/>
          <c:showSerName val="0"/>
          <c:showPercent val="0"/>
          <c:showBubbleSize val="0"/>
        </c:dLbls>
        <c:smooth val="0"/>
        <c:axId val="748109120"/>
        <c:axId val="748109600"/>
      </c:lineChart>
      <c:catAx>
        <c:axId val="748109120"/>
        <c:scaling>
          <c:orientation val="minMax"/>
        </c:scaling>
        <c:delete val="0"/>
        <c:axPos val="b"/>
        <c:numFmt formatCode="[$-409]mmm\-yy;@" sourceLinked="0"/>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crossAx val="748109600"/>
        <c:crosses val="autoZero"/>
        <c:auto val="1"/>
        <c:lblAlgn val="ctr"/>
        <c:lblOffset val="100"/>
        <c:tickLblSkip val="35"/>
        <c:tickMarkSkip val="10"/>
        <c:noMultiLvlLbl val="0"/>
      </c:catAx>
      <c:valAx>
        <c:axId val="748109600"/>
        <c:scaling>
          <c:orientation val="minMax"/>
        </c:scaling>
        <c:delete val="0"/>
        <c:axPos val="l"/>
        <c:numFmt formatCode="##,##0.0%_);\(##,##0.0%\);&quot;-&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crossAx val="7481091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sz="1000">
          <a:solidFill>
            <a:sysClr val="windowText" lastClr="000000"/>
          </a:solidFill>
          <a:latin typeface="+mj-lt"/>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'$FRSH Valuation FF'!$C$7:$C$14</c:f>
              <c:strCache>
                <c:ptCount val="8"/>
                <c:pt idx="0">
                  <c:v>EV/FCF NTM</c:v>
                </c:pt>
                <c:pt idx="1">
                  <c:v>EV/EBITDA NTM</c:v>
                </c:pt>
                <c:pt idx="2">
                  <c:v>EV/Revenue NTM</c:v>
                </c:pt>
                <c:pt idx="3">
                  <c:v>EV/EBIT NTM</c:v>
                </c:pt>
                <c:pt idx="4">
                  <c:v>DCF Gordon Growth</c:v>
                </c:pt>
                <c:pt idx="5">
                  <c:v>DCF Exit Multiple Method</c:v>
                </c:pt>
                <c:pt idx="6">
                  <c:v>Precedent Transactions</c:v>
                </c:pt>
                <c:pt idx="7">
                  <c:v>52-Week Range</c:v>
                </c:pt>
              </c:strCache>
            </c:strRef>
          </c:cat>
          <c:val>
            <c:numRef>
              <c:f>'$FRSH Valuation FF'!$F$7:$F$14</c:f>
              <c:numCache>
                <c:formatCode>_([$$]#,##0.0_)_%;\([$$]#,##0.0\)_%;_("–"_)_%;_(@_)_%</c:formatCode>
                <c:ptCount val="8"/>
                <c:pt idx="0">
                  <c:v>13.761168445216612</c:v>
                </c:pt>
                <c:pt idx="1">
                  <c:v>12.819751685008935</c:v>
                </c:pt>
                <c:pt idx="2">
                  <c:v>13.451075628470905</c:v>
                </c:pt>
                <c:pt idx="3">
                  <c:v>12.846307038798528</c:v>
                </c:pt>
                <c:pt idx="4">
                  <c:v>19.139136691638882</c:v>
                </c:pt>
                <c:pt idx="5">
                  <c:v>13.370146105126882</c:v>
                </c:pt>
                <c:pt idx="6">
                  <c:v>19.438092625725762</c:v>
                </c:pt>
                <c:pt idx="7">
                  <c:v>6.79</c:v>
                </c:pt>
              </c:numCache>
            </c:numRef>
          </c:val>
          <c:extLst>
            <c:ext xmlns:c16="http://schemas.microsoft.com/office/drawing/2014/chart" uri="{C3380CC4-5D6E-409C-BE32-E72D297353CC}">
              <c16:uniqueId val="{00000000-8554-4AAC-93FF-94AC81E08E54}"/>
            </c:ext>
          </c:extLst>
        </c:ser>
        <c:ser>
          <c:idx val="1"/>
          <c:order val="1"/>
          <c:spPr>
            <a:solidFill>
              <a:srgbClr val="002060"/>
            </a:solidFill>
            <a:ln>
              <a:noFill/>
            </a:ln>
            <a:effectLst/>
          </c:spPr>
          <c:invertIfNegative val="0"/>
          <c:dPt>
            <c:idx val="7"/>
            <c:invertIfNegative val="0"/>
            <c:bubble3D val="0"/>
            <c:spPr>
              <a:pattFill prst="dkUpDiag">
                <a:fgClr>
                  <a:srgbClr val="002060"/>
                </a:fgClr>
                <a:bgClr>
                  <a:schemeClr val="bg1"/>
                </a:bgClr>
              </a:pattFill>
              <a:ln>
                <a:noFill/>
              </a:ln>
              <a:effectLst/>
            </c:spPr>
            <c:extLst>
              <c:ext xmlns:c16="http://schemas.microsoft.com/office/drawing/2014/chart" uri="{C3380CC4-5D6E-409C-BE32-E72D297353CC}">
                <c16:uniqueId val="{00000002-8554-4AAC-93FF-94AC81E08E54}"/>
              </c:ext>
            </c:extLst>
          </c:dPt>
          <c:cat>
            <c:strRef>
              <c:f>'$FRSH Valuation FF'!$C$7:$C$14</c:f>
              <c:strCache>
                <c:ptCount val="8"/>
                <c:pt idx="0">
                  <c:v>EV/FCF NTM</c:v>
                </c:pt>
                <c:pt idx="1">
                  <c:v>EV/EBITDA NTM</c:v>
                </c:pt>
                <c:pt idx="2">
                  <c:v>EV/Revenue NTM</c:v>
                </c:pt>
                <c:pt idx="3">
                  <c:v>EV/EBIT NTM</c:v>
                </c:pt>
                <c:pt idx="4">
                  <c:v>DCF Gordon Growth</c:v>
                </c:pt>
                <c:pt idx="5">
                  <c:v>DCF Exit Multiple Method</c:v>
                </c:pt>
                <c:pt idx="6">
                  <c:v>Precedent Transactions</c:v>
                </c:pt>
                <c:pt idx="7">
                  <c:v>52-Week Range</c:v>
                </c:pt>
              </c:strCache>
            </c:strRef>
          </c:cat>
          <c:val>
            <c:numRef>
              <c:f>'$FRSH Valuation FF'!$G$7:$G$14</c:f>
              <c:numCache>
                <c:formatCode>_([$$]#,##0.0_)_%;\([$$]#,##0.0\)_%;_("–"_)_%;_(@_)_%</c:formatCode>
                <c:ptCount val="8"/>
                <c:pt idx="0">
                  <c:v>2.7891904952229787</c:v>
                </c:pt>
                <c:pt idx="1">
                  <c:v>0.39062648818122803</c:v>
                </c:pt>
                <c:pt idx="2">
                  <c:v>2.0374714701865297</c:v>
                </c:pt>
                <c:pt idx="3">
                  <c:v>0.95017521035762442</c:v>
                </c:pt>
                <c:pt idx="4">
                  <c:v>14.906267728545444</c:v>
                </c:pt>
                <c:pt idx="5">
                  <c:v>3.7641898660252586</c:v>
                </c:pt>
                <c:pt idx="6">
                  <c:v>6.6843672390353639</c:v>
                </c:pt>
                <c:pt idx="7">
                  <c:v>7.79</c:v>
                </c:pt>
              </c:numCache>
            </c:numRef>
          </c:val>
          <c:extLst>
            <c:ext xmlns:c16="http://schemas.microsoft.com/office/drawing/2014/chart" uri="{C3380CC4-5D6E-409C-BE32-E72D297353CC}">
              <c16:uniqueId val="{00000003-8554-4AAC-93FF-94AC81E08E54}"/>
            </c:ext>
          </c:extLst>
        </c:ser>
        <c:ser>
          <c:idx val="2"/>
          <c:order val="2"/>
          <c:spPr>
            <a:noFill/>
            <a:ln>
              <a:noFill/>
            </a:ln>
            <a:effectLst/>
          </c:spPr>
          <c:invertIfNegative val="0"/>
          <c:cat>
            <c:strRef>
              <c:f>'$FRSH Valuation FF'!$C$7:$C$14</c:f>
              <c:strCache>
                <c:ptCount val="8"/>
                <c:pt idx="0">
                  <c:v>EV/FCF NTM</c:v>
                </c:pt>
                <c:pt idx="1">
                  <c:v>EV/EBITDA NTM</c:v>
                </c:pt>
                <c:pt idx="2">
                  <c:v>EV/Revenue NTM</c:v>
                </c:pt>
                <c:pt idx="3">
                  <c:v>EV/EBIT NTM</c:v>
                </c:pt>
                <c:pt idx="4">
                  <c:v>DCF Gordon Growth</c:v>
                </c:pt>
                <c:pt idx="5">
                  <c:v>DCF Exit Multiple Method</c:v>
                </c:pt>
                <c:pt idx="6">
                  <c:v>Precedent Transactions</c:v>
                </c:pt>
                <c:pt idx="7">
                  <c:v>52-Week Range</c:v>
                </c:pt>
              </c:strCache>
            </c:strRef>
          </c:cat>
          <c:val>
            <c:numRef>
              <c:f>'$FRSH Valuation FF'!$H$7:$H$14</c:f>
              <c:numCache>
                <c:formatCode>_([$$]#,##0.0_)_%;\([$$]#,##0.0\)_%;_("–"_)_%;_(@_)_%</c:formatCode>
                <c:ptCount val="8"/>
                <c:pt idx="0">
                  <c:v>16.55035894043959</c:v>
                </c:pt>
                <c:pt idx="1">
                  <c:v>13.210378173190163</c:v>
                </c:pt>
                <c:pt idx="2">
                  <c:v>15.488547098657435</c:v>
                </c:pt>
                <c:pt idx="3">
                  <c:v>13.796482249156153</c:v>
                </c:pt>
                <c:pt idx="4">
                  <c:v>34.045404420184326</c:v>
                </c:pt>
                <c:pt idx="5">
                  <c:v>17.13433597115214</c:v>
                </c:pt>
                <c:pt idx="6">
                  <c:v>26.122459864761126</c:v>
                </c:pt>
                <c:pt idx="7">
                  <c:v>14.58</c:v>
                </c:pt>
              </c:numCache>
            </c:numRef>
          </c:val>
          <c:extLst>
            <c:ext xmlns:c16="http://schemas.microsoft.com/office/drawing/2014/chart" uri="{C3380CC4-5D6E-409C-BE32-E72D297353CC}">
              <c16:uniqueId val="{00000004-8554-4AAC-93FF-94AC81E08E54}"/>
            </c:ext>
          </c:extLst>
        </c:ser>
        <c:dLbls>
          <c:showLegendKey val="0"/>
          <c:showVal val="0"/>
          <c:showCatName val="0"/>
          <c:showSerName val="0"/>
          <c:showPercent val="0"/>
          <c:showBubbleSize val="0"/>
        </c:dLbls>
        <c:gapWidth val="80"/>
        <c:overlap val="100"/>
        <c:axId val="1121176944"/>
        <c:axId val="1121174064"/>
      </c:barChart>
      <c:catAx>
        <c:axId val="112117694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21174064"/>
        <c:crosses val="autoZero"/>
        <c:auto val="1"/>
        <c:lblAlgn val="ctr"/>
        <c:lblOffset val="100"/>
        <c:noMultiLvlLbl val="0"/>
      </c:catAx>
      <c:valAx>
        <c:axId val="1121174064"/>
        <c:scaling>
          <c:orientation val="minMax"/>
          <c:max val="27"/>
          <c:min val="5"/>
        </c:scaling>
        <c:delete val="0"/>
        <c:axPos val="b"/>
        <c:numFmt formatCode="_([$$]#,##0.0_)_%;\([$$]#,##0.0\)_%;_(&quot;–&quot;_)_%;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211769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000">
          <a:solidFill>
            <a:schemeClr val="tx1"/>
          </a:solidFill>
        </a:defRPr>
      </a:pPr>
      <a:endParaRPr lang="en-US"/>
    </a:p>
  </c:txPr>
  <c:printSettings>
    <c:headerFooter/>
    <c:pageMargins b="0.75" l="0.7" r="0.7" t="0.75" header="0.3" footer="0.3"/>
    <c:pageSetup/>
  </c:printSettings>
</c:chartSpace>
</file>

<file path=xl/comments/comment1.xml><?xml version="1.0" encoding="utf-8"?>
<comments xmlns="http://schemas.openxmlformats.org/spreadsheetml/2006/main">
  <authors>
    <author>Claude</author>
  </authors>
  <commentList>
    <comment ref="F31" authorId="0" shapeId="0">
      <text>
        <t>Select Bear / Base / Bull. Drives every CHOOSE() driver on $XRX Revenue Build and $XRX DCF Operating Assumptions, which feed the $XRX DCF.</t>
      </text>
    </comment>
  </commentList>
</comments>
</file>

<file path=xl/comments/comment2.xml><?xml version="1.0" encoding="utf-8"?>
<comments xmlns="http://schemas.openxmlformats.org/spreadsheetml/2006/main">
  <authors>
    <author>Unknown Author</author>
  </authors>
  <commentList>
    <comment ref="E75" authorId="0" shapeId="0">
      <text>
        <t>Reported ending cash, 1Q'21: 2461. Source: Xerox Holdings 10-Q for period ended 2021-03-31 (acc. 0001770450-21-000025, xrx-20210331.htm), Condensed Consolidated Statements of Cash Flows (XBRL R6.htm), three months ended column.</t>
      </text>
    </comment>
    <comment ref="F75" authorId="0" shapeId="0">
      <text>
        <t>Reported ending cash, 2Q'21: 2203. Source: Xerox Holdings 10-Q for period ended 2021-06-30 (acc. 0001770450-21-000036, xrx-20210630.htm), Condensed Consolidated Statements of Cash Flows (XBRL R6.htm), six months ended column.</t>
      </text>
    </comment>
    <comment ref="G75" authorId="0" shapeId="0">
      <text>
        <t>Reported ending cash, 3Q'21: 2262. Source: Xerox Holdings 10-Q for period ended 2021-09-30 (acc. 0001770450-21-000050, xrx-20210930.htm), Condensed Consolidated Statements of Cash Flows (XBRL R6.htm), nine months ended column.</t>
      </text>
    </comment>
    <comment ref="H75" authorId="0" shapeId="0">
      <text>
        <t>Reported ending cash, 4Q'21: 1909. Source: Xerox Holdings 10-K for period ended 2021-12-31 (acc. 0001770450-22-000010, xrx-20211231.htm), Condensed Consolidated Statements of Cash Flows (XBRL R7.htm), twelve months ended column.</t>
      </text>
    </comment>
    <comment ref="I75" authorId="0" shapeId="0">
      <text>
        <t>Reported ending cash, 1Q'22: 1761. Source: Xerox Holdings 10-Q for period ended 2022-03-31 (acc. 0001770450-22-000020, xrx-20220331.htm), Condensed Consolidated Statements of Cash Flows (XBRL R6.htm), three months ended column.</t>
      </text>
    </comment>
    <comment ref="J75" authorId="0" shapeId="0">
      <text>
        <t>Reported ending cash, 2Q'22: 1227. Source: Xerox Holdings 10-Q for period ended 2022-06-30 (acc. 0001770450-22-000030, xrx-20220630.htm), Condensed Consolidated Statements of Cash Flows (XBRL R6.htm), six months ended column.</t>
      </text>
    </comment>
    <comment ref="K75" authorId="0" shapeId="0">
      <text>
        <t>Reported ending cash, 3Q'22: 1001. Source: Xerox Holdings 10-Q for period ended 2022-09-30 (acc. 0001770450-22-000041, xrx-20220930.htm), Condensed Consolidated Statements of Cash Flows (XBRL R6.htm), nine months ended column.</t>
      </text>
    </comment>
    <comment ref="L75" authorId="0" shapeId="0">
      <text>
        <t>Reported ending cash, 4Q'22: 1139. Source: Xerox Holdings 10-K for period ended 2022-12-31 (acc. 0001770450-23-000011, xrx-20221231.htm), Condensed Consolidated Statements of Cash Flows (XBRL R7.htm), twelve months ended column.</t>
      </text>
    </comment>
    <comment ref="M75" authorId="0" shapeId="0">
      <text>
        <t>Reported ending cash, 1Q'23: 697. Source: Xerox Holdings 10-Q for period ended 2023-03-31 (acc. 0001770450-23-000032, xrx-20230331.htm), Condensed Consolidated Statements of Cash Flows (XBRL R6.htm), three months ended column.</t>
      </text>
    </comment>
    <comment ref="N75" authorId="0" shapeId="0">
      <text>
        <t>Reported ending cash, 2Q'23: 569. Source: Xerox Holdings 10-Q for period ended 2023-06-30 (acc. 0001770450-23-000042, xrx-20230630.htm), Condensed Consolidated Statements of Cash Flows (XBRL R6.htm), six months ended column.</t>
      </text>
    </comment>
    <comment ref="O75" authorId="0" shapeId="0">
      <text>
        <t>Reported ending cash, 3Q'23: 617. Source: Xerox Holdings 10-Q for period ended 2023-09-30 (acc. 0001770450-23-000050, xrx-20230930.htm), Condensed Consolidated Statements of Cash Flows (XBRL R6.htm), nine months ended column.</t>
      </text>
    </comment>
    <comment ref="P75" authorId="0" shapeId="0">
      <text>
        <t>Reported ending cash, 4Q'23: 617. Source: Xerox Holdings 10-K for period ended 2023-12-31 (acc. 0001770450-24-000012, xrx-20231231.htm), Condensed Consolidated Statements of Cash Flows (XBRL R7.htm), twelve months ended column.</t>
      </text>
    </comment>
    <comment ref="Q75" authorId="0" shapeId="0">
      <text>
        <t>Reported ending cash, 1Q'24: 772. Source: Xerox Holdings 10-Q for period ended 2024-03-31 (acc. 0001770450-24-000031, xrx-20240331.htm), Condensed Consolidated Statements of Cash Flows (XBRL R6.htm), three months ended column.</t>
      </text>
    </comment>
    <comment ref="R75" authorId="0" shapeId="0">
      <text>
        <t>Reported ending cash, 2Q'24: 551. Source: Xerox Holdings 10-Q for period ended 2024-06-30 (acc. 0001770450-24-000042, xrx-20240630.htm), Condensed Consolidated Statements of Cash Flows (XBRL R6.htm), six months ended column.</t>
      </text>
    </comment>
    <comment ref="S75" authorId="0" shapeId="0">
      <text>
        <t>Reported ending cash, 3Q'24: 590. Source: Xerox Holdings 10-Q for period ended 2024-09-30 (acc. 0001770450-24-000050, xrx-20240930.htm), Condensed Consolidated Statements of Cash Flows (XBRL R6.htm), nine months ended column.</t>
      </text>
    </comment>
    <comment ref="T75" authorId="0" shapeId="0">
      <text>
        <t>Reported ending cash, 4Q'24: 631. Source: Xerox Holdings 10-K for period ended 2024-12-31 (acc. 0001770450-25-000010, xrx-20241231.htm), Condensed Consolidated Statements of Cash Flows (XBRL R7.htm), twelve months ended column.</t>
      </text>
    </comment>
    <comment ref="U75" authorId="0" shapeId="0">
      <text>
        <t>Reported ending cash, 1Q'25: 390. Source: Xerox Holdings 10-Q for period ended 2025-03-31 (acc. 0001770450-25-000026, xrx-20250331.htm), Condensed Consolidated Statements of Cash Flows (XBRL R6.htm), three months ended column.</t>
      </text>
    </comment>
    <comment ref="V75" authorId="0" shapeId="0">
      <text>
        <t>Reported ending cash, 2Q'25: 985. Source: Xerox Holdings 10-Q for period ended 2025-06-30 (acc. 0001628280-25-038980, xrx-20250630.htm), Condensed Consolidated Statements of Cash Flows (XBRL R6.htm), six months ended column.</t>
      </text>
    </comment>
    <comment ref="W75" authorId="0" shapeId="0">
      <text>
        <t>Reported ending cash, 3Q'25: 535. Source: Xerox Holdings 10-Q for period ended 2025-09-30 (acc. 0001770450-25-000037, xrx-20250930.htm), Condensed Consolidated Statements of Cash Flows (XBRL R6.htm), nine months ended column.</t>
      </text>
    </comment>
    <comment ref="X75" authorId="0" shapeId="0">
      <text>
        <t>Reported ending cash, 4Q'25: 565. Source: Xerox Holdings 10-K for period ended 2025-12-31 (acc. 0001770450-26-000009, xrx-20251231.htm), Condensed Consolidated Statements of Cash Flows (XBRL R7.htm), twelve months ended column.</t>
      </text>
    </comment>
    <comment ref="Y75" authorId="0" shapeId="0">
      <text>
        <t>Reported ending cash, 1Q'26: 637. Source: Xerox Holdings 10-Q for period ended 2026-03-31 (acc. 0001770450-26-000030, xrx-20260331.htm), Condensed Consolidated Statements of Cash Flows (XBRL R6.htm), three months ended column.</t>
      </text>
    </comment>
    <comment ref="Z75" authorId="0" shapeId="0">
      <text>
        <t>Reported ending cash, 2Q'26: 552. Source: Xerox Holdings 10-Q for period ended 2026-06-30 (acc. 0001770450-26-000040, xrx-20260630.htm), Condensed Consolidated Statements of Cash Flows (XBRL R6.htm), six months ended column.</t>
      </text>
    </comment>
    <comment ref="AB75" authorId="0" shapeId="0">
      <text>
        <t>Reported cash, cash equivalents and restricted cash, ending, FY2021: 1909. Source: Xerox Holdings 10-K for period ended 2021-12-31 (acc. 0001770450-22-000010, xrx-20211231.htm), Condensed Consolidated Statements of Cash Flows (XBRL R7.htm), twelve months ended column.</t>
      </text>
    </comment>
    <comment ref="AC75" authorId="0" shapeId="0">
      <text>
        <t>Reported cash, cash equivalents and restricted cash, ending, FY2022: 1139. Source: Xerox Holdings 10-K for period ended 2022-12-31 (acc. 0001770450-23-000011, xrx-20221231.htm), Condensed Consolidated Statements of Cash Flows (XBRL R7.htm), twelve months ended column.</t>
      </text>
    </comment>
    <comment ref="AD75" authorId="0" shapeId="0">
      <text>
        <t>Reported cash, cash equivalents and restricted cash, ending, FY2023: 617. Source: Xerox Holdings 10-K for period ended 2023-12-31 (acc. 0001770450-24-000012, xrx-20231231.htm), Condensed Consolidated Statements of Cash Flows (XBRL R7.htm), twelve months ended column.</t>
      </text>
    </comment>
    <comment ref="AE75" authorId="0" shapeId="0">
      <text>
        <t>Reported cash, cash equivalents and restricted cash, ending, FY2024: 631. Source: Xerox Holdings 10-K for period ended 2024-12-31 (acc. 0001770450-25-000010, xrx-20241231.htm), Condensed Consolidated Statements of Cash Flows (XBRL R7.htm), twelve months ended column.</t>
      </text>
    </comment>
    <comment ref="AF75" authorId="0" shapeId="0">
      <text>
        <t>Reported cash, cash equivalents and restricted cash, ending, FY2025: 565. Source: Xerox Holdings 10-K for period ended 2025-12-31 (acc. 0001770450-26-000009, xrx-20251231.htm), Condensed Consolidated Statements of Cash Flows (XBRL R7.htm), twelve months ended column.</t>
      </text>
    </comment>
  </commentList>
</comments>
</file>

<file path=xl/comments/comment3.xml><?xml version="1.0" encoding="utf-8"?>
<comments xmlns="http://schemas.openxmlformats.org/spreadsheetml/2006/main">
  <authors>
    <author>Unknown Author</author>
  </authors>
  <commentList>
    <comment ref="C54" authorId="0" shapeId="0">
      <text>
        <t>Links to IS Adjusted EBITDA: annual columns = fiscal-year Adj. EBITDA; quarter columns = LTM ending that quarter. FY2021 and FY2022 are rebuilt on the company definition. LTM 2Q'26 includes the $105M IEEPA benefit.</t>
      </text>
    </comment>
    <comment ref="C56" authorId="0" shapeId="0">
      <text>
        <t>Gross leverage = (short-term debt and current portion of LTD + long-term debt) / Adj. EBITDA (LTM). Net leverage deducts cash and cash equivalents.</t>
      </text>
    </comment>
  </commentList>
</comments>
</file>

<file path=xl/comments/comment4.xml><?xml version="1.0" encoding="utf-8"?>
<comments xmlns="http://schemas.openxmlformats.org/spreadsheetml/2006/main">
  <authors>
    <author>cap-structure skill</author>
  </authors>
  <commentList>
    <comment ref="P11" authorId="0" shapeId="0">
      <text>
        <t>SOFR base rate
Source: SOFR 3.87% (13 Oct 2026) per sofrrate.com October 2026 table (https://www.sofrrate.com/sofr-rate/2026-10); confirm vs. NY Fed (https://www.newyorkfed.org/markets/reference-rates/sofr). Term SOFR used in the credit agreements may differ slightly. JV term loans carry a 3.00% SOFR floor and the TLB a 0.50% floor, both below current SOFR.</t>
      </text>
    </comment>
    <comment ref="D30" authorId="0" shapeId="0">
      <text>
        <t>Includes a $105m IEEPA tariff-refund benefit in 2Q'26; excl. that benefit LTM Adj. EBITDA = $614m (IS!AI68). Company-reported gross leverage 5.9x on this basis (2Q'26 earnings call).</t>
      </text>
    </comment>
    <comment ref="D33" authorId="0" shapeId="0">
      <text>
        <t>Source: 2Q'26 10-Q: ABL lender commitments $425m. https://www.sec.gov/Archives/edgar/data/1770450/000177045026000040/xrx-20260630.htm</t>
      </text>
    </comment>
    <comment ref="D34" authorId="0" shapeId="0">
      <text>
        <t>Source: 2Q'26 10-Q: as of 6 Aug 2026 ABL availability was $388m (borrowing-base constrained) before LCs; $388m - $425m = -$37m.</t>
      </text>
    </comment>
    <comment ref="D36" authorId="0" shapeId="0">
      <text>
        <t>Source: 2Q'26 10-Q: letters of credit of approximately $112m outstanding against the ABL (as of 6 Aug 2026).</t>
      </text>
    </comment>
  </commentList>
</comments>
</file>

<file path=xl/comments/comment5.xml><?xml version="1.0" encoding="utf-8"?>
<comments xmlns="http://schemas.openxmlformats.org/spreadsheetml/2006/main">
  <authors>
    <author>Stephan Abedi</author>
  </authors>
  <commentList>
    <comment ref="D8" authorId="0" shapeId="0">
      <text>
        <t>Stephan Abedi:
Closed 1-Jul-25. $1.5bn incl. net debt &amp; assumed liabilities; Lexmark LTM 9/30/24 revenue $2,194mm, Adj. EBITDA $318mm (Xerox deal deck). ~2.9x incl. $200mm synergies.</t>
      </text>
    </comment>
    <comment ref="D9" authorId="0" shapeId="0">
      <text>
        <t>Stephan Abedi:
$3.40/sh cash, management-led take-private; premium to undisturbed price. EV / multiples not disclosed in sources reached - pull from FactSet.</t>
      </text>
    </comment>
    <comment ref="D10" authorId="0" shapeId="0">
      <text>
        <t>Stephan Abedi:
Xerox sold its 25% for $2.2bn (implies ~$8.8bn equity for 100%, minority stake). Shown for reference; excluded from stats.</t>
      </text>
    </comment>
    <comment ref="D11" authorId="0" shapeId="0">
      <text>
        <t>Stephan Abedi:
$37.00/sh; 26% to last close (45% to 90-day VWAP). 2018 revenue $1,015mm. EV/EBITDA ~15.2x derived from Greenhill's 11.0x-15.5x 2018A EBITDA range ($26.18-$37.73/sh).</t>
      </text>
    </comment>
    <comment ref="D12" authorId="0" shapeId="0">
      <text>
        <t>Stephan Abedi:
All-cash carve-out; ~$1.8bn 2015 revenue (KRW 2tn) = ~0.58x sales. Unit was loss-making - EV/EBITDA NM.</t>
      </text>
    </comment>
    <comment ref="D13" authorId="0" shapeId="0">
      <text>
        <t>Stephan Abedi:
$40.50/sh cash; EV ~$3.6bn net of cash (~$4.0bn incl. pension). Premium to undisturbed price (21-Oct-15).</t>
      </text>
    </comment>
  </commentList>
</comments>
</file>

<file path=xl/comments/comment6.xml><?xml version="1.0" encoding="utf-8"?>
<comments xmlns="http://schemas.openxmlformats.org/spreadsheetml/2006/main">
  <authors>
    <author>Stephan Abedi</author>
    <author>Claude</author>
  </authors>
  <commentList>
    <comment ref="L6" authorId="0" shapeId="0">
      <text>
        <t>See calculations below.</t>
      </text>
    </comment>
    <comment ref="E7" authorId="0" shapeId="0">
      <text>
        <t>Closest US-listed print peer: #1 global printer OEM; Print ~1/3 of revenue with the same secular A4/A3 page-volume decline and supplies annuity model.</t>
      </text>
    </comment>
    <comment ref="W7" authorId="1" shapeId="0">
      <text>
        <t>N/A handling: multiples return "NA" when FactSet has no value and "NM" when the denominator is zero/negative; Market Cap and unlevered beta do the same. All Min/Q1/Median/Mean/Q3/Max rows (and the tax and credit stats) use AGGREGATE(...,6,...), which skips errors and text, so one missing FactSet field no longer breaks the statistics, the implied valuation or the DCF beta.</t>
      </text>
    </comment>
    <comment ref="E8" authorId="0" shapeId="0">
      <text>
        <t>Canon: top-3 office MFP / production print OEM and Xerox's head-to-head competitor in managed print; imaging is the largest segment.</t>
      </text>
    </comment>
    <comment ref="E9" authorId="0" shapeId="0">
      <text>
        <t>Ricoh: purest-play office printing + digital services peer; pursuing the same print-to-IT-services pivot Xerox is attempting.</t>
      </text>
    </comment>
    <comment ref="E10" authorId="0" shapeId="0">
      <text>
        <t>Konica Minolta: office &amp; production print OEM under margin/leverage pressure, restructuring its portfolio - closest 'stressed' Japanese analogue.</t>
      </text>
    </comment>
    <comment ref="L10" authorId="0" shapeId="0">
      <text>
        <t>See note below.</t>
      </text>
    </comment>
    <comment ref="E11" authorId="0" shapeId="0">
      <text>
        <t>Toshiba Tec: office MFP + retail print; formed the ETRIA MFP-manufacturing JV with Ricoh in 2024 - industry consolidation read-across.</t>
      </text>
    </comment>
    <comment ref="E12" authorId="0" shapeId="0">
      <text>
        <t>Brother: printing &amp; solutions is the core segment (A4 laser/inkjet), direct competitor to the Lexmark A4 franchise Xerox acquired.</t>
      </text>
    </comment>
    <comment ref="L12" authorId="0" shapeId="0">
      <text>
        <t>Using Damodaran Software sector effective tax rate as a simplifying assumption. Proper modeling would require a full NOL utilization schedule and a Section 382 analysis to determine the annual cap on NOL usage following the change of control. Given the complexity of this analysis, the DTA is held flat and cash taxes are modeled using the Damodaran.</t>
      </text>
    </comment>
    <comment ref="E13" authorId="0" shapeId="0">
      <text>
        <t>Seiko Epson: inkjet office/production printers; shows how the secular decline is valued for a scaled, under-levered printer OEM.</t>
      </text>
    </comment>
    <comment ref="E14" authorId="0" shapeId="0">
      <text>
        <t>Pitney Bowes: US legacy office-equipment lessor with a captive finance book and levered balance sheet; exited GEC via Ch. 11 in 2024 - closest credit analogue.</t>
      </text>
    </comment>
    <comment ref="E15" authorId="0" shapeId="0">
      <text>
        <t>Diebold Nixdorf: hardware + services installed base, post-2023 prepack Ch. 11 - shows where a re-equitized hardware/services credit trades.</t>
      </text>
    </comment>
    <comment ref="E16" authorId="0" shapeId="0">
      <text>
        <t>Eastman Kodak: commercial/production print OEM with a history of Ch. 11 (2012) and 2025 refinancing stress - distressed print comparable.</t>
      </text>
    </comment>
    <comment ref="E17" authorId="0" shapeId="0">
      <text>
        <t>Conduent: Xerox's former BPO/document-services business (spun 2017); levered services credit with overlapping customers.</t>
      </text>
    </comment>
    <comment ref="E18" authorId="0" shapeId="0">
      <text>
        <t>Quadient: mail/document automation hardware with leasing finance arm and declining mail volumes - business-model match to Xerox's FITTLE/finance book.</t>
      </text>
    </comment>
    <comment ref="V21" authorId="0" shapeId="0">
      <text>
        <t>Low end of the range uses the first quartile (Q1) of the comp set multiples and the high end uses the median. The median is used as the high rather than the maximum to avoid the distortion of outlier multiples, specifically ServiceNow which trades at a significant premium to the group given its scale and growth profile. Q1 is used as the low to reflect the discount warranted by Freshworks' CX headwinds, SMB macro exposure, and below-peer NRR, without anchoring to the weakest name in the set.</t>
      </text>
    </comment>
    <comment ref="L46" authorId="0" shapeId="0">
      <text>
        <t>Damodaran Software (System &amp; Application) Industry average tax rate across money-making companies.</t>
      </text>
    </comment>
    <comment ref="J54" authorId="0" shapeId="0">
      <text>
        <t>General theme in this industry is that very little debt is taken is taken on despite historically having very stable cash flows and predictable revenue streams.</t>
      </text>
    </comment>
    <comment ref="G55" authorId="0" shapeId="0">
      <text>
        <t>No credit rating listed from S&amp;P or Moody's in FactSet.</t>
      </text>
    </comment>
    <comment ref="G56" authorId="0" shapeId="0">
      <text>
        <t>Does not currently have a rating from S&amp;P or Moody's.</t>
      </text>
    </comment>
    <comment ref="G59" authorId="0" shapeId="0">
      <text>
        <t>Freshworks does not currently have any debt.</t>
      </text>
    </comment>
    <comment ref="H59" authorId="0" shapeId="0">
      <text>
        <t>$FRSH does not have any debt.</t>
      </text>
    </comment>
    <comment ref="J59" authorId="0" shapeId="0">
      <text>
        <t>$FRSH does not currently have any debt.</t>
      </text>
    </comment>
  </commentList>
</comments>
</file>

<file path=xl/comments/comment7.xml><?xml version="1.0" encoding="utf-8"?>
<comments xmlns="http://schemas.openxmlformats.org/spreadsheetml/2006/main">
  <authors>
    <author>Claude</author>
  </authors>
  <commentList>
    <comment ref="E6" authorId="0" shapeId="0">
      <text>
        <t>Case index used by every CHOOSE() driver on this tab: 1 = Bear, 2 = Base, 3 = Bull. Change the case on the Cover Page (cell F31).</t>
      </text>
    </comment>
    <comment ref="F16" authorId="0" shapeId="0">
      <text>
        <t>2024 growth is measured on a company-wide post sale basis (P&amp;O post sale + IT Solutions + eliminations) because IT Solutions was not split out of post sale revenue before 2024. Ties to the -7.4% reported in the FY2024 10-K.</t>
      </text>
    </comment>
    <comment ref="D19" authorId="0" shapeId="0">
      <text>
        <t>2022-2023: IT Solutions was not reported as a separate segment (legacy XBS IT services and IT product resale were inside post sale revenue). The segment was created in 2025 after the ITsavvy acquisition (Nov-2024); 2024 is the restated comparative.</t>
      </text>
    </comment>
    <comment ref="H32" authorId="0" shapeId="0">
      <text>
        <t>LTM column shows 1H'26 vs. 1H'25 pro forma (Lexmark included in both periods) from the Quarterly Segment Detail below: -5.1%, consistent with the -6.5% (Q2) and ~-3.5% (Q1) pro forma declines Xerox reported.</t>
      </text>
    </comment>
    <comment ref="I32" authorId="0" shapeId="0">
      <text>
        <t>2026E vs. pro forma 2025 ($7.96bn incl. Lexmark 1H'25). Base case lands at ~$7.6bn, in line with raised 2026 guidance of ~$7.6bn (Q2'26 release, 30-Jul-26).</t>
      </text>
    </comment>
    <comment ref="I34" authorId="0" shapeId="0">
      <text>
        <t>Mix held at the LTM 2Q'26 level (first four quarters with Lexmark fully consolidated). Bridges the segment build back to the Sales / Services split on the Income Statement.</t>
      </text>
    </comment>
    <comment ref="D41" authorId="0" shapeId="0">
      <text>
        <t>FY2022 equipment sales of $1,624mm = FY2023 / 1.019 (FY2023 10-K: equipment sales +1.9% in 2023). FY2022 post sale = total revenue less equipment.</t>
      </text>
    </comment>
    <comment ref="E41" authorId="0" shapeId="0">
      <text>
        <t>FY2023 equipment sales of $1,655mm = 9M'23 $1,197mm (as restated in the 3Q'24 10-Q) + 4Q'23 $458mm (4Q'23 release). Consistent with the -16.7% decline reported for FY2024.</t>
      </text>
    </comment>
    <comment ref="F41" authorId="0" shapeId="0">
      <text>
        <t>FY2024 equipment sales of $1,378mm = 9M'24 $985mm (3Q'24 10-Q) + 4Q'24 $393mm (implied by 4Q'25 equipment of $485mm, +23.4%). FY2025 +8.0% reported (FY2025 10-K) ties to $1,488mm.</t>
      </text>
    </comment>
    <comment ref="G42" authorId="0" shapeId="0">
      <text>
        <t>Lexmark equipment revenue for 1Q'25 + 2Q'25 (before the 1-Jul-25 close), backed out of Xerox's pro forma growth disclosures - see Quarterly Segment Detail memo. Lets 2026E grow off a full-year Lexmark base instead of reported FY2025 (which only has six months of Lexmark).</t>
      </text>
    </comment>
    <comment ref="I44" authorId="0" shapeId="0">
      <text>
        <t>Projected growth = CHOOSE(case index, Bear, Base, Bull). Historical columns are reported growth (2025 includes six months of Lexmark: +16.5pts).</t>
      </text>
    </comment>
    <comment ref="G45" authorId="0" shapeId="0">
      <text>
        <t>FY2025: equipment sales +8.0% reported, incl. +16.5pts from Lexmark and +0.9pts FX -&gt; -8.5% excluding Lexmark (FY2025 10-K / annual report), driven by lower installs and Reinvention actions.</t>
      </text>
    </comment>
    <comment ref="H45" authorId="0" shapeId="0">
      <text>
        <t>LTM column = 1H'26 vs. 1H'25 pro forma (Lexmark in both periods): -8.1%. Q1'26 -2.3% (derived) and Q2'26 -13.0% (reported pro forma, Q2'26 release).</t>
      </text>
    </comment>
    <comment ref="I46" authorId="0" shapeId="0">
      <text>
        <t>Bear: installs keep falling at the Q2'26 pace (-13% PF), with memory/DRAM cost inflation and channel disruption from the Lexmark integration; decline moderates only to -6%/yr (in line with the 2024-25 organic run-rate of -8% to -17%).</t>
      </text>
    </comment>
    <comment ref="I47" authorId="0" shapeId="0">
      <text>
        <t>Base 2026E -7.0%: 1H'26 pro forma equipment was -8.1% (Q2 -13.0% on high-end production print weakness); mgmt raised FY26 revenue guidance to ~$7.6bn on 30-Jul-26, implying a modestly better 2H. Fades to -3.5% by 2029-30 as the post-Reinvention product line-up laps and Lexmark A4 placements grow, roughly in line with IDC's ~-3% to -4% hardcopy market trend.</t>
      </text>
    </comment>
    <comment ref="I48" authorId="0" shapeId="0">
      <text>
        <t>Bull: Q1'26-like stabilisation (-2.3% PF) as Lexmark A4 devices are cross-sold through Xerox's direct/channel footprint; declines converge to ~-1%/yr (below market) by 2029-30.</t>
      </text>
    </comment>
    <comment ref="G50" authorId="0" shapeId="0">
      <text>
        <t>IDC Worldwide Quarterly Hardcopy Peripherals Tracker: 2025 market value $35.4bn (-3.8% YoY) on ~78.3mm units (-2.6%). 2024 backed out at $35.4bn / (1 - 3.8%) = $36.8bn.</t>
      </text>
    </comment>
    <comment ref="I51" authorId="0" shapeId="0">
      <text>
        <t>Market growth assumption (all cases): IDC 2025 value -3.8%; IDC flagged a 'challenging' market into at least mid-2026 (Middle East conflict, DRAM shortages). -3.5% in 2026E, -3.0% thereafter.</t>
      </text>
    </comment>
    <comment ref="G52" authorId="0" shapeId="0">
      <text>
        <t>Sanity check, not a driver: pro forma equipment sales / IDC market value. 2025 jumps vs. 2024 because 2025 is pro forma for Lexmark. A falling share in the Base case means Xerox keeps underperforming the market.</t>
      </text>
    </comment>
    <comment ref="D58" authorId="0" shapeId="0">
      <text>
        <t>2022-2023 post sale revenue = total revenue less equipment sales, and therefore includes legacy IT services / IT product revenue (not split out until the 2025 segment change).</t>
      </text>
    </comment>
    <comment ref="F58" authorId="0" shapeId="0">
      <text>
        <t>FY2024 Print &amp; Other post sale of $4,488mm = FY2025 P&amp;O post sale $4,784mm / 1.066 (FY2025 10-K: post sale +6.6% reported, incl. +16.4pts Lexmark). P&amp;O post sale + IT Solutions $358mm - $3mm elims = $4,843mm company post sale, -7.4% vs. 2023 as reported.</t>
      </text>
    </comment>
    <comment ref="G62" authorId="0" shapeId="0">
      <text>
        <t>FY2025: post sale -9.8% excluding Lexmark (FY2025 10-K), primarily lower managed print services; pro forma (Lexmark in both years) -8.0%. FY2024 -7.4%; FY2023 -5.1% (lower paper / IT endpoint sales and the end of Fuji royalty income).</t>
      </text>
    </comment>
    <comment ref="H62" authorId="0" shapeId="0">
      <text>
        <t>LTM column = 1H'26 vs. 1H'25 pro forma: -3.9% (Q1'26 -3.8%, Q2'26 -3.9% as reported).</t>
      </text>
    </comment>
    <comment ref="I63" authorId="0" shapeId="0">
      <text>
        <t>Bear: reverts toward the 2024-25 organic trend (-7% to -10%) before easing to -5%/yr; faster MIF attrition from the lower install base and price competition in managed print.</t>
      </text>
    </comment>
    <comment ref="I64" authorId="0" shapeId="0">
      <text>
        <t>Base 2026E -3.75%: 1H'26 pro forma post sale ran -3.9% (lower equipment service and managed print volumes) and the run-off of the finance receivables book (see memo below) keeps shrinking financing income. Moderates to -3.0%/yr: the installed base (MIF) shrinks with installs, and office page volumes keep declining structurally, partly offset by pricing and Lexmark supplies attach.</t>
      </text>
    </comment>
    <comment ref="I65" authorId="0" shapeId="0">
      <text>
        <t>Bull: the annuity stabilises as Lexmark supplies/service cross-sell lands and the finance receivables run-off completes; declines ease to -1.5%/yr.</t>
      </text>
    </comment>
    <comment ref="D67" authorId="0" shapeId="0">
      <text>
        <t>Billed + current + long-term finance receivables (Balance Sheet Output). Financing income sits in post sale revenue; Xerox moved to a capital-light model for new leases (FITTLE wind-down), so this book runs off and is a structural headwind that mgmt called out for 2026.</t>
      </text>
    </comment>
    <comment ref="F75" authorId="0" shapeId="0">
      <text>
        <t>FY2024 IT Solutions of ~$358mm = FY2025 segment revenue $761mm / 2.126 (FY2025: +112.6% reported, mainly the ITsavvy acquisition closed Nov-2024). Cross-check: 3Q'24 $86mm, 4Q'24 $114mm.</t>
      </text>
    </comment>
    <comment ref="G77" authorId="0" shapeId="0">
      <text>
        <t>FY2025 IT Solutions -0.8% pro forma for ITsavvy: IT services +13.5% pro forma, IT products -7.6% pro forma (FY2025 10-K). 4Q'25: IT products $100mm / IT services $55mm.</t>
      </text>
    </comment>
    <comment ref="H77" authorId="0" shapeId="0">
      <text>
        <t>LTM column = 1H'26 vs. 1H'25 reported (no acquisitions in either period): -7.4% (Q1'26 -5.5%, Q2'26 -8.9%).</t>
      </text>
    </comment>
    <comment ref="I78" authorId="0" shapeId="0">
      <text>
        <t>Bear: product resale keeps shrinking with PC/endpoint and memory-price pressure; services growth only offsets it from 2028E (flat).</t>
      </text>
    </comment>
    <comment ref="I79" authorId="0" shapeId="0">
      <text>
        <t>Base 2026E -4.5%: 1H'26 was -7.4%, but pro forma gross billings grew +13% and bookings +8% in 4Q'25 (Q4'25 call) and mgmt expects IT Solutions to be a 2026 tailwind; memory-price inflation is a 2H risk for IT product resale. 2027E+ grows +2% to +4% as the mix shifts to recurring IT services (~35% of segment revenue in 4Q'25, growing double digits pro forma) - below mid-to-high single digit managed IT services market growth because low-margin product resale stays the majority.</t>
      </text>
    </comment>
    <comment ref="I80" authorId="0" shapeId="0">
      <text>
        <t>Bull: services cross-sell into the Xerox/Lexmark print base works and billings growth converts to revenue; +5% to +7%/yr.</t>
      </text>
    </comment>
    <comment ref="F82" authorId="0" shapeId="0">
      <text>
        <t>FY2024 eliminations: plug so that equipment + P&amp;O post sale + IT Solutions ties to reported total revenue of $6,221mm.</t>
      </text>
    </comment>
    <comment ref="D89" authorId="0" shapeId="0">
      <text>
        <t>Segment revenue by quarter from Xerox earnings releases / 8-K exhibits 99.1 and 10-Qs: 1Q'25 (P&amp;O $1,294mm: equipment $284mm / post sale $1,010mm), 2Q'25 ($1,366mm: $336mm / $1,030mm), 3Q'25 ($1,739mm: $383mm / $1,356mm), 4Q'25 (equipment $485mm, P&amp;O $1,873mm = FY $6,272mm less 1Q-3Q), 1Q'26 ($1,692mm: $378mm / $1,314mm), 2Q'26 ($1,733mm: $387mm / $1,346mm).</t>
      </text>
    </comment>
    <comment ref="D92" authorId="0" shapeId="0">
      <text>
        <t>IT Solutions: 1Q'25 $163mm, 2Q'25 $213mm, 3Q'25 $226mm, 4Q'25 $158mm (FY2025 $761mm), 1Q'26 $154mm, 2Q'26 $194mm. Eliminations are the remaining difference to reported total revenue (FY2025 segment table: -$11mm).</t>
      </text>
    </comment>
    <comment ref="D99" authorId="0" shapeId="0">
      <text>
        <t>Not disclosed directly - backed out of Xerox's pro forma growth rates: 1Q'26 P&amp;O $1,692mm at -3.5% PF =&gt; 1Q'25 PF $1,753mm, less reported $1,294mm = $459mm Lexmark; post sale $1,314mm at -3.8% PF =&gt; $1,366mm PF, Lexmark $356mm; equipment = $103mm. 2Q'26 P&amp;O $1,733mm at -6.1% PF =&gt; Lexmark $480mm; post sale -3.9% PF =&gt; $371mm; equipment -13.0% PF =&gt; $109mm (ties).</t>
      </text>
    </comment>
  </commentList>
</comments>
</file>

<file path=xl/comments/comment8.xml><?xml version="1.0" encoding="utf-8"?>
<comments xmlns="http://schemas.openxmlformats.org/spreadsheetml/2006/main">
  <authors>
    <author>Claude</author>
  </authors>
  <commentList>
    <comment ref="E6" authorId="0" shapeId="0">
      <text>
        <t>Case index used by every CHOOSE() driver on this tab: 1 = Bear, 2 = Base, 3 = Bull. Change the case on the Cover Page (cell F31).</t>
      </text>
    </comment>
    <comment ref="I11" authorId="0" shapeId="0">
      <text>
        <t>Linked to the $XRX Revenue Build (Equipment + Post Sale + IT Solutions - eliminations, Active Case). Base 2026E ~$7.6bn = raised FY26 guidance (Q2'26 release, 30-Jul-26).</t>
      </text>
    </comment>
    <comment ref="I15" authorId="0" shapeId="0">
      <text>
        <t>Held at the LTM 2Q'26 level. Only used to drive inventory (DIO) and payables (DPO) in the working-capital section; profitability is driven by the adjusted operating margin below.</t>
      </text>
    </comment>
    <comment ref="I21" authorId="0" shapeId="0">
      <text>
        <t>~3.8% of revenue held flat = LTM 2Q'26 D&amp;A of $415mm less $123mm amortization of intangibles (excluded from adjusted operating income) = ~$292mm on $7.76bn LTM revenue - the first LTM period with four full quarters of Lexmark. 2022-2024 ran ~3.0-3.2% pre-Lexmark.</t>
      </text>
    </comment>
    <comment ref="D23" authorId="0" shapeId="0">
      <text>
        <t>Historical = Adjusted EBITDA (excl. IEEPA) less depreciation (D&amp;A excl. intangible amortization), i.e. the company's adjusted operating income definition before stock comp differences.</t>
      </text>
    </comment>
    <comment ref="I25" authorId="0" shapeId="0">
      <text>
        <t>Bear: only part of the synergy target is realised and revenue de-leverage eats the rest; margin stays ~5.5-5.75%, close to the 2024 level (~5.7%) and above the LTM ex-IEEPA ~4.2%.</t>
      </text>
    </comment>
    <comment ref="I26" authorId="0" shapeId="0">
      <text>
        <t>Base 2026E 6.25% = midpoint of 2026 adjusted operating income guidance ($555-605mm) LESS the one-time $105mm IEEPA tariff-refund benefit = ~$475mm / $7.6bn. Expands to 7.0% / 7.5% in 2027-28E as the rest of the Lexmark gross cost synergies land (target raised to &gt;=$350mm on 30-Jul-26; ~half in 2026, remainder in 2027-28), then held - revenue declines absorb further savings.</t>
      </text>
    </comment>
    <comment ref="I27" authorId="0" shapeId="0">
      <text>
        <t>Bull: full &gt;=$350mm synergies plus Reinvention savings; margin reaches ~8.5-8.75%, near Xerox's pre-2022 adjusted operating margin range.</t>
      </text>
    </comment>
    <comment ref="I30" authorId="0" shapeId="0">
      <text>
        <t>~$125mm in 2026E (= LTM 2Q'26 restructuring of $125mm), ~$100mm in 2027E, then ~$50mm and ~$40mm/yr of ongoing footprint actions once the Lexmark integration completes by end-2027. Treated as a real cash cost (excluded from 'adjusted' results by the company but still paid).</t>
      </text>
    </comment>
    <comment ref="I36" authorId="0" shapeId="0">
      <text>
        <t>25% normalized marginal rate: 21% U.S. federal + ~4% state/foreign blend. Historical effective rates are not meaningful (valuation allowances on losses; FY2025 includes a deferred tax asset write-down). Feeds the DCF tax line and the after-tax cost of debt.</t>
      </text>
    </comment>
    <comment ref="I45" authorId="0" shapeId="0">
      <text>
        <t>All working-capital drivers are held at their LTM 2Q'26 levels (2Q'26 balances on LTM revenue / cost of revenues) - the first period where both the balance sheet and the income statement include Lexmark for a full year. FY2025 ratios are inflated because the year-end balance sheet carries all of Lexmark but revenue only includes six months.</t>
      </text>
    </comment>
    <comment ref="H65" authorId="0" shapeId="0">
      <text>
        <t>Ties to the NWC tab (2Q'26 total NWC of -$206mm = -2.7% of LTM revenue). Excludes cash, debt and non-current finance receivables (treated as financing).</t>
      </text>
    </comment>
    <comment ref="I67" authorId="0" shapeId="0">
      <text>
        <t>2026E is measured from the latest actual balance sheet (2Q'26) to year-end 2026E at LTM days, which nets out the 1H'26 seasonal build (-$239mm vs. YE2025) that mgmt expects to reverse in 2H (~$340mm OCF guidance implies roughly flat full-year working capital). Later years release / absorb NWC with revenue.</t>
      </text>
    </comment>
    <comment ref="I74" authorId="0" shapeId="0">
      <text>
        <t>Held at LTM 2Q'26: capex $99mm (1.3% of revenue) + equipment on operating leases $141mm (1.8%; rental fleet, reported inside operating cash flow) = $240mm / 3.1% of revenue (Cash Flow Statement Output). Consistent with 2026 guidance of ~$340mm OCF / ~$250mm FCF (~$90mm capex).</t>
      </text>
    </comment>
  </commentList>
</comments>
</file>

<file path=xl/comments/comment9.xml><?xml version="1.0" encoding="utf-8"?>
<comments xmlns="http://schemas.openxmlformats.org/spreadsheetml/2006/main">
  <authors>
    <author>Claude</author>
    <author>Stephan Abedi</author>
  </authors>
  <commentList>
    <comment ref="N21" authorId="0" shapeId="0">
      <text>
        <t>Valuation date = 16-Oct-2026 (model date). 2026E UFCF is weighted by the remaining stub of the year.</t>
      </text>
    </comment>
    <comment ref="N22" authorId="1" shapeId="0">
      <text>
        <t>Fiscal year end for FRSH.</t>
      </text>
    </comment>
    <comment ref="G26" authorId="0" shapeId="0">
      <text>
        <t>Risk-free rate: live FactSet 10-yr UST yield (TRYUS10Y). 10-yr was ~4.6-4.8% in Jul-Sep 2026 (Fed H.15 via YCharts). Kroll recommends the higher of 3.5% normalized or spot 20-yr.</t>
      </text>
    </comment>
    <comment ref="G27" authorId="0" shapeId="0">
      <text>
        <t>Equity risk premium 5.0% = Kroll recommended U.S. ERP (reaffirmed Jan-2026 and in the Sep-2026 Valuation Outlook), paired with the spot Treasury yield. Source: Kroll Cost of Capital (via BVWire, bvresources.com).</t>
      </text>
    </comment>
    <comment ref="G28" authorId="0" shapeId="0">
      <text>
        <t>Re-levered beta: median UNLEVERED beta of the comp set ($XRX Comparable Companies col N, FactSet 5-yr) re-levered at the target D/E (60/40) and 25% tax. Falls back to 0.98 if FactSet is not loaded = Damodaran Office Equipment &amp; Services levered beta 1.33 at 32.5% D/(D+E), unlevered (Jan-2026, pages.stern.nyu.edu/~adamodar).</t>
      </text>
    </comment>
    <comment ref="G31" authorId="0" shapeId="0">
      <text>
        <t>Total debt = principal from the Capital Structure tab ($4,355mm at 2Q'26), not carrying value.</t>
      </text>
    </comment>
    <comment ref="G33" authorId="0" shapeId="0">
      <text>
        <t>Target (normalized) capital structure of 60% debt / 40% equity rather than today's market weights (~92% debt at a ~$0.4bn equity cap), which reflect distress, not a sustainable structure. 60% ~ 3.0x net leverage on a ~5.0x EV/EBITDA business - where a reorganized Xerox could be levered (mgmt targets &lt;4x net by YE26). Above the 32% Office Equipment industry average (Damodaran, Jan-26) because ~$1.3bn of debt funds the captive finance book.</t>
      </text>
    </comment>
    <comment ref="G35" authorId="0" shapeId="0">
      <text>
        <t>S&amp;P issuer CCC+ (restored from SD 16-Jun-26) / Moody's CFR Caa2 (Mar-26). See Capital Structure tab.</t>
      </text>
    </comment>
    <comment ref="G36" authorId="0" shapeId="0">
      <text>
        <t>Spread ~8.5% over the 10-yr: Xerox's most senior traded paper, the 10.25% 1L notes due Oct-2030, quote ~88.6-91 (TRACE/Bondfish/BondBlox), i.e. ~12.8-13.5% YTM vs ~4.6-4.8% UST. Secured yield used because unsecured yields (2028s ~58c, 2029s ~41c) price default loss, not a going-concern cost of debt.</t>
      </text>
    </comment>
    <comment ref="G37" authorId="0" shapeId="0">
      <text>
        <t>Linked to the tax-rate assumption on $XRX DCF Operating Assumptions (25% normalized marginal rate).</t>
      </text>
    </comment>
    <comment ref="G38" authorId="1" shapeId="0">
      <text>
        <t>FRSH has no debt outstanding.</t>
      </text>
    </comment>
    <comment ref="N45" authorId="0" shapeId="0">
      <text>
        <t>0.0% perpetuity growth: print volumes keep declining, partly offset by services and inflation pass-through; a no-growth terminal year is already generous for a secular-decline business. Sensitivity runs -1.0% to +1.0%.</t>
      </text>
    </comment>
    <comment ref="G46" authorId="0" shapeId="0">
      <text>
        <t>5.0x EV/EBITDA exit: print/imaging peers trade ~3-6x (FactSet key comps: HP ~6x, Canon ~6x, Ricoh ~5x, Konica Minolta / Brother / Toshiba Tec ~4x, Seiko Epson ~3x). Xerox paid 4.7x LTM Adj. EBITDA for Lexmark (Dec-24). Damodaran Office Equipment &amp; Services avg 8.6x reflects healthier, un-levered U.S. names - too rich for a declining, distressed print franchise.</t>
      </text>
    </comment>
    <comment ref="G52" authorId="0" shapeId="0">
      <text>
        <t>Deducts debt principal ($4,355mm) AND the $180mm Series A preferred liquidation preference (Capital Structure tab). Unfunded pension/OPEB (~$166mm/yr of contributions, excluded from UFCF) is a further debt-like claim not deducted here - deduct it for a fuller recovery waterfall.</t>
      </text>
    </comment>
    <comment ref="G53" authorId="0" shapeId="0">
      <text>
        <t>Cash and cash equivalents at 30-Jun-26 ($495mm, Capital Structure tab).</t>
      </text>
    </comment>
    <comment ref="G56" authorId="0" shapeId="0">
      <text>
        <t>Offline check of the base case (rf 4.7%, fallback beta): EV ~$3.45-3.7bn (~4.6x 2027E Adj. EBITDA) vs $4.36bn debt + $0.18bn preferred - i.e. equity is out of the money and the implied price is negative. In a restructuring context read the EV / debt coverage (~84% of principal) rather than the per-share value: secured debt ($2.05bn) is covered, unsecured is impaired - directionally consistent with unsecured bonds trading ~40-60c.</t>
      </text>
    </comment>
    <comment ref="I71" authorId="0" shapeId="0">
      <text>
        <t>Axis centred on the 5.0x base exit multiple; step 0.5x. Re-centre if G46 changes (data-table headers cannot link to the input cell).</t>
      </text>
    </comment>
    <comment ref="F74" authorId="0" shapeId="0">
      <text>
        <t>Axis centred on a ~12% WACC (rounded-up result of the inputs above with FactSet live); step 1.0%. Re-centre to G41 after FactSet refreshes.</t>
      </text>
    </comment>
    <comment ref="J117" authorId="0" shapeId="0">
      <text>
        <t>Rows 117-129 are now linked to the $XRX DCF Operating Assumptions tab (Active Case set on the Cover Page). Revenue comes from the $XRX Revenue Build. See those tabs for each assumption's rationale and source.</t>
      </text>
    </comment>
  </commentList>
</comments>
</file>

<file path=xl/comments/comment10.xml><?xml version="1.0" encoding="utf-8"?>
<comments xmlns="http://schemas.openxmlformats.org/spreadsheetml/2006/main">
  <authors>
    <author>Claude</author>
  </authors>
  <commentList>
    <comment ref="C7" authorId="0" shapeId="0">
      <text>
        <t>C7:C258, D7:D258 and E7:E258 are multi-cell FactSet array formulas, so the full trailing 1-year daily series (~252 trading days) spills down and the chart fills. Refresh with FactSet &gt; Refresh. Return columns return #N/A (skipped by the chart) for any day FactSet does not populate.</t>
      </text>
    </comment>
  </commentList>
</comments>
</file>

<file path=xl/comments/comment11.xml><?xml version="1.0" encoding="utf-8"?>
<comments xmlns="http://schemas.openxmlformats.org/spreadsheetml/2006/main">
  <authors>
    <author>Stephan Abedi</author>
  </authors>
  <commentList>
    <comment ref="E7" authorId="0" shapeId="0">
      <text>
        <t>Equally weighted to avoid bias.</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chart" Target="/xl/charts/chart2.xml" Id="rId1"/></Relationships>
</file>

<file path=xl/drawings/_rels/drawing4.xml.rels><Relationships xmlns="http://schemas.openxmlformats.org/package/2006/relationships"><Relationship Type="http://schemas.openxmlformats.org/officeDocument/2006/relationships/chart" Target="/xl/charts/chart3.xml" Id="rId1"/></Relationships>
</file>

<file path=xl/drawings/_rels/drawing5.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twoCellAnchor editAs="oneCell">
    <from>
      <col>4</col>
      <colOff>1024895</colOff>
      <row>3</row>
      <rowOff>124500</rowOff>
    </from>
    <to>
      <col>7</col>
      <colOff>644232</colOff>
      <row>6</row>
      <rowOff>154546</rowOff>
    </to>
    <pic>
      <nvPicPr>
        <cNvPr id="3" name="Picture 2" descr="Xerox logo and symbol, meaning, history, PNG, brand"/>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t="25758" b="25758"/>
        <a:stretch xmlns:a="http://schemas.openxmlformats.org/drawingml/2006/main">
          <a:fillRect/>
        </a:stretch>
      </blipFill>
      <spPr>
        <a:xfrm xmlns:a="http://schemas.openxmlformats.org/drawingml/2006/main">
          <a:off x="3765978" y="696000"/>
          <a:ext cx="2741421" cy="79204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2</col>
      <colOff>0</colOff>
      <row>34</row>
      <rowOff>0</rowOff>
    </from>
    <to>
      <col>11</col>
      <colOff>0</colOff>
      <row>53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oneCellAnchor>
    <from>
      <col>2</col>
      <colOff>576790</colOff>
      <row>18</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twoCellAnchor>
    <from>
      <col>9</col>
      <colOff>44824</colOff>
      <row>8</row>
      <rowOff>35859</rowOff>
    </from>
    <to>
      <col>16</col>
      <colOff>932329</colOff>
      <row>31</row>
      <rowOff>152400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1</col>
      <colOff>60960</colOff>
      <row>30</row>
      <rowOff>45720</rowOff>
    </from>
    <to>
      <col>7</col>
      <colOff>807720</colOff>
      <row>47</row>
      <rowOff>30480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__FDSCACHE__"/>
      <sheetName val="Cover Page"/>
      <sheetName val="Model Executive Summary"/>
      <sheetName val="Transaction Summary &amp; Returns &gt;"/>
      <sheetName val="Transaction Summary"/>
      <sheetName val="Returns Analysis"/>
      <sheetName val="Financial Statements &gt;"/>
      <sheetName val="Proforma 3SM"/>
      <sheetName val="$FRSH Standalone 3SM"/>
      <sheetName val="$PD Standalone 3SM"/>
      <sheetName val="Assumptions &gt;"/>
      <sheetName val="$FRSH Standalone Assumptions"/>
      <sheetName val="$PD Standalone Assumptions"/>
      <sheetName val="Synergy Analysis"/>
      <sheetName val="Discounted Cash Flow Analysis&gt; "/>
      <sheetName val="$FRSH DCF"/>
      <sheetName val="$PD DCF"/>
      <sheetName val="$FRSH Beta Regression"/>
      <sheetName val="$PD Beta Regression"/>
      <sheetName val="Comparables Analysis &gt;"/>
      <sheetName val="Precendent Transactions"/>
      <sheetName val="$FRSH Comparable Companies"/>
      <sheetName val="$FRSH Comps Beta Regression"/>
      <sheetName val="$PD Comparable Companies "/>
      <sheetName val="$PD Comps Beta Regression"/>
      <sheetName val="$FRSH-$PD NewCo Comps"/>
      <sheetName val="NewCo Comps Beta Regression"/>
      <sheetName val="Valuation Football Field &gt;"/>
      <sheetName val="$FRSH Valuation FF"/>
      <sheetName val="$PD Valuation FF"/>
      <sheetName val="Stock Performance &gt; "/>
      <sheetName val="$FRSH Stock Performance"/>
      <sheetName val="$PD Stock Performance"/>
      <sheetName val="Graphs &amp; Supplementals"/>
    </sheetNames>
    <sheetDataSet>
      <sheetData sheetId="0"/>
      <sheetData sheetId="1">
        <row r="1">
          <cell r="A1" t="str">
            <v>Return to Cover</v>
          </cell>
        </row>
        <row r="2">
          <cell r="C2" t="str">
            <v>Project Carter Spence</v>
          </cell>
        </row>
        <row r="13">
          <cell r="E13">
            <v>2</v>
          </cell>
        </row>
        <row r="14">
          <cell r="E14">
            <v>1</v>
          </cell>
        </row>
        <row r="15">
          <cell r="E15">
            <v>1</v>
          </cell>
        </row>
        <row r="16">
          <cell r="E16" t="str">
            <v>FRSH</v>
          </cell>
        </row>
        <row r="18">
          <cell r="E18">
            <v>2</v>
          </cell>
        </row>
        <row r="19">
          <cell r="E19">
            <v>360</v>
          </cell>
        </row>
        <row r="20">
          <cell r="E20">
            <v>2</v>
          </cell>
        </row>
      </sheetData>
      <sheetData sheetId="2"/>
      <sheetData sheetId="3"/>
      <sheetData sheetId="4">
        <row r="10">
          <cell r="M10">
            <v>2.0690312759375367</v>
          </cell>
        </row>
        <row r="15">
          <cell r="G15">
            <v>11.375</v>
          </cell>
        </row>
      </sheetData>
      <sheetData sheetId="5"/>
      <sheetData sheetId="6"/>
      <sheetData sheetId="7"/>
      <sheetData sheetId="8">
        <row r="10">
          <cell r="M10">
            <v>963.28825560000007</v>
          </cell>
        </row>
        <row r="38">
          <cell r="M38">
            <v>255.27138773400003</v>
          </cell>
        </row>
      </sheetData>
      <sheetData sheetId="9">
        <row r="7">
          <cell r="J7">
            <v>517.17330000000004</v>
          </cell>
        </row>
      </sheetData>
      <sheetData sheetId="10"/>
      <sheetData sheetId="11"/>
      <sheetData sheetId="12"/>
      <sheetData sheetId="13"/>
      <sheetData sheetId="14"/>
      <sheetData sheetId="15">
        <row r="73">
          <cell r="H73">
            <v>13.370146105126882</v>
          </cell>
        </row>
        <row r="75">
          <cell r="J75">
            <v>17.13433597115214</v>
          </cell>
        </row>
        <row r="99">
          <cell r="J99">
            <v>19.139136691638882</v>
          </cell>
        </row>
        <row r="101">
          <cell r="H101">
            <v>34.045404420184326</v>
          </cell>
        </row>
      </sheetData>
      <sheetData sheetId="16"/>
      <sheetData sheetId="17">
        <row r="9">
          <cell r="F9" t="e">
            <v>#DIV/0!</v>
          </cell>
        </row>
      </sheetData>
      <sheetData sheetId="18"/>
      <sheetData sheetId="19"/>
      <sheetData sheetId="20">
        <row r="33">
          <cell r="J33">
            <v>19.438092625725762</v>
          </cell>
        </row>
        <row r="34">
          <cell r="J34">
            <v>26.122459864761126</v>
          </cell>
        </row>
      </sheetData>
      <sheetData sheetId="21">
        <row r="12">
          <cell r="C12" t="str">
            <v>Freshworks, Inc. Class A</v>
          </cell>
          <cell r="E12" t="str">
            <v>FRSH</v>
          </cell>
          <cell r="G12">
            <v>243.90721130371099</v>
          </cell>
          <cell r="J12">
            <v>42.503</v>
          </cell>
          <cell r="K12">
            <v>843.745</v>
          </cell>
        </row>
        <row r="30">
          <cell r="X30">
            <v>12.819751685008935</v>
          </cell>
          <cell r="Z30">
            <v>12.846307038798528</v>
          </cell>
          <cell r="AB30">
            <v>13.451075628470905</v>
          </cell>
          <cell r="AD30">
            <v>13.761168445216612</v>
          </cell>
        </row>
        <row r="31">
          <cell r="X31">
            <v>13.210378173190163</v>
          </cell>
          <cell r="Z31">
            <v>13.796482249156153</v>
          </cell>
          <cell r="AB31">
            <v>15.488547098657435</v>
          </cell>
          <cell r="AD31">
            <v>16.55035894043959</v>
          </cell>
        </row>
      </sheetData>
      <sheetData sheetId="22">
        <row r="9">
          <cell r="E9">
            <v>0.99876205100206661</v>
          </cell>
        </row>
      </sheetData>
      <sheetData sheetId="23">
        <row r="12">
          <cell r="C12" t="str">
            <v>PagerDuty, Inc.</v>
          </cell>
        </row>
      </sheetData>
      <sheetData sheetId="24"/>
      <sheetData sheetId="25"/>
      <sheetData sheetId="26"/>
      <sheetData sheetId="27"/>
      <sheetData sheetId="28">
        <row r="7">
          <cell r="C7" t="str">
            <v>EV/FCF NTM</v>
          </cell>
        </row>
      </sheetData>
      <sheetData sheetId="29"/>
      <sheetData sheetId="30"/>
      <sheetData sheetId="31">
        <row r="6">
          <cell r="F6" t="str">
            <v>FRSH Return</v>
          </cell>
        </row>
      </sheetData>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ustom 2">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2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23.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25.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tabColor theme="2" tint="-0.09997863704336681"/>
    <outlinePr summaryBelow="1" summaryRight="1"/>
    <pageSetUpPr fitToPage="1"/>
  </sheetPr>
  <dimension ref="A1:K39"/>
  <sheetViews>
    <sheetView showGridLines="0" tabSelected="1" view="pageBreakPreview" topLeftCell="A11" zoomScaleNormal="100" zoomScaleSheetLayoutView="100" workbookViewId="0">
      <selection activeCell="C24" sqref="C24"/>
    </sheetView>
  </sheetViews>
  <sheetFormatPr baseColWidth="8" defaultRowHeight="14.5"/>
  <cols>
    <col width="1.7265625" customWidth="1" min="1" max="2"/>
    <col width="22" customWidth="1" min="3" max="3"/>
    <col width="15.54296875" customWidth="1" min="4" max="6"/>
    <col width="15.7265625" customWidth="1" min="7" max="7"/>
    <col width="15.54296875" customWidth="1" min="8" max="11"/>
    <col width="1.7265625" customWidth="1" min="12" max="12"/>
  </cols>
  <sheetData>
    <row r="1">
      <c r="A1" s="1" t="inlineStr">
        <is>
          <t>Return to Cover</t>
        </is>
      </c>
    </row>
    <row r="2" ht="15" customHeight="1">
      <c r="C2" s="2" t="inlineStr">
        <is>
          <t>Xerox Holdings Corporation (NASDAQ: XRX) – Restructuring Model</t>
        </is>
      </c>
      <c r="D2" s="2" t="n"/>
      <c r="E2" s="2" t="n"/>
      <c r="F2" s="2" t="n"/>
      <c r="G2" s="2" t="n"/>
      <c r="H2" s="2" t="n"/>
      <c r="I2" s="2" t="n"/>
      <c r="J2" s="2" t="n"/>
      <c r="K2" s="2" t="n"/>
    </row>
    <row r="3">
      <c r="C3" s="3" t="inlineStr">
        <is>
          <t>All $ in Millions (USD), except Per-Share Values</t>
        </is>
      </c>
      <c r="D3" s="3" t="n"/>
      <c r="E3" s="3" t="n"/>
      <c r="F3" s="3" t="n"/>
      <c r="G3" s="3" t="n"/>
      <c r="H3" s="3" t="n"/>
      <c r="I3" s="3" t="n"/>
      <c r="J3" s="3" t="n"/>
      <c r="K3" s="3" t="n"/>
    </row>
    <row r="6" ht="30" customHeight="1">
      <c r="C6" s="4" t="n"/>
      <c r="D6" s="4" t="n"/>
      <c r="E6" s="4" t="n"/>
      <c r="F6" s="4" t="n"/>
      <c r="G6" s="4" t="n"/>
      <c r="H6" s="4" t="n"/>
      <c r="I6" s="4" t="n"/>
      <c r="J6" s="4" t="n"/>
      <c r="K6" s="4" t="n"/>
    </row>
    <row r="7" ht="15.75" customHeight="1">
      <c r="D7" s="5" t="n"/>
      <c r="E7" s="5" t="n"/>
      <c r="F7" s="5" t="n"/>
      <c r="G7" s="5" t="n"/>
      <c r="H7" s="5" t="n"/>
      <c r="I7" s="5" t="n"/>
      <c r="J7" s="5" t="n"/>
      <c r="K7" s="5" t="n"/>
    </row>
    <row r="8" ht="15.75" customHeight="1">
      <c r="C8" s="5" t="inlineStr">
        <is>
          <t>Credit &amp; Restructuring Analysis</t>
        </is>
      </c>
      <c r="D8" s="91" t="n"/>
      <c r="E8" s="91" t="n"/>
      <c r="F8" s="91" t="n"/>
      <c r="G8" s="91" t="n"/>
      <c r="H8" s="91" t="n"/>
      <c r="I8" s="91" t="n"/>
      <c r="J8" s="91" t="n"/>
      <c r="K8" s="91" t="n"/>
    </row>
    <row r="10">
      <c r="C10" s="6" t="inlineStr">
        <is>
          <t>Last Updated</t>
        </is>
      </c>
      <c r="D10" s="6" t="n"/>
      <c r="E10" s="7" t="n"/>
      <c r="F10" s="90">
        <f>TODAY()</f>
        <v/>
      </c>
      <c r="G10" s="89" t="n"/>
      <c r="H10" s="6" t="inlineStr">
        <is>
          <t>Data As Of</t>
        </is>
      </c>
      <c r="I10" s="6" t="n"/>
      <c r="J10" s="8" t="inlineStr">
        <is>
          <t>2Q'26 (June 30, 2026)</t>
        </is>
      </c>
      <c r="K10" s="9" t="n"/>
    </row>
    <row r="12">
      <c r="C12" s="10" t="inlineStr">
        <is>
          <t>Color Coding</t>
        </is>
      </c>
      <c r="D12" s="11" t="inlineStr">
        <is>
          <t>R</t>
        </is>
      </c>
      <c r="E12" s="11" t="inlineStr">
        <is>
          <t>G</t>
        </is>
      </c>
      <c r="F12" s="11" t="inlineStr">
        <is>
          <t>B</t>
        </is>
      </c>
      <c r="H12" s="12" t="inlineStr">
        <is>
          <t>Links (Ctrl + [ to Jump to Sheet)</t>
        </is>
      </c>
      <c r="I12" s="12" t="n"/>
      <c r="J12" s="12" t="n"/>
      <c r="K12" s="12" t="n"/>
    </row>
    <row r="13">
      <c r="C13" s="13" t="inlineStr">
        <is>
          <t>Formulas</t>
        </is>
      </c>
      <c r="D13" s="14" t="n">
        <v>0</v>
      </c>
      <c r="E13" s="14" t="n">
        <v>0</v>
      </c>
      <c r="F13" s="14" t="n">
        <v>0</v>
      </c>
      <c r="H13" s="15" t="inlineStr">
        <is>
          <t>Financial Statements</t>
        </is>
      </c>
    </row>
    <row r="14">
      <c r="C14" s="16" t="inlineStr">
        <is>
          <t>Hard-Code</t>
        </is>
      </c>
      <c r="D14" s="14" t="n">
        <v>0</v>
      </c>
      <c r="E14" s="14" t="n">
        <v>0</v>
      </c>
      <c r="F14" s="14" t="n">
        <v>255</v>
      </c>
      <c r="H14" s="17">
        <f>'Income Statement'!A1</f>
        <v/>
      </c>
    </row>
    <row r="15">
      <c r="C15" s="18" t="inlineStr">
        <is>
          <t>Link to Other Sheets</t>
        </is>
      </c>
      <c r="D15" s="14" t="n">
        <v>0</v>
      </c>
      <c r="E15" s="14" t="n">
        <v>128</v>
      </c>
      <c r="F15" s="14" t="n">
        <v>0</v>
      </c>
      <c r="H15" s="17">
        <f>'Income Statement Output'!A1</f>
        <v/>
      </c>
    </row>
    <row r="16">
      <c r="C16" s="19" t="inlineStr">
        <is>
          <t>Highlight Value (Check)</t>
        </is>
      </c>
      <c r="D16" s="14" t="n">
        <v>255</v>
      </c>
      <c r="E16" s="14" t="n">
        <v>0</v>
      </c>
      <c r="F16" s="14" t="n">
        <v>0</v>
      </c>
      <c r="H16" s="17">
        <f>'Cash Flow Statement'!A1</f>
        <v/>
      </c>
    </row>
    <row r="17">
      <c r="H17" s="17">
        <f>'Cash Flow Statement Output'!A1</f>
        <v/>
      </c>
    </row>
    <row r="18">
      <c r="C18" s="20" t="inlineStr">
        <is>
          <t>Heading 1</t>
        </is>
      </c>
      <c r="D18" s="14" t="n">
        <v>0</v>
      </c>
      <c r="E18" s="14" t="n">
        <v>32</v>
      </c>
      <c r="F18" s="14" t="n">
        <v>96</v>
      </c>
      <c r="H18" s="17">
        <f>'Balance Sheet'!A1</f>
        <v/>
      </c>
    </row>
    <row r="19">
      <c r="C19" s="21" t="inlineStr">
        <is>
          <t>Heading 2</t>
        </is>
      </c>
      <c r="D19" s="14" t="n">
        <v>128</v>
      </c>
      <c r="E19" s="14" t="n">
        <v>128</v>
      </c>
      <c r="F19" s="14" t="n">
        <v>128</v>
      </c>
      <c r="H19" s="17">
        <f>'Balance Sheet Output'!A1</f>
        <v/>
      </c>
    </row>
    <row r="20">
      <c r="H20" s="15" t="inlineStr">
        <is>
          <t>Credit Analysis</t>
        </is>
      </c>
    </row>
    <row r="21">
      <c r="C21" s="22" t="inlineStr">
        <is>
          <t>Input/Driver</t>
        </is>
      </c>
      <c r="D21" s="14" t="n">
        <v>255</v>
      </c>
      <c r="E21" s="14" t="n">
        <v>242</v>
      </c>
      <c r="F21" s="14" t="n">
        <v>204</v>
      </c>
      <c r="H21" s="17">
        <f>'NWC'!A1</f>
        <v/>
      </c>
    </row>
    <row r="22">
      <c r="H22" s="17">
        <f>'Quarterly NWC'!A1</f>
        <v/>
      </c>
    </row>
    <row r="23">
      <c r="C23" s="23" t="inlineStr">
        <is>
          <t>Sources</t>
        </is>
      </c>
      <c r="D23" s="24" t="n"/>
      <c r="E23" s="24" t="n"/>
      <c r="F23" s="24" t="n"/>
      <c r="H23" s="17">
        <f>'Capital Structure'!A1</f>
        <v/>
      </c>
    </row>
    <row r="24">
      <c r="C24" s="25" t="inlineStr">
        <is>
          <t>SEC EDGAR – Xerox 10-K &amp; 10-Q Filings</t>
        </is>
      </c>
      <c r="H24" s="17">
        <f>'Maturity Schedule'!A1</f>
        <v/>
      </c>
    </row>
    <row r="25">
      <c r="C25" s="25" t="inlineStr">
        <is>
          <t>Xerox Investor Relations – Earnings Materials</t>
        </is>
      </c>
      <c r="H25" s="17" t="n"/>
    </row>
    <row r="26">
      <c r="C26" s="25" t="inlineStr">
        <is>
          <t>Moody's &amp; S&amp;P Rating Actions</t>
        </is>
      </c>
      <c r="H26" s="15" t="inlineStr">
        <is>
          <t>Analysis</t>
        </is>
      </c>
    </row>
    <row r="27">
      <c r="C27" s="25" t="inlineStr">
        <is>
          <t>TRACE-Based Bond Quotes (Indicative)</t>
        </is>
      </c>
      <c r="H27" s="17">
        <f>'Precedent Transactions'!A1</f>
        <v/>
      </c>
    </row>
    <row r="28">
      <c r="C28" s="25" t="inlineStr">
        <is>
          <t>Federal Reserve Bank of New York – SOFR</t>
        </is>
      </c>
      <c r="H28" s="17">
        <f>'$XRX Comparable Companies'!A1</f>
        <v/>
      </c>
    </row>
    <row r="29">
      <c r="C29" s="26" t="inlineStr">
        <is>
          <t>Note: All Financials Pulled from Xerox 10-Qs &amp; 10-Ks</t>
        </is>
      </c>
      <c r="H29" s="17">
        <f>'$XRX Revenue Build'!A1</f>
        <v/>
      </c>
    </row>
    <row r="30">
      <c r="H30" s="17">
        <f>'$XRX DCF Operating Assumptions'!A1</f>
        <v/>
      </c>
    </row>
    <row r="31">
      <c r="C31" s="6" t="inlineStr">
        <is>
          <t>Active Case (DCF / Revenue Build)</t>
        </is>
      </c>
      <c r="D31" s="6" t="n"/>
      <c r="E31" s="7" t="n"/>
      <c r="F31" s="860" t="inlineStr">
        <is>
          <t>Base</t>
        </is>
      </c>
      <c r="H31" s="17">
        <f>'$XRX DCF'!A1</f>
        <v/>
      </c>
    </row>
    <row r="32">
      <c r="H32" s="17">
        <f>'Liquidity Analysis'!A1</f>
        <v/>
      </c>
    </row>
    <row r="33"/>
    <row r="34">
      <c r="H34" s="15" t="inlineStr">
        <is>
          <t>Stock Performance &amp; Valuation</t>
        </is>
      </c>
    </row>
    <row r="35">
      <c r="H35" s="17">
        <f>'$XRX Stock Performance'!A1</f>
        <v/>
      </c>
    </row>
    <row r="36">
      <c r="H36" s="17">
        <f>'$FRSH Valuation FF'!A1</f>
        <v/>
      </c>
    </row>
    <row r="37">
      <c r="H37" s="17">
        <f>'Charts'!A1</f>
        <v/>
      </c>
    </row>
    <row r="38"/>
    <row r="39"/>
  </sheetData>
  <dataValidations count="1">
    <dataValidation sqref="F31" showDropDown="0" showInputMessage="0" showErrorMessage="0" allowBlank="0" type="list">
      <formula1>"Bear,Base,Bull"</formula1>
    </dataValidation>
  </dataValidations>
  <hyperlinks>
    <hyperlink ref="H14" location="'Income Statement'!A1" display="Income Statement"/>
    <hyperlink ref="H15" location="'Income Statement Output'!A1" display="Income Statement Output"/>
    <hyperlink ref="H16" location="'Cash Flow Statement'!A1" display="Cash Flow Statement"/>
    <hyperlink ref="H17" location="'Cash Flow Statement Output'!A1" display="Cash Flow Statement Output"/>
    <hyperlink ref="H18" location="'Balance Sheet'!A1" display="Balance Sheet"/>
    <hyperlink ref="H19" location="'Balance Sheet Output'!A1" display="Balance Sheet Output"/>
    <hyperlink ref="H21" location="'NWC'!A1" display="NWC"/>
    <hyperlink ref="H22" location="'Quarterly NWC'!A1" display="Quarterly NWC"/>
    <hyperlink ref="H23" location="'Capital Structure'!A1" display="Capital Structure"/>
    <hyperlink ref="H24" location="'Maturity Schedule'!A1" display="Maturity Schedule"/>
    <hyperlink ref="H27" location="'Precedent Transactions'!A1" display="Precedent Transactions"/>
    <hyperlink ref="H28" location="'$XRX Comparable Companies'!A1" display="$XRX Comparable Companies"/>
    <hyperlink ref="H29" location="'$XRX Revenue Build'!A1" display="$XRX Revenue Build"/>
    <hyperlink ref="H30" location="'$XRX DCF Operating Assumptions'!A1" display="$XRX DCF Operating Assumptions"/>
    <hyperlink ref="H31" location="'$XRX DCF'!A1" display="$XRX DCF"/>
    <hyperlink ref="H32" location="'Liquidity Analysis'!A1" display="Liquidity Analysis"/>
    <hyperlink ref="H35" location="'$XRX Stock Performance'!A1" display="$XRX Stock Performance"/>
    <hyperlink ref="H36" location="'$FRSH Valuation FF'!A1" display="$FRSH Valuation FF"/>
    <hyperlink ref="H37" location="'Charts'!A1" display="Charts"/>
  </hyperlinks>
  <pageMargins left="0.75" right="0.75" top="1" bottom="1" header="0.5" footer="0.5"/>
  <pageSetup orientation="landscape" scale="8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tabColor theme="3"/>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4.5"/>
  <cols>
    <col width="24" customWidth="1" min="1" max="1"/>
  </cols>
  <sheetData>
    <row r="1">
      <c r="A1" s="92" t="inlineStr">
        <is>
          <t>Financial Statements &gt;</t>
        </is>
      </c>
      <c r="B1" s="332">
        <f>'Cover Page'!A1</f>
        <v/>
      </c>
    </row>
  </sheetData>
  <hyperlinks>
    <hyperlink ref="B1" location="'Cover Page'!A1" display="'Cover Page'!A1"/>
  </hyperlinks>
  <pageMargins left="0.75" right="0.75" top="1" bottom="1" header="0.5" footer="0.5"/>
  <pageSetup orientation="portrait" verticalDpi="0"/>
</worksheet>
</file>

<file path=xl/worksheets/sheet3.xml><?xml version="1.0" encoding="utf-8"?>
<worksheet xmlns="http://schemas.openxmlformats.org/spreadsheetml/2006/main">
  <sheetPr>
    <tabColor theme="3"/>
    <outlinePr summaryBelow="1" summaryRight="1"/>
    <pageSetUpPr fitToPage="1"/>
  </sheetPr>
  <dimension ref="A1:AH65"/>
  <sheetViews>
    <sheetView showGridLines="0" tabSelected="0" view="pageBreakPreview" zoomScaleNormal="100" zoomScaleSheetLayoutView="100" workbookViewId="0">
      <selection activeCell="A1" sqref="A1"/>
    </sheetView>
  </sheetViews>
  <sheetFormatPr baseColWidth="8" defaultColWidth="8.7265625" defaultRowHeight="14.5"/>
  <cols>
    <col width="1.7265625" customWidth="1" min="1" max="1"/>
    <col width="1.7265625" customWidth="1" style="89" min="2" max="2"/>
    <col width="52" customWidth="1" style="89" min="3" max="3"/>
    <col width="12.1796875" customWidth="1" min="4" max="4"/>
    <col width="10.453125" customWidth="1" min="5" max="24"/>
    <col width="10.453125" customWidth="1" style="89" min="25" max="25"/>
    <col width="1.54296875" customWidth="1" style="89" min="26" max="26"/>
    <col width="12.1796875" customWidth="1" style="89" min="27" max="27"/>
    <col width="10.453125" customWidth="1" min="28" max="30"/>
    <col width="10.453125" customWidth="1" style="89" min="31" max="31"/>
    <col width="1.54296875" customWidth="1" style="89" min="32" max="32"/>
    <col width="12.54296875" customWidth="1" style="89" min="33" max="33"/>
    <col width="10.453125" customWidth="1" style="89" min="34" max="34"/>
    <col width="1.7265625" customWidth="1" style="89" min="35" max="35"/>
  </cols>
  <sheetData>
    <row r="1" ht="12.75" customHeight="1">
      <c r="A1" s="29">
        <f>C3</f>
        <v/>
      </c>
      <c r="B1" s="101">
        <f>'Cover Page'!A1</f>
        <v/>
      </c>
      <c r="C1" s="94"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c r="AE1" s="30" t="n"/>
      <c r="AF1" s="30" t="n"/>
      <c r="AG1" s="30" t="n"/>
      <c r="AH1" s="94" t="n"/>
    </row>
    <row r="2" ht="12.75" customHeight="1">
      <c r="A2" s="30" t="n"/>
      <c r="B2" s="94" t="n"/>
      <c r="C2" s="94"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c r="AA2" s="30" t="n"/>
      <c r="AB2" s="30" t="n"/>
      <c r="AC2" s="30" t="n"/>
      <c r="AD2" s="30" t="n"/>
      <c r="AE2" s="30" t="n"/>
      <c r="AF2" s="30" t="n"/>
      <c r="AG2" s="30" t="n"/>
      <c r="AH2" s="94" t="n"/>
    </row>
    <row r="3" ht="14.25" customHeight="1">
      <c r="A3" s="30" t="n"/>
      <c r="B3" s="94" t="n"/>
      <c r="C3" s="31" t="inlineStr">
        <is>
          <t>Historical Income Statement</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93" t="inlineStr">
        <is>
          <t>Xerox Holding Corporation</t>
        </is>
      </c>
    </row>
    <row r="4" ht="12.75" customHeight="1">
      <c r="A4" s="30" t="n"/>
      <c r="B4" s="94" t="n"/>
      <c r="C4" s="95" t="inlineStr">
        <is>
          <t>All values in $ millions (USD), except per-share values</t>
        </is>
      </c>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c r="AA4" s="33" t="n"/>
      <c r="AB4" s="33" t="n"/>
      <c r="AC4" s="33" t="n"/>
      <c r="AD4" s="33" t="n"/>
      <c r="AE4" s="33" t="n"/>
      <c r="AF4" s="33" t="n"/>
      <c r="AG4" s="33" t="n"/>
      <c r="AH4" s="96" t="n"/>
    </row>
    <row r="5" ht="12.75" customHeight="1">
      <c r="A5" s="94" t="n"/>
      <c r="B5" s="94" t="n"/>
      <c r="C5" s="95" t="n"/>
      <c r="D5" s="94" t="n"/>
      <c r="E5" s="94" t="n"/>
      <c r="F5" s="94" t="n"/>
      <c r="G5" s="94" t="n"/>
      <c r="H5" s="94" t="n"/>
      <c r="I5" s="94" t="n"/>
      <c r="J5" s="94" t="n"/>
      <c r="K5" s="94" t="n"/>
      <c r="L5" s="94" t="n"/>
      <c r="M5" s="94" t="n"/>
      <c r="N5" s="94" t="n"/>
      <c r="O5" s="94" t="n"/>
      <c r="P5" s="94" t="n"/>
      <c r="Q5" s="94" t="n"/>
      <c r="R5" s="94" t="n"/>
      <c r="S5" s="94" t="n"/>
      <c r="T5" s="94" t="n"/>
      <c r="U5" s="94" t="n"/>
      <c r="V5" s="94" t="n"/>
      <c r="W5" s="94" t="n"/>
      <c r="X5" s="94" t="n"/>
      <c r="Y5" s="94" t="n"/>
      <c r="Z5" s="94" t="n"/>
      <c r="AA5" s="94" t="n"/>
      <c r="AB5" s="94" t="n"/>
      <c r="AC5" s="94" t="n"/>
      <c r="AD5" s="94" t="n"/>
      <c r="AE5" s="94" t="n"/>
      <c r="AF5" s="94" t="n"/>
      <c r="AG5" s="94" t="n"/>
      <c r="AH5" s="96" t="n"/>
    </row>
    <row r="6" ht="15" customHeight="1">
      <c r="A6" s="30" t="inlineStr">
        <is>
          <t>x</t>
        </is>
      </c>
      <c r="B6" s="94" t="inlineStr">
        <is>
          <t>x</t>
        </is>
      </c>
      <c r="C6" s="35" t="inlineStr">
        <is>
          <t>Income Statement</t>
        </is>
      </c>
      <c r="D6" s="36" t="inlineStr">
        <is>
          <t>Quarter Ended</t>
        </is>
      </c>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131" t="n"/>
      <c r="AA6" s="132" t="inlineStr">
        <is>
          <t>Fiscal Year Ended December 31,</t>
        </is>
      </c>
      <c r="AB6" s="132" t="n"/>
      <c r="AC6" s="132" t="n"/>
      <c r="AD6" s="132" t="n"/>
      <c r="AE6" s="132" t="n"/>
      <c r="AF6" s="131" t="n"/>
      <c r="AG6" s="133" t="inlineStr">
        <is>
          <t>LTM</t>
        </is>
      </c>
      <c r="AH6" s="133" t="n"/>
    </row>
    <row r="7" ht="15" customHeight="1">
      <c r="A7" s="30" t="n"/>
      <c r="B7" s="94" t="n"/>
      <c r="C7" s="97" t="n"/>
      <c r="D7" s="98" t="inlineStr">
        <is>
          <t>1Q'21</t>
        </is>
      </c>
      <c r="E7" s="98" t="inlineStr">
        <is>
          <t>2Q'21</t>
        </is>
      </c>
      <c r="F7" s="98" t="inlineStr">
        <is>
          <t>3Q'21</t>
        </is>
      </c>
      <c r="G7" s="98" t="inlineStr">
        <is>
          <t>4Q'21</t>
        </is>
      </c>
      <c r="H7" s="98" t="inlineStr">
        <is>
          <t>1Q'22</t>
        </is>
      </c>
      <c r="I7" s="98" t="inlineStr">
        <is>
          <t>2Q'22</t>
        </is>
      </c>
      <c r="J7" s="98" t="inlineStr">
        <is>
          <t>3Q'22</t>
        </is>
      </c>
      <c r="K7" s="98" t="inlineStr">
        <is>
          <t>4Q'22</t>
        </is>
      </c>
      <c r="L7" s="98" t="inlineStr">
        <is>
          <t>1Q'23</t>
        </is>
      </c>
      <c r="M7" s="98" t="inlineStr">
        <is>
          <t>2Q'23</t>
        </is>
      </c>
      <c r="N7" s="98" t="inlineStr">
        <is>
          <t>3Q'23</t>
        </is>
      </c>
      <c r="O7" s="98" t="inlineStr">
        <is>
          <t>4Q'23</t>
        </is>
      </c>
      <c r="P7" s="98" t="inlineStr">
        <is>
          <t>1Q'24</t>
        </is>
      </c>
      <c r="Q7" s="98" t="inlineStr">
        <is>
          <t>2Q'24</t>
        </is>
      </c>
      <c r="R7" s="98" t="inlineStr">
        <is>
          <t>3Q'24</t>
        </is>
      </c>
      <c r="S7" s="98" t="inlineStr">
        <is>
          <t>4Q'24</t>
        </is>
      </c>
      <c r="T7" s="98" t="inlineStr">
        <is>
          <t>1Q'25</t>
        </is>
      </c>
      <c r="U7" s="98" t="inlineStr">
        <is>
          <t>2Q'25</t>
        </is>
      </c>
      <c r="V7" s="98" t="inlineStr">
        <is>
          <t>3Q'25</t>
        </is>
      </c>
      <c r="W7" s="98" t="inlineStr">
        <is>
          <t>4Q'25</t>
        </is>
      </c>
      <c r="X7" s="98" t="inlineStr">
        <is>
          <t>1Q'26</t>
        </is>
      </c>
      <c r="Y7" s="98" t="inlineStr">
        <is>
          <t>2Q'26</t>
        </is>
      </c>
      <c r="Z7" s="100" t="n"/>
      <c r="AA7" s="98" t="inlineStr">
        <is>
          <t>FY2021</t>
        </is>
      </c>
      <c r="AB7" s="98" t="inlineStr">
        <is>
          <t>FY2022</t>
        </is>
      </c>
      <c r="AC7" s="98" t="inlineStr">
        <is>
          <t>FY2023</t>
        </is>
      </c>
      <c r="AD7" s="98" t="inlineStr">
        <is>
          <t>FY2024</t>
        </is>
      </c>
      <c r="AE7" s="98" t="inlineStr">
        <is>
          <t>FY2025</t>
        </is>
      </c>
      <c r="AF7" s="100" t="n"/>
      <c r="AG7" s="98" t="inlineStr">
        <is>
          <t>LTM 2Q'25</t>
        </is>
      </c>
      <c r="AH7" s="98" t="inlineStr">
        <is>
          <t>LTM 2Q'26</t>
        </is>
      </c>
    </row>
    <row r="8" ht="3" customHeight="1">
      <c r="A8" s="30" t="n"/>
      <c r="B8" s="94" t="n"/>
      <c r="C8" s="94" t="n"/>
      <c r="D8" s="30" t="n"/>
      <c r="E8" s="30" t="n"/>
      <c r="F8" s="30" t="n"/>
      <c r="G8" s="30" t="n"/>
      <c r="H8" s="30" t="n"/>
      <c r="I8" s="30" t="n"/>
      <c r="J8" s="30" t="n"/>
      <c r="K8" s="30" t="n"/>
      <c r="L8" s="30" t="n"/>
      <c r="M8" s="30" t="n"/>
      <c r="N8" s="30" t="n"/>
      <c r="O8" s="30" t="n"/>
      <c r="P8" s="30" t="n"/>
      <c r="Q8" s="30" t="n"/>
      <c r="R8" s="30" t="n"/>
      <c r="S8" s="30" t="n"/>
      <c r="T8" s="30" t="n"/>
      <c r="U8" s="30" t="n"/>
      <c r="V8" s="30" t="n"/>
      <c r="W8" s="30" t="n"/>
      <c r="X8" s="30" t="n"/>
      <c r="Y8" s="30" t="n"/>
      <c r="Z8" s="30" t="n"/>
      <c r="AA8" s="30" t="n"/>
      <c r="AB8" s="30" t="n"/>
      <c r="AC8" s="30" t="n"/>
      <c r="AD8" s="30" t="n"/>
      <c r="AE8" s="30" t="n"/>
      <c r="AF8" s="30" t="n"/>
      <c r="AG8" s="30" t="n"/>
      <c r="AH8" s="94" t="n"/>
    </row>
    <row r="9" ht="12.75" customHeight="1">
      <c r="A9" s="94" t="n"/>
      <c r="B9" s="94" t="n"/>
      <c r="C9" s="100" t="inlineStr">
        <is>
          <t>Revenues:</t>
        </is>
      </c>
      <c r="D9" s="94" t="n"/>
      <c r="E9" s="94" t="n"/>
      <c r="F9" s="94" t="n"/>
      <c r="G9" s="94" t="n"/>
      <c r="H9" s="94" t="n"/>
      <c r="I9" s="94" t="n"/>
      <c r="J9" s="94" t="n"/>
      <c r="K9" s="94" t="n"/>
      <c r="L9" s="94" t="n"/>
      <c r="M9" s="94" t="n"/>
      <c r="N9" s="94" t="n"/>
      <c r="O9" s="94" t="n"/>
      <c r="P9" s="94" t="n"/>
      <c r="Q9" s="94" t="n"/>
      <c r="R9" s="94" t="n"/>
      <c r="S9" s="94" t="n"/>
      <c r="T9" s="94" t="n"/>
      <c r="U9" s="94" t="n"/>
      <c r="V9" s="94" t="n"/>
      <c r="W9" s="94" t="n"/>
      <c r="X9" s="94" t="n"/>
      <c r="Y9" s="94" t="n"/>
      <c r="Z9" s="94" t="n"/>
      <c r="AA9" s="94" t="n"/>
      <c r="AB9" s="94" t="n"/>
      <c r="AC9" s="94" t="n"/>
      <c r="AD9" s="94" t="n"/>
      <c r="AE9" s="94" t="n"/>
      <c r="AF9" s="94" t="n"/>
      <c r="AG9" s="94" t="n"/>
      <c r="AH9" s="94" t="n"/>
    </row>
    <row r="10" ht="12.75" customHeight="1">
      <c r="A10" s="30" t="n"/>
      <c r="B10" s="94" t="n"/>
      <c r="C10" s="106" t="inlineStr">
        <is>
          <t>Sales</t>
        </is>
      </c>
      <c r="D10" s="37" t="n">
        <v>602</v>
      </c>
      <c r="E10" s="37" t="n">
        <v>670</v>
      </c>
      <c r="F10" s="37" t="n">
        <v>657</v>
      </c>
      <c r="G10" s="38">
        <f>AA10-SUM(D10:F10)</f>
        <v/>
      </c>
      <c r="H10" s="37" t="n">
        <v>592</v>
      </c>
      <c r="I10" s="37" t="n">
        <v>667</v>
      </c>
      <c r="J10" s="37" t="n">
        <v>690</v>
      </c>
      <c r="K10" s="38">
        <f>AB10-SUM(H10:J10)</f>
        <v/>
      </c>
      <c r="L10" s="37" t="n">
        <v>659</v>
      </c>
      <c r="M10" s="37" t="n">
        <v>696</v>
      </c>
      <c r="N10" s="37" t="n">
        <v>644</v>
      </c>
      <c r="O10" s="38">
        <f>AC10-SUM(L10:N10)</f>
        <v/>
      </c>
      <c r="P10" s="37" t="n">
        <v>523</v>
      </c>
      <c r="Q10" s="37" t="n">
        <v>611</v>
      </c>
      <c r="R10" s="37" t="n">
        <v>588</v>
      </c>
      <c r="S10" s="38">
        <f>AD10-SUM(P10:R10)</f>
        <v/>
      </c>
      <c r="T10" s="37" t="n">
        <v>557</v>
      </c>
      <c r="U10" s="37" t="n">
        <v>665</v>
      </c>
      <c r="V10" s="37" t="n">
        <v>993</v>
      </c>
      <c r="W10" s="38">
        <f>AE10-SUM(T10:V10)</f>
        <v/>
      </c>
      <c r="X10" s="37" t="n">
        <v>920</v>
      </c>
      <c r="Y10" s="37" t="n">
        <v>996</v>
      </c>
      <c r="Z10" s="30" t="n"/>
      <c r="AA10" s="37" t="n">
        <v>2582</v>
      </c>
      <c r="AB10" s="37" t="n">
        <v>2800</v>
      </c>
      <c r="AC10" s="37" t="n">
        <v>2720</v>
      </c>
      <c r="AD10" s="37" t="n">
        <v>2378</v>
      </c>
      <c r="AE10" s="37" t="n">
        <v>3283</v>
      </c>
      <c r="AF10" s="30" t="n"/>
      <c r="AG10" s="38">
        <f>SUM(R10:U10)</f>
        <v/>
      </c>
      <c r="AH10" s="102">
        <f>SUM(V10:Y10)</f>
        <v/>
      </c>
    </row>
    <row r="11" ht="12.75" customHeight="1">
      <c r="A11" s="30" t="n"/>
      <c r="B11" s="94" t="n"/>
      <c r="C11" s="106" t="inlineStr">
        <is>
          <t>Services, maintenance, rentals and other</t>
        </is>
      </c>
      <c r="D11" s="39">
        <f>1053+55</f>
        <v/>
      </c>
      <c r="E11" s="39">
        <f>1067+56</f>
        <v/>
      </c>
      <c r="F11" s="39">
        <f>1046+55</f>
        <v/>
      </c>
      <c r="G11" s="40">
        <f>AA11-SUM(D11:F11)</f>
        <v/>
      </c>
      <c r="H11" s="39">
        <f>1023+53</f>
        <v/>
      </c>
      <c r="I11" s="39">
        <f>1028+52</f>
        <v/>
      </c>
      <c r="J11" s="39">
        <f>1010+51</f>
        <v/>
      </c>
      <c r="K11" s="40">
        <f>AB11-SUM(H11:J11)</f>
        <v/>
      </c>
      <c r="L11" s="39">
        <f>1004+52</f>
        <v/>
      </c>
      <c r="M11" s="39">
        <f>1009+49</f>
        <v/>
      </c>
      <c r="N11" s="39">
        <f>962+46</f>
        <v/>
      </c>
      <c r="O11" s="40">
        <f>AC11-SUM(L11:N11)</f>
        <v/>
      </c>
      <c r="P11" s="39" t="n">
        <v>979</v>
      </c>
      <c r="Q11" s="39" t="n">
        <v>967</v>
      </c>
      <c r="R11" s="39" t="n">
        <v>940</v>
      </c>
      <c r="S11" s="40">
        <f>AD11-SUM(P11:R11)</f>
        <v/>
      </c>
      <c r="T11" s="39" t="n">
        <v>900</v>
      </c>
      <c r="U11" s="39" t="n">
        <v>911</v>
      </c>
      <c r="V11" s="39" t="n">
        <v>968</v>
      </c>
      <c r="W11" s="40">
        <f>AE11-SUM(T11:V11)</f>
        <v/>
      </c>
      <c r="X11" s="39" t="n">
        <v>926</v>
      </c>
      <c r="Y11" s="39" t="n">
        <v>926</v>
      </c>
      <c r="Z11" s="30" t="n"/>
      <c r="AA11" s="39">
        <f>4235+221</f>
        <v/>
      </c>
      <c r="AB11" s="39">
        <f>4100+207</f>
        <v/>
      </c>
      <c r="AC11" s="39" t="n">
        <v>4166</v>
      </c>
      <c r="AD11" s="39" t="n">
        <v>3843</v>
      </c>
      <c r="AE11" s="39" t="n">
        <v>3739</v>
      </c>
      <c r="AF11" s="30" t="n"/>
      <c r="AG11" s="40">
        <f>SUM(R11:U11)</f>
        <v/>
      </c>
      <c r="AH11" s="103">
        <f>SUM(V11:Y11)</f>
        <v/>
      </c>
    </row>
    <row r="12" ht="12.75" customHeight="1">
      <c r="A12" s="30" t="n"/>
      <c r="B12" s="94" t="n"/>
      <c r="C12" s="118" t="inlineStr">
        <is>
          <t>Total revenues</t>
        </is>
      </c>
      <c r="D12" s="109">
        <f>D10+D11</f>
        <v/>
      </c>
      <c r="E12" s="109">
        <f>E10+E11</f>
        <v/>
      </c>
      <c r="F12" s="109">
        <f>F10+F11</f>
        <v/>
      </c>
      <c r="G12" s="109">
        <f>G10+G11</f>
        <v/>
      </c>
      <c r="H12" s="109">
        <f>H10+H11</f>
        <v/>
      </c>
      <c r="I12" s="109">
        <f>I10+I11</f>
        <v/>
      </c>
      <c r="J12" s="109">
        <f>J10+J11</f>
        <v/>
      </c>
      <c r="K12" s="109">
        <f>K10+K11</f>
        <v/>
      </c>
      <c r="L12" s="109">
        <f>L10+L11</f>
        <v/>
      </c>
      <c r="M12" s="109">
        <f>M10+M11</f>
        <v/>
      </c>
      <c r="N12" s="109">
        <f>N10+N11</f>
        <v/>
      </c>
      <c r="O12" s="109">
        <f>O10+O11</f>
        <v/>
      </c>
      <c r="P12" s="109">
        <f>P10+P11</f>
        <v/>
      </c>
      <c r="Q12" s="109">
        <f>Q10+Q11</f>
        <v/>
      </c>
      <c r="R12" s="109">
        <f>R10+R11</f>
        <v/>
      </c>
      <c r="S12" s="109">
        <f>S10+S11</f>
        <v/>
      </c>
      <c r="T12" s="109">
        <f>T10+T11</f>
        <v/>
      </c>
      <c r="U12" s="109">
        <f>U10+U11</f>
        <v/>
      </c>
      <c r="V12" s="109">
        <f>V10+V11</f>
        <v/>
      </c>
      <c r="W12" s="109">
        <f>W10+W11</f>
        <v/>
      </c>
      <c r="X12" s="109">
        <f>X10+X11</f>
        <v/>
      </c>
      <c r="Y12" s="109">
        <f>Y10+Y11</f>
        <v/>
      </c>
      <c r="Z12" s="94" t="n"/>
      <c r="AA12" s="109">
        <f>AA10+AA11</f>
        <v/>
      </c>
      <c r="AB12" s="109">
        <f>AB10+AB11</f>
        <v/>
      </c>
      <c r="AC12" s="109">
        <f>AC10+AC11</f>
        <v/>
      </c>
      <c r="AD12" s="109">
        <f>AD10+AD11</f>
        <v/>
      </c>
      <c r="AE12" s="109">
        <f>AE10+AE11</f>
        <v/>
      </c>
      <c r="AF12" s="94" t="n"/>
      <c r="AG12" s="109">
        <f>AG10+AG11</f>
        <v/>
      </c>
      <c r="AH12" s="109">
        <f>AH10+AH11</f>
        <v/>
      </c>
    </row>
    <row r="13" ht="12.75" customHeight="1">
      <c r="A13" s="30" t="n"/>
      <c r="B13" s="94" t="n"/>
      <c r="C13" s="94" t="n"/>
      <c r="D13" s="30" t="n"/>
      <c r="E13" s="30" t="n"/>
      <c r="F13" s="30"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94" t="n"/>
    </row>
    <row r="14" ht="12.75" customHeight="1">
      <c r="A14" s="94" t="n"/>
      <c r="B14" s="94" t="n"/>
      <c r="C14" s="100" t="inlineStr">
        <is>
          <t>Expenses:</t>
        </is>
      </c>
      <c r="D14" s="94" t="n"/>
      <c r="E14" s="94" t="n"/>
      <c r="F14" s="94" t="n"/>
      <c r="G14" s="94" t="n"/>
      <c r="H14" s="94" t="n"/>
      <c r="I14" s="94" t="n"/>
      <c r="J14" s="94" t="n"/>
      <c r="K14" s="94" t="n"/>
      <c r="L14" s="94" t="n"/>
      <c r="M14" s="94" t="n"/>
      <c r="N14" s="94" t="n"/>
      <c r="O14" s="94" t="n"/>
      <c r="P14" s="94" t="n"/>
      <c r="Q14" s="94" t="n"/>
      <c r="R14" s="94" t="n"/>
      <c r="S14" s="94" t="n"/>
      <c r="T14" s="94" t="n"/>
      <c r="U14" s="94" t="n"/>
      <c r="V14" s="94" t="n"/>
      <c r="W14" s="94" t="n"/>
      <c r="X14" s="94" t="n"/>
      <c r="Y14" s="94" t="n"/>
      <c r="Z14" s="94" t="n"/>
      <c r="AA14" s="94" t="n"/>
      <c r="AB14" s="94" t="n"/>
      <c r="AC14" s="94" t="n"/>
      <c r="AD14" s="94" t="n"/>
      <c r="AE14" s="94" t="n"/>
      <c r="AF14" s="94" t="n"/>
      <c r="AG14" s="94" t="n"/>
      <c r="AH14" s="94" t="n"/>
    </row>
    <row r="15" ht="12.75" customHeight="1">
      <c r="A15" s="30" t="n"/>
      <c r="B15" s="94" t="n"/>
      <c r="C15" s="106" t="inlineStr">
        <is>
          <t>Cost of sales</t>
        </is>
      </c>
      <c r="D15" s="39" t="n">
        <v>420</v>
      </c>
      <c r="E15" s="39" t="n">
        <v>468</v>
      </c>
      <c r="F15" s="39" t="n">
        <v>498</v>
      </c>
      <c r="G15" s="40">
        <f>AA15-SUM(D15:F15)</f>
        <v/>
      </c>
      <c r="H15" s="39" t="n">
        <v>435</v>
      </c>
      <c r="I15" s="39" t="n">
        <v>487</v>
      </c>
      <c r="J15" s="39" t="n">
        <v>508</v>
      </c>
      <c r="K15" s="40">
        <f>AB15-SUM(H15:J15)</f>
        <v/>
      </c>
      <c r="L15" s="39" t="n">
        <v>425</v>
      </c>
      <c r="M15" s="39" t="n">
        <v>452</v>
      </c>
      <c r="N15" s="39" t="n">
        <v>435</v>
      </c>
      <c r="O15" s="40">
        <f>AC15-SUM(L15:N15)</f>
        <v/>
      </c>
      <c r="P15" s="39" t="n">
        <v>340</v>
      </c>
      <c r="Q15" s="39" t="n">
        <v>387</v>
      </c>
      <c r="R15" s="39" t="n">
        <v>390</v>
      </c>
      <c r="S15" s="40">
        <f>AD15-SUM(P15:R15)</f>
        <v/>
      </c>
      <c r="T15" s="39" t="n">
        <v>382</v>
      </c>
      <c r="U15" s="39" t="n">
        <v>480</v>
      </c>
      <c r="V15" s="39" t="n">
        <v>788</v>
      </c>
      <c r="W15" s="40">
        <f>AE15-SUM(T15:V15)</f>
        <v/>
      </c>
      <c r="X15" s="39" t="n">
        <v>600</v>
      </c>
      <c r="Y15" s="39" t="n">
        <v>579</v>
      </c>
      <c r="Z15" s="30" t="n"/>
      <c r="AA15" s="39" t="n">
        <v>1862</v>
      </c>
      <c r="AB15" s="39" t="n">
        <v>2002</v>
      </c>
      <c r="AC15" s="39" t="n">
        <v>1778</v>
      </c>
      <c r="AD15" s="39" t="n">
        <v>1562</v>
      </c>
      <c r="AE15" s="39" t="n">
        <v>2367</v>
      </c>
      <c r="AF15" s="30" t="n"/>
      <c r="AG15" s="40">
        <f>SUM(R15:U15)</f>
        <v/>
      </c>
      <c r="AH15" s="103">
        <f>SUM(V15:Y15)</f>
        <v/>
      </c>
    </row>
    <row r="16" ht="12.75" customHeight="1">
      <c r="A16" s="30" t="n"/>
      <c r="B16" s="94" t="n"/>
      <c r="C16" s="106" t="inlineStr">
        <is>
          <t>Cost of services, maintenance, rentals and other</t>
        </is>
      </c>
      <c r="D16" s="39">
        <f>651+28</f>
        <v/>
      </c>
      <c r="E16" s="39">
        <f>658+28</f>
        <v/>
      </c>
      <c r="F16" s="39">
        <f>662+29</f>
        <v/>
      </c>
      <c r="G16" s="40">
        <f>AA16-SUM(D16:F16)</f>
        <v/>
      </c>
      <c r="H16" s="39">
        <f>679+24</f>
        <v/>
      </c>
      <c r="I16" s="39">
        <f>677+26</f>
        <v/>
      </c>
      <c r="J16" s="39">
        <f>659+28</f>
        <v/>
      </c>
      <c r="K16" s="40">
        <f>AB16-SUM(H16:J16)</f>
        <v/>
      </c>
      <c r="L16" s="39">
        <f>665+36</f>
        <v/>
      </c>
      <c r="M16" s="39">
        <f>671+34</f>
        <v/>
      </c>
      <c r="N16" s="39">
        <f>651+30</f>
        <v/>
      </c>
      <c r="O16" s="40">
        <f>AC16-SUM(L16:N16)</f>
        <v/>
      </c>
      <c r="P16" s="39" t="n">
        <v>719</v>
      </c>
      <c r="Q16" s="39" t="n">
        <v>671</v>
      </c>
      <c r="R16" s="39" t="n">
        <v>643</v>
      </c>
      <c r="S16" s="40">
        <f>AD16-SUM(P16:R16)</f>
        <v/>
      </c>
      <c r="T16" s="39" t="n">
        <v>649</v>
      </c>
      <c r="U16" s="39" t="n">
        <v>645</v>
      </c>
      <c r="V16" s="39" t="n">
        <v>728</v>
      </c>
      <c r="W16" s="40">
        <f>AE16-SUM(T16:V16)</f>
        <v/>
      </c>
      <c r="X16" s="39" t="n">
        <v>697</v>
      </c>
      <c r="Y16" s="39" t="n">
        <v>655</v>
      </c>
      <c r="Z16" s="30" t="n"/>
      <c r="AA16" s="39">
        <f>2662+111</f>
        <v/>
      </c>
      <c r="AB16" s="39">
        <f>2679+108</f>
        <v/>
      </c>
      <c r="AC16" s="39" t="n">
        <v>2794</v>
      </c>
      <c r="AD16" s="39" t="n">
        <v>2699</v>
      </c>
      <c r="AE16" s="39" t="n">
        <v>2754</v>
      </c>
      <c r="AF16" s="30" t="n"/>
      <c r="AG16" s="40">
        <f>SUM(R16:U16)</f>
        <v/>
      </c>
      <c r="AH16" s="103">
        <f>SUM(V16:Y16)</f>
        <v/>
      </c>
    </row>
    <row r="17" ht="12.75" customHeight="1">
      <c r="A17" s="30" t="n"/>
      <c r="B17" s="94" t="n"/>
      <c r="C17" s="117" t="inlineStr">
        <is>
          <t>Total cost of revenues</t>
        </is>
      </c>
      <c r="D17" s="135">
        <f>D15+D16</f>
        <v/>
      </c>
      <c r="E17" s="135">
        <f>E15+E16</f>
        <v/>
      </c>
      <c r="F17" s="135">
        <f>F15+F16</f>
        <v/>
      </c>
      <c r="G17" s="135">
        <f>G15+G16</f>
        <v/>
      </c>
      <c r="H17" s="135">
        <f>H15+H16</f>
        <v/>
      </c>
      <c r="I17" s="135">
        <f>I15+I16</f>
        <v/>
      </c>
      <c r="J17" s="135">
        <f>J15+J16</f>
        <v/>
      </c>
      <c r="K17" s="135">
        <f>K15+K16</f>
        <v/>
      </c>
      <c r="L17" s="135">
        <f>L15+L16</f>
        <v/>
      </c>
      <c r="M17" s="135">
        <f>M15+M16</f>
        <v/>
      </c>
      <c r="N17" s="135">
        <f>N15+N16</f>
        <v/>
      </c>
      <c r="O17" s="135">
        <f>O15+O16</f>
        <v/>
      </c>
      <c r="P17" s="135">
        <f>P15+P16</f>
        <v/>
      </c>
      <c r="Q17" s="135">
        <f>Q15+Q16</f>
        <v/>
      </c>
      <c r="R17" s="135">
        <f>R15+R16</f>
        <v/>
      </c>
      <c r="S17" s="135">
        <f>S15+S16</f>
        <v/>
      </c>
      <c r="T17" s="135">
        <f>T15+T16</f>
        <v/>
      </c>
      <c r="U17" s="135">
        <f>U15+U16</f>
        <v/>
      </c>
      <c r="V17" s="135">
        <f>V15+V16</f>
        <v/>
      </c>
      <c r="W17" s="135">
        <f>W15+W16</f>
        <v/>
      </c>
      <c r="X17" s="135">
        <f>X15+X16</f>
        <v/>
      </c>
      <c r="Y17" s="135">
        <f>Y15+Y16</f>
        <v/>
      </c>
      <c r="Z17" s="42" t="n"/>
      <c r="AA17" s="130">
        <f>AA15+AA16</f>
        <v/>
      </c>
      <c r="AB17" s="130">
        <f>AB15+AB16</f>
        <v/>
      </c>
      <c r="AC17" s="130">
        <f>AC15+AC16</f>
        <v/>
      </c>
      <c r="AD17" s="130">
        <f>AD15+AD16</f>
        <v/>
      </c>
      <c r="AE17" s="120">
        <f>AE15+AE16</f>
        <v/>
      </c>
      <c r="AF17" s="107" t="n"/>
      <c r="AG17" s="120">
        <f>AG15+AG16</f>
        <v/>
      </c>
      <c r="AH17" s="120">
        <f>AH15+AH16</f>
        <v/>
      </c>
    </row>
    <row r="18" ht="12.75" customHeight="1">
      <c r="A18" s="30" t="n"/>
      <c r="B18" s="94" t="n"/>
      <c r="C18" s="119" t="inlineStr">
        <is>
          <t>Gross profit</t>
        </is>
      </c>
      <c r="D18" s="120">
        <f>D12-D17</f>
        <v/>
      </c>
      <c r="E18" s="120">
        <f>E12-E17</f>
        <v/>
      </c>
      <c r="F18" s="120">
        <f>F12-F17</f>
        <v/>
      </c>
      <c r="G18" s="120">
        <f>G12-G17</f>
        <v/>
      </c>
      <c r="H18" s="120">
        <f>H12-H17</f>
        <v/>
      </c>
      <c r="I18" s="120">
        <f>I12-I17</f>
        <v/>
      </c>
      <c r="J18" s="120">
        <f>J12-J17</f>
        <v/>
      </c>
      <c r="K18" s="120">
        <f>K12-K17</f>
        <v/>
      </c>
      <c r="L18" s="120">
        <f>L12-L17</f>
        <v/>
      </c>
      <c r="M18" s="120">
        <f>M12-M17</f>
        <v/>
      </c>
      <c r="N18" s="120">
        <f>N12-N17</f>
        <v/>
      </c>
      <c r="O18" s="120">
        <f>O12-O17</f>
        <v/>
      </c>
      <c r="P18" s="120">
        <f>P12-P17</f>
        <v/>
      </c>
      <c r="Q18" s="120">
        <f>Q12-Q17</f>
        <v/>
      </c>
      <c r="R18" s="120">
        <f>R12-R17</f>
        <v/>
      </c>
      <c r="S18" s="120">
        <f>S12-S17</f>
        <v/>
      </c>
      <c r="T18" s="120">
        <f>T12-T17</f>
        <v/>
      </c>
      <c r="U18" s="120">
        <f>U12-U17</f>
        <v/>
      </c>
      <c r="V18" s="120">
        <f>V12-V17</f>
        <v/>
      </c>
      <c r="W18" s="120">
        <f>W12-W17</f>
        <v/>
      </c>
      <c r="X18" s="120">
        <f>X12-X17</f>
        <v/>
      </c>
      <c r="Y18" s="120">
        <f>Y12-Y17</f>
        <v/>
      </c>
      <c r="Z18" s="94" t="n"/>
      <c r="AA18" s="120">
        <f>AA12-AA17</f>
        <v/>
      </c>
      <c r="AB18" s="120">
        <f>AB12-AB17</f>
        <v/>
      </c>
      <c r="AC18" s="120">
        <f>AC12-AC17</f>
        <v/>
      </c>
      <c r="AD18" s="120">
        <f>AD12-AD17</f>
        <v/>
      </c>
      <c r="AE18" s="120">
        <f>AE12-AE17</f>
        <v/>
      </c>
      <c r="AF18" s="94" t="n"/>
      <c r="AG18" s="120">
        <f>AG12-AG17</f>
        <v/>
      </c>
      <c r="AH18" s="120">
        <f>AH12-AH17</f>
        <v/>
      </c>
    </row>
    <row r="19" ht="12.75" customHeight="1">
      <c r="A19" s="30" t="n"/>
      <c r="B19" s="94" t="n"/>
      <c r="C19" s="106" t="inlineStr">
        <is>
          <t>Research, development and engineering expenses</t>
        </is>
      </c>
      <c r="D19" s="121" t="n">
        <v>74</v>
      </c>
      <c r="E19" s="121" t="n">
        <v>79</v>
      </c>
      <c r="F19" s="121" t="n">
        <v>82</v>
      </c>
      <c r="G19" s="103">
        <f>AA19-SUM(D19:F19)</f>
        <v/>
      </c>
      <c r="H19" s="121" t="n">
        <v>78</v>
      </c>
      <c r="I19" s="121" t="n">
        <v>84</v>
      </c>
      <c r="J19" s="121" t="n">
        <v>73</v>
      </c>
      <c r="K19" s="103">
        <f>AB19-SUM(H19:J19)</f>
        <v/>
      </c>
      <c r="L19" s="121" t="n">
        <v>64</v>
      </c>
      <c r="M19" s="121" t="n">
        <v>57</v>
      </c>
      <c r="N19" s="121" t="n">
        <v>52</v>
      </c>
      <c r="O19" s="103">
        <f>AC19-SUM(L19:N19)</f>
        <v/>
      </c>
      <c r="P19" s="121" t="n">
        <v>49</v>
      </c>
      <c r="Q19" s="121" t="n">
        <v>50</v>
      </c>
      <c r="R19" s="121" t="n">
        <v>45</v>
      </c>
      <c r="S19" s="103">
        <f>AD19-SUM(P19:R19)</f>
        <v/>
      </c>
      <c r="T19" s="121" t="n">
        <v>42</v>
      </c>
      <c r="U19" s="121" t="n">
        <v>43</v>
      </c>
      <c r="V19" s="121" t="n">
        <v>74</v>
      </c>
      <c r="W19" s="103">
        <f>AE19-SUM(T19:V19)</f>
        <v/>
      </c>
      <c r="X19" s="121" t="n">
        <v>64</v>
      </c>
      <c r="Y19" s="121" t="n">
        <v>67</v>
      </c>
      <c r="Z19" s="94" t="n"/>
      <c r="AA19" s="121" t="n">
        <v>310</v>
      </c>
      <c r="AB19" s="121" t="n">
        <v>304</v>
      </c>
      <c r="AC19" s="121" t="n">
        <v>229</v>
      </c>
      <c r="AD19" s="121" t="n">
        <v>191</v>
      </c>
      <c r="AE19" s="121" t="n">
        <v>230</v>
      </c>
      <c r="AF19" s="94" t="n"/>
      <c r="AG19" s="103">
        <f>SUM(R19:U19)</f>
        <v/>
      </c>
      <c r="AH19" s="103">
        <f>SUM(V19:Y19)</f>
        <v/>
      </c>
    </row>
    <row r="20" ht="12.75" customHeight="1">
      <c r="A20" s="30" t="n"/>
      <c r="B20" s="94" t="n"/>
      <c r="C20" s="106" t="inlineStr">
        <is>
          <t>Selling, administrative and general expenses</t>
        </is>
      </c>
      <c r="D20" s="39" t="n">
        <v>448</v>
      </c>
      <c r="E20" s="39" t="n">
        <v>434</v>
      </c>
      <c r="F20" s="39" t="n">
        <v>413</v>
      </c>
      <c r="G20" s="40">
        <f>AA20-SUM(D20:F20)</f>
        <v/>
      </c>
      <c r="H20" s="39" t="n">
        <v>455</v>
      </c>
      <c r="I20" s="39" t="n">
        <v>459</v>
      </c>
      <c r="J20" s="39" t="n">
        <v>418</v>
      </c>
      <c r="K20" s="40">
        <f>AB20-SUM(H20:J20)</f>
        <v/>
      </c>
      <c r="L20" s="39" t="n">
        <v>407</v>
      </c>
      <c r="M20" s="39" t="n">
        <v>433</v>
      </c>
      <c r="N20" s="39" t="n">
        <v>416</v>
      </c>
      <c r="O20" s="40">
        <f>AC20-SUM(L20:N20)</f>
        <v/>
      </c>
      <c r="P20" s="39" t="n">
        <v>397</v>
      </c>
      <c r="Q20" s="39" t="n">
        <v>393</v>
      </c>
      <c r="R20" s="39" t="n">
        <v>370</v>
      </c>
      <c r="S20" s="40">
        <f>AD20-SUM(P20:R20)</f>
        <v/>
      </c>
      <c r="T20" s="39" t="n">
        <v>378</v>
      </c>
      <c r="U20" s="39" t="n">
        <v>368</v>
      </c>
      <c r="V20" s="39" t="n">
        <v>477</v>
      </c>
      <c r="W20" s="40">
        <f>AE20-SUM(T20:V20)</f>
        <v/>
      </c>
      <c r="X20" s="39" t="n">
        <v>430</v>
      </c>
      <c r="Y20" s="121" t="n">
        <v>432</v>
      </c>
      <c r="Z20" s="94" t="n"/>
      <c r="AA20" s="121" t="n">
        <v>1718</v>
      </c>
      <c r="AB20" s="39" t="n">
        <v>1760</v>
      </c>
      <c r="AC20" s="39" t="n">
        <v>1696</v>
      </c>
      <c r="AD20" s="39" t="n">
        <v>1537</v>
      </c>
      <c r="AE20" s="121" t="n">
        <v>1654</v>
      </c>
      <c r="AF20" s="94" t="n"/>
      <c r="AG20" s="103">
        <f>SUM(R20:U20)</f>
        <v/>
      </c>
      <c r="AH20" s="103">
        <f>SUM(V20:Y20)</f>
        <v/>
      </c>
    </row>
    <row r="21" ht="12.75" customHeight="1">
      <c r="A21" s="30" t="n"/>
      <c r="B21" s="94" t="n"/>
      <c r="C21" s="106" t="inlineStr">
        <is>
          <t>Goodwill impairment</t>
        </is>
      </c>
      <c r="D21" s="39" t="n">
        <v>0</v>
      </c>
      <c r="E21" s="39" t="n">
        <v>0</v>
      </c>
      <c r="F21" s="39" t="n">
        <v>0</v>
      </c>
      <c r="G21" s="40">
        <f>AA21-SUM(D21:F21)</f>
        <v/>
      </c>
      <c r="H21" s="39" t="n">
        <v>0</v>
      </c>
      <c r="I21" s="39" t="n">
        <v>0</v>
      </c>
      <c r="J21" s="39" t="n">
        <v>412</v>
      </c>
      <c r="K21" s="40">
        <f>AB21-SUM(H21:J21)</f>
        <v/>
      </c>
      <c r="L21" s="39" t="n">
        <v>0</v>
      </c>
      <c r="M21" s="39" t="n">
        <v>0</v>
      </c>
      <c r="N21" s="39" t="n">
        <v>0</v>
      </c>
      <c r="O21" s="40">
        <f>AC21-SUM(L21:N21)</f>
        <v/>
      </c>
      <c r="P21" s="39" t="n">
        <v>0</v>
      </c>
      <c r="Q21" s="39" t="n">
        <v>0</v>
      </c>
      <c r="R21" s="39" t="n">
        <v>1058</v>
      </c>
      <c r="S21" s="40">
        <f>AD21-SUM(P21:R21)</f>
        <v/>
      </c>
      <c r="T21" s="39" t="n">
        <v>0</v>
      </c>
      <c r="U21" s="39" t="n">
        <v>0</v>
      </c>
      <c r="V21" s="39" t="n">
        <v>0</v>
      </c>
      <c r="W21" s="40">
        <f>AE21-SUM(T21:V21)</f>
        <v/>
      </c>
      <c r="X21" s="39" t="n">
        <v>0</v>
      </c>
      <c r="Y21" s="121" t="n">
        <v>0</v>
      </c>
      <c r="Z21" s="94" t="n"/>
      <c r="AA21" s="121" t="n">
        <v>781</v>
      </c>
      <c r="AB21" s="39" t="n">
        <v>412</v>
      </c>
      <c r="AC21" s="39" t="n">
        <v>0</v>
      </c>
      <c r="AD21" s="39" t="n">
        <v>1058</v>
      </c>
      <c r="AE21" s="121" t="n">
        <v>0</v>
      </c>
      <c r="AF21" s="94" t="n"/>
      <c r="AG21" s="103">
        <f>SUM(R21:U21)</f>
        <v/>
      </c>
      <c r="AH21" s="103">
        <f>SUM(V21:Y21)</f>
        <v/>
      </c>
    </row>
    <row r="22" ht="12.75" customHeight="1">
      <c r="A22" s="30" t="n"/>
      <c r="B22" s="94" t="n"/>
      <c r="C22" s="106" t="inlineStr">
        <is>
          <t>Restructuring and related costs, net</t>
        </is>
      </c>
      <c r="D22" s="39" t="n">
        <v>17</v>
      </c>
      <c r="E22" s="39" t="n">
        <v>12</v>
      </c>
      <c r="F22" s="39" t="n">
        <v>10</v>
      </c>
      <c r="G22" s="40">
        <f>AA22-SUM(D22:F22)</f>
        <v/>
      </c>
      <c r="H22" s="39" t="n">
        <v>18</v>
      </c>
      <c r="I22" s="39" t="n">
        <v>1</v>
      </c>
      <c r="J22" s="39" t="n">
        <v>22</v>
      </c>
      <c r="K22" s="40">
        <f>AB22-SUM(H22:J22)</f>
        <v/>
      </c>
      <c r="L22" s="39" t="n">
        <v>2</v>
      </c>
      <c r="M22" s="39" t="n">
        <v>23</v>
      </c>
      <c r="N22" s="39" t="n">
        <v>10</v>
      </c>
      <c r="O22" s="40">
        <f>AC22-SUM(L22:N22)</f>
        <v/>
      </c>
      <c r="P22" s="39" t="n">
        <v>39</v>
      </c>
      <c r="Q22" s="39" t="n">
        <v>12</v>
      </c>
      <c r="R22" s="39" t="n">
        <v>56</v>
      </c>
      <c r="S22" s="40">
        <f>AD22-SUM(P22:R22)</f>
        <v/>
      </c>
      <c r="T22" s="39" t="n">
        <v>-1</v>
      </c>
      <c r="U22" s="39" t="n">
        <v>10</v>
      </c>
      <c r="V22" s="39" t="n">
        <v>59</v>
      </c>
      <c r="W22" s="40">
        <f>AE22-SUM(T22:V22)</f>
        <v/>
      </c>
      <c r="X22" s="39" t="n">
        <v>45</v>
      </c>
      <c r="Y22" s="121" t="n">
        <v>23</v>
      </c>
      <c r="Z22" s="94" t="n"/>
      <c r="AA22" s="121" t="n">
        <v>38</v>
      </c>
      <c r="AB22" s="39" t="n">
        <v>65</v>
      </c>
      <c r="AC22" s="39" t="n">
        <v>167</v>
      </c>
      <c r="AD22" s="39" t="n">
        <v>112</v>
      </c>
      <c r="AE22" s="121" t="n">
        <v>66</v>
      </c>
      <c r="AF22" s="94" t="n"/>
      <c r="AG22" s="103">
        <f>SUM(R22:U22)</f>
        <v/>
      </c>
      <c r="AH22" s="103">
        <f>SUM(V22:Y22)</f>
        <v/>
      </c>
    </row>
    <row r="23" ht="12.75" customHeight="1">
      <c r="A23" s="30" t="n"/>
      <c r="B23" s="94" t="n"/>
      <c r="C23" s="106" t="inlineStr">
        <is>
          <t>Amortization of intangible assets</t>
        </is>
      </c>
      <c r="D23" s="39" t="n">
        <v>15</v>
      </c>
      <c r="E23" s="39" t="n">
        <v>14</v>
      </c>
      <c r="F23" s="39" t="n">
        <v>13</v>
      </c>
      <c r="G23" s="40">
        <f>AA23-SUM(D23:F23)</f>
        <v/>
      </c>
      <c r="H23" s="39" t="n">
        <v>11</v>
      </c>
      <c r="I23" s="39" t="n">
        <v>10</v>
      </c>
      <c r="J23" s="39" t="n">
        <v>10</v>
      </c>
      <c r="K23" s="40">
        <f>AB23-SUM(H23:J23)</f>
        <v/>
      </c>
      <c r="L23" s="39" t="n">
        <v>11</v>
      </c>
      <c r="M23" s="39" t="n">
        <v>10</v>
      </c>
      <c r="N23" s="39" t="n">
        <v>12</v>
      </c>
      <c r="O23" s="40">
        <f>AC23-SUM(L23:N23)</f>
        <v/>
      </c>
      <c r="P23" s="39" t="n">
        <v>10</v>
      </c>
      <c r="Q23" s="39" t="n">
        <v>10</v>
      </c>
      <c r="R23" s="39" t="n">
        <v>10</v>
      </c>
      <c r="S23" s="40">
        <f>AD23-SUM(P23:R23)</f>
        <v/>
      </c>
      <c r="T23" s="39" t="n">
        <v>10</v>
      </c>
      <c r="U23" s="39" t="n">
        <v>10</v>
      </c>
      <c r="V23" s="39" t="n">
        <v>30</v>
      </c>
      <c r="W23" s="40">
        <f>AE23-SUM(T23:V23)</f>
        <v/>
      </c>
      <c r="X23" s="39" t="n">
        <v>30</v>
      </c>
      <c r="Y23" s="121" t="n">
        <v>30</v>
      </c>
      <c r="Z23" s="94" t="n"/>
      <c r="AA23" s="121" t="n">
        <v>55</v>
      </c>
      <c r="AB23" s="39" t="n">
        <v>42</v>
      </c>
      <c r="AC23" s="39" t="n">
        <v>43</v>
      </c>
      <c r="AD23" s="39" t="n">
        <v>73</v>
      </c>
      <c r="AE23" s="121" t="n">
        <v>83</v>
      </c>
      <c r="AF23" s="94" t="n"/>
      <c r="AG23" s="103">
        <f>SUM(R23:U23)</f>
        <v/>
      </c>
      <c r="AH23" s="103">
        <f>SUM(V23:Y23)</f>
        <v/>
      </c>
    </row>
    <row r="24" ht="12.75" customHeight="1">
      <c r="A24" s="30" t="n"/>
      <c r="B24" s="94" t="n"/>
      <c r="C24" s="106" t="inlineStr">
        <is>
          <t>Divestitures</t>
        </is>
      </c>
      <c r="D24" s="39" t="n">
        <v>0</v>
      </c>
      <c r="E24" s="39" t="n">
        <v>0</v>
      </c>
      <c r="F24" s="39" t="n">
        <v>0</v>
      </c>
      <c r="G24" s="40">
        <f>AA24-SUM(D24:F24)</f>
        <v/>
      </c>
      <c r="H24" s="39" t="n">
        <v>0</v>
      </c>
      <c r="I24" s="39" t="n">
        <v>0</v>
      </c>
      <c r="J24" s="39" t="n">
        <v>0</v>
      </c>
      <c r="K24" s="40">
        <f>AB24-SUM(H24:J24)</f>
        <v/>
      </c>
      <c r="L24" s="39" t="n">
        <v>0</v>
      </c>
      <c r="M24" s="39" t="n">
        <v>0</v>
      </c>
      <c r="N24" s="39" t="n">
        <v>0</v>
      </c>
      <c r="O24" s="40">
        <f>AC24-SUM(L24:N24)</f>
        <v/>
      </c>
      <c r="P24" s="39" t="n">
        <v>54</v>
      </c>
      <c r="Q24" s="39" t="n">
        <v>-3</v>
      </c>
      <c r="R24" s="39" t="n">
        <v>0</v>
      </c>
      <c r="S24" s="40">
        <f>AD24-SUM(P24:R24)</f>
        <v/>
      </c>
      <c r="T24" s="39" t="n">
        <v>-4</v>
      </c>
      <c r="U24" s="39" t="n">
        <v>0</v>
      </c>
      <c r="V24" s="39" t="n">
        <v>0</v>
      </c>
      <c r="W24" s="40">
        <f>AE24-SUM(T24:V24)</f>
        <v/>
      </c>
      <c r="X24" s="39" t="n">
        <v>0</v>
      </c>
      <c r="Y24" s="121" t="n">
        <v>0</v>
      </c>
      <c r="Z24" s="94" t="n"/>
      <c r="AA24" s="121" t="n">
        <v>0</v>
      </c>
      <c r="AB24" s="39" t="n">
        <v>0</v>
      </c>
      <c r="AC24" s="39" t="n">
        <v>0</v>
      </c>
      <c r="AD24" s="39" t="n">
        <v>47</v>
      </c>
      <c r="AE24" s="121" t="n">
        <v>-4</v>
      </c>
      <c r="AF24" s="94" t="n"/>
      <c r="AG24" s="103">
        <f>SUM(R24:U24)</f>
        <v/>
      </c>
      <c r="AH24" s="103">
        <f>SUM(V24:Y24)</f>
        <v/>
      </c>
    </row>
    <row r="25" ht="12.75" customHeight="1">
      <c r="A25" s="30" t="n"/>
      <c r="B25" s="94" t="n"/>
      <c r="C25" s="106" t="inlineStr">
        <is>
          <t>PARC donation</t>
        </is>
      </c>
      <c r="D25" s="121" t="n">
        <v>0</v>
      </c>
      <c r="E25" s="121" t="n">
        <v>0</v>
      </c>
      <c r="F25" s="121" t="n">
        <v>0</v>
      </c>
      <c r="G25" s="103">
        <f>AA25-SUM(D25:F25)</f>
        <v/>
      </c>
      <c r="H25" s="121" t="n">
        <v>0</v>
      </c>
      <c r="I25" s="121" t="n">
        <v>0</v>
      </c>
      <c r="J25" s="121" t="n">
        <v>0</v>
      </c>
      <c r="K25" s="103">
        <f>AB25-SUM(H25:J25)</f>
        <v/>
      </c>
      <c r="L25" s="121" t="n">
        <v>0</v>
      </c>
      <c r="M25" s="121" t="n">
        <v>132</v>
      </c>
      <c r="N25" s="121" t="n">
        <v>0</v>
      </c>
      <c r="O25" s="103">
        <f>AC25-SUM(L25:N25)</f>
        <v/>
      </c>
      <c r="P25" s="121" t="n">
        <v>0</v>
      </c>
      <c r="Q25" s="121" t="n">
        <v>0</v>
      </c>
      <c r="R25" s="121" t="n">
        <v>0</v>
      </c>
      <c r="S25" s="103">
        <f>AD25-SUM(P25:R25)</f>
        <v/>
      </c>
      <c r="T25" s="121" t="n">
        <v>0</v>
      </c>
      <c r="U25" s="121" t="n">
        <v>0</v>
      </c>
      <c r="V25" s="121" t="n">
        <v>0</v>
      </c>
      <c r="W25" s="103">
        <f>AE25-SUM(T25:V25)</f>
        <v/>
      </c>
      <c r="X25" s="121" t="n">
        <v>0</v>
      </c>
      <c r="Y25" s="121" t="n">
        <v>0</v>
      </c>
      <c r="Z25" s="94" t="n"/>
      <c r="AA25" s="121" t="n">
        <v>0</v>
      </c>
      <c r="AB25" s="39" t="n">
        <v>0</v>
      </c>
      <c r="AC25" s="39" t="n">
        <v>132</v>
      </c>
      <c r="AD25" s="39" t="n">
        <v>0</v>
      </c>
      <c r="AE25" s="121" t="n">
        <v>0</v>
      </c>
      <c r="AF25" s="94" t="n"/>
      <c r="AG25" s="103">
        <f>SUM(R25:U25)</f>
        <v/>
      </c>
      <c r="AH25" s="103">
        <f>SUM(V25:Y25)</f>
        <v/>
      </c>
    </row>
    <row r="26" ht="12.75" customHeight="1">
      <c r="A26" s="30" t="n"/>
      <c r="B26" s="94" t="n"/>
      <c r="C26" s="117" t="inlineStr">
        <is>
          <t>Total operating expenses</t>
        </is>
      </c>
      <c r="D26" s="135">
        <f>SUM(D19:D25)</f>
        <v/>
      </c>
      <c r="E26" s="135">
        <f>SUM(E19:E25)</f>
        <v/>
      </c>
      <c r="F26" s="135">
        <f>SUM(F19:F25)</f>
        <v/>
      </c>
      <c r="G26" s="135">
        <f>SUM(G19:G25)</f>
        <v/>
      </c>
      <c r="H26" s="135">
        <f>SUM(H19:H25)</f>
        <v/>
      </c>
      <c r="I26" s="135">
        <f>SUM(I19:I25)</f>
        <v/>
      </c>
      <c r="J26" s="135">
        <f>SUM(J19:J25)</f>
        <v/>
      </c>
      <c r="K26" s="135">
        <f>SUM(K19:K25)</f>
        <v/>
      </c>
      <c r="L26" s="135">
        <f>SUM(L19:L25)</f>
        <v/>
      </c>
      <c r="M26" s="135">
        <f>SUM(M19:M25)</f>
        <v/>
      </c>
      <c r="N26" s="135">
        <f>SUM(N19:N25)</f>
        <v/>
      </c>
      <c r="O26" s="135">
        <f>SUM(O19:O25)</f>
        <v/>
      </c>
      <c r="P26" s="135">
        <f>SUM(P19:P25)</f>
        <v/>
      </c>
      <c r="Q26" s="135">
        <f>SUM(Q19:Q25)</f>
        <v/>
      </c>
      <c r="R26" s="135">
        <f>SUM(R19:R25)</f>
        <v/>
      </c>
      <c r="S26" s="135">
        <f>SUM(S19:S25)</f>
        <v/>
      </c>
      <c r="T26" s="135">
        <f>SUM(T19:T25)</f>
        <v/>
      </c>
      <c r="U26" s="135">
        <f>SUM(U19:U25)</f>
        <v/>
      </c>
      <c r="V26" s="135">
        <f>SUM(V19:V25)</f>
        <v/>
      </c>
      <c r="W26" s="135">
        <f>SUM(W19:W25)</f>
        <v/>
      </c>
      <c r="X26" s="135">
        <f>SUM(X19:X25)</f>
        <v/>
      </c>
      <c r="Y26" s="135">
        <f>SUM(Y19:Y25)</f>
        <v/>
      </c>
      <c r="Z26" s="107" t="n"/>
      <c r="AA26" s="120">
        <f>SUM(AA19:AA25)</f>
        <v/>
      </c>
      <c r="AB26" s="130">
        <f>SUM(AB19:AB25)</f>
        <v/>
      </c>
      <c r="AC26" s="130">
        <f>SUM(AC19:AC25)</f>
        <v/>
      </c>
      <c r="AD26" s="130">
        <f>SUM(AD19:AD25)</f>
        <v/>
      </c>
      <c r="AE26" s="120">
        <f>SUM(AE19:AE25)</f>
        <v/>
      </c>
      <c r="AF26" s="107" t="n"/>
      <c r="AG26" s="120">
        <f>SUM(AG19:AG25)</f>
        <v/>
      </c>
      <c r="AH26" s="120">
        <f>SUM(AH19:AH25)</f>
        <v/>
      </c>
    </row>
    <row r="27" ht="12.75" customHeight="1">
      <c r="A27" s="30" t="n"/>
      <c r="B27" s="94" t="n"/>
      <c r="C27" s="99" t="inlineStr">
        <is>
          <t>Operating (loss) income</t>
        </is>
      </c>
      <c r="D27" s="41">
        <f>D18-D26</f>
        <v/>
      </c>
      <c r="E27" s="41">
        <f>E18-E26</f>
        <v/>
      </c>
      <c r="F27" s="41">
        <f>F18-F26</f>
        <v/>
      </c>
      <c r="G27" s="41">
        <f>G18-G26</f>
        <v/>
      </c>
      <c r="H27" s="41">
        <f>H18-H26</f>
        <v/>
      </c>
      <c r="I27" s="41">
        <f>I18-I26</f>
        <v/>
      </c>
      <c r="J27" s="41">
        <f>J18-J26</f>
        <v/>
      </c>
      <c r="K27" s="41">
        <f>K18-K26</f>
        <v/>
      </c>
      <c r="L27" s="41">
        <f>L18-L26</f>
        <v/>
      </c>
      <c r="M27" s="41">
        <f>M18-M26</f>
        <v/>
      </c>
      <c r="N27" s="41">
        <f>N18-N26</f>
        <v/>
      </c>
      <c r="O27" s="41">
        <f>O18-O26</f>
        <v/>
      </c>
      <c r="P27" s="41">
        <f>P18-P26</f>
        <v/>
      </c>
      <c r="Q27" s="41">
        <f>Q18-Q26</f>
        <v/>
      </c>
      <c r="R27" s="41">
        <f>R18-R26</f>
        <v/>
      </c>
      <c r="S27" s="41">
        <f>S18-S26</f>
        <v/>
      </c>
      <c r="T27" s="41">
        <f>T18-T26</f>
        <v/>
      </c>
      <c r="U27" s="41">
        <f>U18-U26</f>
        <v/>
      </c>
      <c r="V27" s="41">
        <f>V18-V26</f>
        <v/>
      </c>
      <c r="W27" s="41">
        <f>W18-W26</f>
        <v/>
      </c>
      <c r="X27" s="41">
        <f>X18-X26</f>
        <v/>
      </c>
      <c r="Y27" s="104">
        <f>Y18-Y26</f>
        <v/>
      </c>
      <c r="Z27" s="94" t="n"/>
      <c r="AA27" s="104">
        <f>AA18-AA26</f>
        <v/>
      </c>
      <c r="AB27" s="41">
        <f>AB18-AB26</f>
        <v/>
      </c>
      <c r="AC27" s="41">
        <f>AC18-AC26</f>
        <v/>
      </c>
      <c r="AD27" s="41">
        <f>AD18-AD26</f>
        <v/>
      </c>
      <c r="AE27" s="104">
        <f>AE18-AE26</f>
        <v/>
      </c>
      <c r="AF27" s="94" t="n"/>
      <c r="AG27" s="104">
        <f>AG18-AG26</f>
        <v/>
      </c>
      <c r="AH27" s="104">
        <f>AH18-AH26</f>
        <v/>
      </c>
    </row>
    <row r="28" ht="12.75" customHeight="1">
      <c r="A28" s="30" t="n"/>
      <c r="B28" s="94" t="n"/>
      <c r="C28" s="105" t="inlineStr">
        <is>
          <t>Non-financing interest expense</t>
        </is>
      </c>
      <c r="D28" s="39">
        <f>52-28</f>
        <v/>
      </c>
      <c r="E28" s="39">
        <f>52-28</f>
        <v/>
      </c>
      <c r="F28" s="39">
        <f>52-29</f>
        <v/>
      </c>
      <c r="G28" s="40">
        <f>AA28-SUM(D28:F28)</f>
        <v/>
      </c>
      <c r="H28" s="39">
        <f>53-24</f>
        <v/>
      </c>
      <c r="I28" s="39">
        <f>49-26</f>
        <v/>
      </c>
      <c r="J28" s="39">
        <f>49-28</f>
        <v/>
      </c>
      <c r="K28" s="40">
        <f>AB28-SUM(H28:J28)</f>
        <v/>
      </c>
      <c r="L28" s="39">
        <f>50-36</f>
        <v/>
      </c>
      <c r="M28" s="39">
        <f>46-34</f>
        <v/>
      </c>
      <c r="N28" s="39">
        <f>44-30</f>
        <v/>
      </c>
      <c r="O28" s="40">
        <f>AC28-SUM(L28:N28)</f>
        <v/>
      </c>
      <c r="P28" s="39" t="n">
        <v>26</v>
      </c>
      <c r="Q28" s="39" t="n">
        <v>31</v>
      </c>
      <c r="R28" s="39" t="n">
        <v>31</v>
      </c>
      <c r="S28" s="40">
        <f>AD28-SUM(P28:R28)</f>
        <v/>
      </c>
      <c r="T28" s="39" t="n">
        <v>33</v>
      </c>
      <c r="U28" s="39" t="n">
        <v>55</v>
      </c>
      <c r="V28" s="39" t="n">
        <v>80</v>
      </c>
      <c r="W28" s="40">
        <f>AE28-SUM(T28:V28)</f>
        <v/>
      </c>
      <c r="X28" s="39" t="n">
        <v>84</v>
      </c>
      <c r="Y28" s="121" t="n">
        <v>100</v>
      </c>
      <c r="Z28" s="94" t="n"/>
      <c r="AA28" s="121">
        <f>207-111</f>
        <v/>
      </c>
      <c r="AB28" s="39">
        <f>199-108</f>
        <v/>
      </c>
      <c r="AC28" s="39">
        <f>198-130</f>
        <v/>
      </c>
      <c r="AD28" s="39" t="n">
        <v>119</v>
      </c>
      <c r="AE28" s="121" t="n">
        <v>248</v>
      </c>
      <c r="AF28" s="94" t="n"/>
      <c r="AG28" s="103">
        <f>SUM(R28:U28)</f>
        <v/>
      </c>
      <c r="AH28" s="103">
        <f>SUM(V28:Y28)</f>
        <v/>
      </c>
    </row>
    <row r="29" ht="12.75" customHeight="1">
      <c r="A29" s="30" t="n"/>
      <c r="B29" s="94" t="n"/>
      <c r="C29" s="105" t="inlineStr">
        <is>
          <t>Other expenses (income), net</t>
        </is>
      </c>
      <c r="D29" s="39">
        <f>4-0-24</f>
        <v/>
      </c>
      <c r="E29" s="39">
        <f>1-1-24</f>
        <v/>
      </c>
      <c r="F29" s="39">
        <f>-33-1-23</f>
        <v/>
      </c>
      <c r="G29" s="40">
        <f>AA29-SUM(D29:F29)</f>
        <v/>
      </c>
      <c r="H29" s="39">
        <f>57-1-29</f>
        <v/>
      </c>
      <c r="I29" s="39">
        <f>8-1-23</f>
        <v/>
      </c>
      <c r="J29" s="39">
        <f>1-1-21</f>
        <v/>
      </c>
      <c r="K29" s="40">
        <f>AB29-SUM(H29:J29)</f>
        <v/>
      </c>
      <c r="L29" s="39">
        <f>20-0-14</f>
        <v/>
      </c>
      <c r="M29" s="39">
        <f>31-1-12</f>
        <v/>
      </c>
      <c r="N29" s="39">
        <f>-17-1-14</f>
        <v/>
      </c>
      <c r="O29" s="40">
        <f>AC29-SUM(L29:N29)</f>
        <v/>
      </c>
      <c r="P29" s="39">
        <f>44-26</f>
        <v/>
      </c>
      <c r="Q29" s="39">
        <f>33-31</f>
        <v/>
      </c>
      <c r="R29" s="39">
        <f>43-31</f>
        <v/>
      </c>
      <c r="S29" s="40">
        <f>AD29-SUM(P29:R29)</f>
        <v/>
      </c>
      <c r="T29" s="39" t="n">
        <v>35</v>
      </c>
      <c r="U29" s="39" t="n">
        <v>25</v>
      </c>
      <c r="V29" s="39">
        <f>105-80</f>
        <v/>
      </c>
      <c r="W29" s="40">
        <f>AE29-SUM(T29:V29)</f>
        <v/>
      </c>
      <c r="X29" s="39" t="n">
        <v>-31</v>
      </c>
      <c r="Y29" s="121" t="n">
        <v>5</v>
      </c>
      <c r="Z29" s="94" t="n"/>
      <c r="AA29" s="121">
        <f>-27-(207-111)</f>
        <v/>
      </c>
      <c r="AB29" s="39">
        <f>60-(199-108)</f>
        <v/>
      </c>
      <c r="AC29" s="39">
        <f>75-(198-130)</f>
        <v/>
      </c>
      <c r="AD29" s="39">
        <f>158-119</f>
        <v/>
      </c>
      <c r="AE29" s="121">
        <f>360-248</f>
        <v/>
      </c>
      <c r="AF29" s="94" t="n"/>
      <c r="AG29" s="103">
        <f>SUM(R29:U29)</f>
        <v/>
      </c>
      <c r="AH29" s="103">
        <f>SUM(V29:Y29)</f>
        <v/>
      </c>
    </row>
    <row r="30" ht="12.75" customHeight="1">
      <c r="A30" s="30" t="n"/>
      <c r="B30" s="94" t="n"/>
      <c r="C30" s="99" t="inlineStr">
        <is>
          <t>Income (loss) before income taxes</t>
        </is>
      </c>
      <c r="D30" s="41">
        <f>D27-D28-D29</f>
        <v/>
      </c>
      <c r="E30" s="41">
        <f>E27-E28-E29</f>
        <v/>
      </c>
      <c r="F30" s="41">
        <f>F27-F28-F29</f>
        <v/>
      </c>
      <c r="G30" s="41">
        <f>G27-G28-G29</f>
        <v/>
      </c>
      <c r="H30" s="41">
        <f>H27-H28-H29</f>
        <v/>
      </c>
      <c r="I30" s="41">
        <f>I27-I28-I29</f>
        <v/>
      </c>
      <c r="J30" s="41">
        <f>J27-J28-J29</f>
        <v/>
      </c>
      <c r="K30" s="41">
        <f>K27-K28-K29</f>
        <v/>
      </c>
      <c r="L30" s="41">
        <f>L27-L28-L29</f>
        <v/>
      </c>
      <c r="M30" s="41">
        <f>M27-M28-M29</f>
        <v/>
      </c>
      <c r="N30" s="41">
        <f>N27-N28-N29</f>
        <v/>
      </c>
      <c r="O30" s="41">
        <f>O27-O28-O29</f>
        <v/>
      </c>
      <c r="P30" s="41">
        <f>P27-P28-P29</f>
        <v/>
      </c>
      <c r="Q30" s="41">
        <f>Q27-Q28-Q29</f>
        <v/>
      </c>
      <c r="R30" s="41">
        <f>R27-R28-R29</f>
        <v/>
      </c>
      <c r="S30" s="41">
        <f>S27-S28-S29</f>
        <v/>
      </c>
      <c r="T30" s="41">
        <f>T27-T28-T29</f>
        <v/>
      </c>
      <c r="U30" s="41">
        <f>U27-U28-U29</f>
        <v/>
      </c>
      <c r="V30" s="41">
        <f>V27-V28-V29</f>
        <v/>
      </c>
      <c r="W30" s="41">
        <f>W27-W28-W29</f>
        <v/>
      </c>
      <c r="X30" s="41">
        <f>X27-X28-X29</f>
        <v/>
      </c>
      <c r="Y30" s="104">
        <f>Y27-Y28-Y29</f>
        <v/>
      </c>
      <c r="Z30" s="94" t="n"/>
      <c r="AA30" s="104">
        <f>AA27-AA28-AA29</f>
        <v/>
      </c>
      <c r="AB30" s="41">
        <f>AB27-AB28-AB29</f>
        <v/>
      </c>
      <c r="AC30" s="41">
        <f>AC27-AC28-AC29</f>
        <v/>
      </c>
      <c r="AD30" s="41">
        <f>AD27-AD28-AD29</f>
        <v/>
      </c>
      <c r="AE30" s="104">
        <f>AE27-AE28-AE29</f>
        <v/>
      </c>
      <c r="AF30" s="94" t="n"/>
      <c r="AG30" s="104">
        <f>AG27-AG28-AG29</f>
        <v/>
      </c>
      <c r="AH30" s="104">
        <f>AH27-AH28-AH29</f>
        <v/>
      </c>
    </row>
    <row r="31" ht="12.75" customHeight="1">
      <c r="A31" s="30" t="n"/>
      <c r="B31" s="94" t="n"/>
      <c r="C31" s="105" t="inlineStr">
        <is>
          <t>Income tax expense (benefit)</t>
        </is>
      </c>
      <c r="D31" s="39" t="n">
        <v>14</v>
      </c>
      <c r="E31" s="39" t="n">
        <v>9</v>
      </c>
      <c r="F31" s="39" t="n">
        <v>-4</v>
      </c>
      <c r="G31" s="40">
        <f>AA31-SUM(D31:F31)</f>
        <v/>
      </c>
      <c r="H31" s="39" t="n">
        <v>-31</v>
      </c>
      <c r="I31" s="39" t="n">
        <v>1</v>
      </c>
      <c r="J31" s="39" t="n">
        <v>3</v>
      </c>
      <c r="K31" s="40">
        <f>AB31-SUM(H31:J31)</f>
        <v/>
      </c>
      <c r="L31" s="39" t="n">
        <v>14</v>
      </c>
      <c r="M31" s="39" t="n">
        <v>-28</v>
      </c>
      <c r="N31" s="39" t="n">
        <v>15</v>
      </c>
      <c r="O31" s="40">
        <f>AC31-SUM(L31:N31)</f>
        <v/>
      </c>
      <c r="P31" s="39" t="n">
        <v>-37</v>
      </c>
      <c r="Q31" s="39" t="n">
        <v>7</v>
      </c>
      <c r="R31" s="39" t="n">
        <v>118</v>
      </c>
      <c r="S31" s="40">
        <f>AD31-SUM(P31:R31)</f>
        <v/>
      </c>
      <c r="T31" s="39" t="n">
        <v>23</v>
      </c>
      <c r="U31" s="39" t="n">
        <v>46</v>
      </c>
      <c r="V31" s="39" t="n">
        <v>460</v>
      </c>
      <c r="W31" s="40">
        <f>AE31-SUM(T31:V31)</f>
        <v/>
      </c>
      <c r="X31" s="39" t="n">
        <v>32</v>
      </c>
      <c r="Y31" s="121" t="n">
        <v>18</v>
      </c>
      <c r="Z31" s="94" t="n"/>
      <c r="AA31" s="121" t="n">
        <v>-17</v>
      </c>
      <c r="AB31" s="39" t="n">
        <v>-3</v>
      </c>
      <c r="AC31" s="39" t="n">
        <v>-29</v>
      </c>
      <c r="AD31" s="39" t="n">
        <v>105</v>
      </c>
      <c r="AE31" s="121" t="n">
        <v>541</v>
      </c>
      <c r="AF31" s="94" t="n"/>
      <c r="AG31" s="103">
        <f>SUM(R31:U31)</f>
        <v/>
      </c>
      <c r="AH31" s="103">
        <f>SUM(V31:Y31)</f>
        <v/>
      </c>
    </row>
    <row r="32" ht="12.75" customHeight="1">
      <c r="A32" s="30" t="n"/>
      <c r="B32" s="94" t="n"/>
      <c r="C32" s="99" t="inlineStr">
        <is>
          <t>Net Income (loss)</t>
        </is>
      </c>
      <c r="D32" s="41">
        <f>D30-D31</f>
        <v/>
      </c>
      <c r="E32" s="41">
        <f>E30-E31</f>
        <v/>
      </c>
      <c r="F32" s="41">
        <f>F30-F31</f>
        <v/>
      </c>
      <c r="G32" s="41">
        <f>G30-G31</f>
        <v/>
      </c>
      <c r="H32" s="41">
        <f>H30-H31</f>
        <v/>
      </c>
      <c r="I32" s="41">
        <f>I30-I31</f>
        <v/>
      </c>
      <c r="J32" s="41">
        <f>J30-J31</f>
        <v/>
      </c>
      <c r="K32" s="41">
        <f>K30-K31</f>
        <v/>
      </c>
      <c r="L32" s="41">
        <f>L30-L31</f>
        <v/>
      </c>
      <c r="M32" s="41">
        <f>M30-M31</f>
        <v/>
      </c>
      <c r="N32" s="41">
        <f>N30-N31</f>
        <v/>
      </c>
      <c r="O32" s="41">
        <f>O30-O31</f>
        <v/>
      </c>
      <c r="P32" s="41">
        <f>P30-P31</f>
        <v/>
      </c>
      <c r="Q32" s="41">
        <f>Q30-Q31</f>
        <v/>
      </c>
      <c r="R32" s="41">
        <f>R30-R31</f>
        <v/>
      </c>
      <c r="S32" s="41">
        <f>S30-S31</f>
        <v/>
      </c>
      <c r="T32" s="41">
        <f>T30-T31</f>
        <v/>
      </c>
      <c r="U32" s="41">
        <f>U30-U31</f>
        <v/>
      </c>
      <c r="V32" s="41">
        <f>V30-V31</f>
        <v/>
      </c>
      <c r="W32" s="41">
        <f>W30-W31</f>
        <v/>
      </c>
      <c r="X32" s="41">
        <f>X30-X31</f>
        <v/>
      </c>
      <c r="Y32" s="104">
        <f>Y30-Y31</f>
        <v/>
      </c>
      <c r="Z32" s="94" t="n"/>
      <c r="AA32" s="104">
        <f>AA30-AA31</f>
        <v/>
      </c>
      <c r="AB32" s="41">
        <f>AB30-AB31</f>
        <v/>
      </c>
      <c r="AC32" s="41">
        <f>AC30-AC31</f>
        <v/>
      </c>
      <c r="AD32" s="41">
        <f>AD30-AD31</f>
        <v/>
      </c>
      <c r="AE32" s="104">
        <f>AE30-AE31</f>
        <v/>
      </c>
      <c r="AF32" s="94" t="n"/>
      <c r="AG32" s="104">
        <f>AG30-AG31</f>
        <v/>
      </c>
      <c r="AH32" s="104">
        <f>AH30-AH31</f>
        <v/>
      </c>
    </row>
    <row r="33" ht="12.75" customHeight="1">
      <c r="A33" s="30" t="n"/>
      <c r="B33" s="94" t="n"/>
      <c r="C33" s="105" t="inlineStr">
        <is>
          <t>Less: net (income) loss attributable to noncontrolling interests</t>
        </is>
      </c>
      <c r="D33" s="39" t="n">
        <v>0</v>
      </c>
      <c r="E33" s="39" t="n">
        <v>0</v>
      </c>
      <c r="F33" s="39" t="n">
        <v>1</v>
      </c>
      <c r="G33" s="40">
        <f>AA33-SUM(D33:F33)</f>
        <v/>
      </c>
      <c r="H33" s="39" t="n">
        <v>1</v>
      </c>
      <c r="I33" s="39" t="n">
        <v>1</v>
      </c>
      <c r="J33" s="39" t="n">
        <v>-1</v>
      </c>
      <c r="K33" s="40">
        <f>AB33-SUM(H33:J33)</f>
        <v/>
      </c>
      <c r="L33" s="39" t="n">
        <v>0</v>
      </c>
      <c r="M33" s="39" t="n">
        <v>-1</v>
      </c>
      <c r="N33" s="39" t="n">
        <v>0</v>
      </c>
      <c r="O33" s="40">
        <f>AC33-SUM(L33:N33)</f>
        <v/>
      </c>
      <c r="P33" s="39" t="n">
        <v>0</v>
      </c>
      <c r="Q33" s="39" t="n">
        <v>0</v>
      </c>
      <c r="R33" s="39" t="n">
        <v>0</v>
      </c>
      <c r="S33" s="40">
        <f>AD33-SUM(P33:R33)</f>
        <v/>
      </c>
      <c r="T33" s="39" t="n">
        <v>0</v>
      </c>
      <c r="U33" s="39" t="n">
        <v>0</v>
      </c>
      <c r="V33" s="39" t="n">
        <v>0</v>
      </c>
      <c r="W33" s="40">
        <f>AE33-SUM(T33:V33)</f>
        <v/>
      </c>
      <c r="X33" s="39" t="n">
        <v>0</v>
      </c>
      <c r="Y33" s="121" t="n">
        <v>0</v>
      </c>
      <c r="Z33" s="94" t="n"/>
      <c r="AA33" s="121" t="n">
        <v>0</v>
      </c>
      <c r="AB33" s="39" t="n">
        <v>0</v>
      </c>
      <c r="AC33" s="39" t="n">
        <v>0</v>
      </c>
      <c r="AD33" s="39" t="n">
        <v>0</v>
      </c>
      <c r="AE33" s="121" t="n">
        <v>0</v>
      </c>
      <c r="AF33" s="94" t="n"/>
      <c r="AG33" s="103">
        <f>SUM(R33:U33)</f>
        <v/>
      </c>
      <c r="AH33" s="103">
        <f>SUM(V33:Y33)</f>
        <v/>
      </c>
    </row>
    <row r="34" ht="12.75" customHeight="1">
      <c r="A34" s="30" t="n"/>
      <c r="B34" s="94" t="inlineStr">
        <is>
          <t>x</t>
        </is>
      </c>
      <c r="C34" s="99" t="inlineStr">
        <is>
          <t>Net (loss) income attributable to Xerox Holdings</t>
        </is>
      </c>
      <c r="D34" s="41">
        <f>D32+D33</f>
        <v/>
      </c>
      <c r="E34" s="41">
        <f>E32+E33</f>
        <v/>
      </c>
      <c r="F34" s="41">
        <f>F32+F33</f>
        <v/>
      </c>
      <c r="G34" s="41">
        <f>G32+G33</f>
        <v/>
      </c>
      <c r="H34" s="41">
        <f>H32+H33</f>
        <v/>
      </c>
      <c r="I34" s="41">
        <f>I32+I33</f>
        <v/>
      </c>
      <c r="J34" s="41">
        <f>J32+J33</f>
        <v/>
      </c>
      <c r="K34" s="41">
        <f>K32+K33</f>
        <v/>
      </c>
      <c r="L34" s="41">
        <f>L32+L33</f>
        <v/>
      </c>
      <c r="M34" s="41">
        <f>M32+M33</f>
        <v/>
      </c>
      <c r="N34" s="41">
        <f>N32+N33</f>
        <v/>
      </c>
      <c r="O34" s="41">
        <f>O32+O33</f>
        <v/>
      </c>
      <c r="P34" s="41">
        <f>P32+P33</f>
        <v/>
      </c>
      <c r="Q34" s="41">
        <f>Q32+Q33</f>
        <v/>
      </c>
      <c r="R34" s="41">
        <f>R32+R33</f>
        <v/>
      </c>
      <c r="S34" s="41">
        <f>S32+S33</f>
        <v/>
      </c>
      <c r="T34" s="41">
        <f>T32+T33</f>
        <v/>
      </c>
      <c r="U34" s="41">
        <f>U32+U33</f>
        <v/>
      </c>
      <c r="V34" s="41">
        <f>V32+V33</f>
        <v/>
      </c>
      <c r="W34" s="41">
        <f>W32+W33</f>
        <v/>
      </c>
      <c r="X34" s="41">
        <f>X32+X33</f>
        <v/>
      </c>
      <c r="Y34" s="104">
        <f>Y32+Y33</f>
        <v/>
      </c>
      <c r="Z34" s="94" t="n"/>
      <c r="AA34" s="104">
        <f>AA32+AA33</f>
        <v/>
      </c>
      <c r="AB34" s="41">
        <f>AB32+AB33</f>
        <v/>
      </c>
      <c r="AC34" s="41">
        <f>AC32+AC33</f>
        <v/>
      </c>
      <c r="AD34" s="41">
        <f>AD32+AD33</f>
        <v/>
      </c>
      <c r="AE34" s="104">
        <f>AE32+AE33</f>
        <v/>
      </c>
      <c r="AF34" s="94" t="n"/>
      <c r="AG34" s="104">
        <f>AG32+AG33</f>
        <v/>
      </c>
      <c r="AH34" s="104">
        <f>AH32+AH33</f>
        <v/>
      </c>
    </row>
    <row r="35" ht="12.75" customHeight="1">
      <c r="A35" s="30" t="n"/>
      <c r="B35" s="94" t="n"/>
      <c r="C35" s="94" t="n"/>
      <c r="D35" s="30" t="n"/>
      <c r="E35" s="30" t="n"/>
      <c r="F35" s="30" t="n"/>
      <c r="G35" s="30" t="n"/>
      <c r="H35" s="30" t="n"/>
      <c r="I35" s="30" t="n"/>
      <c r="J35" s="30" t="n"/>
      <c r="K35" s="30" t="n"/>
      <c r="L35" s="30" t="n"/>
      <c r="M35" s="30" t="n"/>
      <c r="N35" s="30" t="n"/>
      <c r="O35" s="30" t="n"/>
      <c r="P35" s="30" t="n"/>
      <c r="Q35" s="30" t="n"/>
      <c r="R35" s="30" t="n"/>
      <c r="S35" s="30" t="n"/>
      <c r="T35" s="30" t="n"/>
      <c r="U35" s="30" t="n"/>
      <c r="V35" s="30" t="n"/>
      <c r="W35" s="30" t="n"/>
      <c r="X35" s="30" t="n"/>
      <c r="Y35" s="94" t="n"/>
      <c r="Z35" s="94" t="n"/>
      <c r="AA35" s="94" t="n"/>
      <c r="AB35" s="30" t="n"/>
      <c r="AC35" s="30" t="n"/>
      <c r="AD35" s="30" t="n"/>
      <c r="AE35" s="94" t="n"/>
      <c r="AF35" s="94" t="n"/>
      <c r="AG35" s="94" t="n"/>
      <c r="AH35" s="94" t="n"/>
    </row>
    <row r="36" ht="12.75" customHeight="1">
      <c r="A36" s="30" t="n"/>
      <c r="B36" s="94" t="n"/>
    </row>
    <row r="37" ht="12.75" customHeight="1">
      <c r="A37" s="30" t="n"/>
      <c r="B37" s="94" t="n"/>
    </row>
    <row r="38" ht="12.75" customHeight="1">
      <c r="A38" s="30" t="n"/>
      <c r="B38" s="94" t="inlineStr">
        <is>
          <t>x</t>
        </is>
      </c>
      <c r="C38" s="35" t="inlineStr">
        <is>
          <t>Adjusted EBITDA Build</t>
        </is>
      </c>
      <c r="D38" s="36" t="inlineStr">
        <is>
          <t>Quarter Ended</t>
        </is>
      </c>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131" t="n"/>
      <c r="AA38" s="132" t="inlineStr">
        <is>
          <t>Fiscal Year Ended December 31,</t>
        </is>
      </c>
      <c r="AB38" s="132" t="n"/>
      <c r="AC38" s="132" t="n"/>
      <c r="AD38" s="132" t="n"/>
      <c r="AE38" s="132" t="n"/>
      <c r="AF38" s="131" t="n"/>
      <c r="AG38" s="133" t="inlineStr">
        <is>
          <t>LTM</t>
        </is>
      </c>
      <c r="AH38" s="133" t="n"/>
    </row>
    <row r="39" ht="12.75" customHeight="1">
      <c r="A39" s="30" t="n"/>
      <c r="B39" s="94" t="n"/>
      <c r="C39" s="134" t="inlineStr">
        <is>
          <t>Net (loss) income</t>
        </is>
      </c>
      <c r="D39" s="38">
        <f>D32</f>
        <v/>
      </c>
      <c r="E39" s="38">
        <f>E32</f>
        <v/>
      </c>
      <c r="F39" s="38">
        <f>F32</f>
        <v/>
      </c>
      <c r="G39" s="38">
        <f>G32</f>
        <v/>
      </c>
      <c r="H39" s="38">
        <f>H32</f>
        <v/>
      </c>
      <c r="I39" s="38">
        <f>I32</f>
        <v/>
      </c>
      <c r="J39" s="38">
        <f>J32</f>
        <v/>
      </c>
      <c r="K39" s="38">
        <f>K32</f>
        <v/>
      </c>
      <c r="L39" s="38">
        <f>L32</f>
        <v/>
      </c>
      <c r="M39" s="38">
        <f>M32</f>
        <v/>
      </c>
      <c r="N39" s="38">
        <f>N32</f>
        <v/>
      </c>
      <c r="O39" s="38">
        <f>O32</f>
        <v/>
      </c>
      <c r="P39" s="38">
        <f>P32</f>
        <v/>
      </c>
      <c r="Q39" s="38">
        <f>Q32</f>
        <v/>
      </c>
      <c r="R39" s="38">
        <f>R32</f>
        <v/>
      </c>
      <c r="S39" s="38">
        <f>S32</f>
        <v/>
      </c>
      <c r="T39" s="38">
        <f>T32</f>
        <v/>
      </c>
      <c r="U39" s="38">
        <f>U32</f>
        <v/>
      </c>
      <c r="V39" s="38">
        <f>V32</f>
        <v/>
      </c>
      <c r="W39" s="38">
        <f>W32</f>
        <v/>
      </c>
      <c r="X39" s="38">
        <f>X32</f>
        <v/>
      </c>
      <c r="Y39" s="102">
        <f>Y32</f>
        <v/>
      </c>
      <c r="Z39" s="102" t="n"/>
      <c r="AA39" s="102">
        <f>AA32</f>
        <v/>
      </c>
      <c r="AB39" s="38">
        <f>AB32</f>
        <v/>
      </c>
      <c r="AC39" s="38">
        <f>AC32</f>
        <v/>
      </c>
      <c r="AD39" s="38">
        <f>AD32</f>
        <v/>
      </c>
      <c r="AE39" s="102">
        <f>AE32</f>
        <v/>
      </c>
      <c r="AF39" s="102" t="n"/>
      <c r="AG39" s="102">
        <f>SUM(R39:U39)</f>
        <v/>
      </c>
      <c r="AH39" s="102">
        <f>SUM(V39:Y39)</f>
        <v/>
      </c>
    </row>
    <row r="40" ht="12.75" customHeight="1">
      <c r="A40" s="30" t="n"/>
      <c r="B40" s="94" t="n"/>
      <c r="C40" s="105" t="inlineStr">
        <is>
          <t>Non-financing interest expense</t>
        </is>
      </c>
      <c r="D40" s="40">
        <f>D28</f>
        <v/>
      </c>
      <c r="E40" s="40">
        <f>E28</f>
        <v/>
      </c>
      <c r="F40" s="40">
        <f>F28</f>
        <v/>
      </c>
      <c r="G40" s="40">
        <f>G28</f>
        <v/>
      </c>
      <c r="H40" s="40">
        <f>H28</f>
        <v/>
      </c>
      <c r="I40" s="40">
        <f>I28</f>
        <v/>
      </c>
      <c r="J40" s="40">
        <f>J28</f>
        <v/>
      </c>
      <c r="K40" s="40">
        <f>K28</f>
        <v/>
      </c>
      <c r="L40" s="40">
        <f>L28</f>
        <v/>
      </c>
      <c r="M40" s="40">
        <f>M28</f>
        <v/>
      </c>
      <c r="N40" s="40">
        <f>N28</f>
        <v/>
      </c>
      <c r="O40" s="40">
        <f>O28</f>
        <v/>
      </c>
      <c r="P40" s="40">
        <f>P28</f>
        <v/>
      </c>
      <c r="Q40" s="40">
        <f>Q28</f>
        <v/>
      </c>
      <c r="R40" s="40">
        <f>R28</f>
        <v/>
      </c>
      <c r="S40" s="40">
        <f>S28</f>
        <v/>
      </c>
      <c r="T40" s="40">
        <f>T28</f>
        <v/>
      </c>
      <c r="U40" s="40">
        <f>U28</f>
        <v/>
      </c>
      <c r="V40" s="40">
        <f>V28</f>
        <v/>
      </c>
      <c r="W40" s="40">
        <f>W28</f>
        <v/>
      </c>
      <c r="X40" s="40">
        <f>X28</f>
        <v/>
      </c>
      <c r="Y40" s="103">
        <f>Y28</f>
        <v/>
      </c>
      <c r="Z40" s="94" t="n"/>
      <c r="AA40" s="103">
        <f>AA28</f>
        <v/>
      </c>
      <c r="AB40" s="40">
        <f>AB28</f>
        <v/>
      </c>
      <c r="AC40" s="40">
        <f>AC28</f>
        <v/>
      </c>
      <c r="AD40" s="40">
        <f>AD28</f>
        <v/>
      </c>
      <c r="AE40" s="103">
        <f>AE28</f>
        <v/>
      </c>
      <c r="AF40" s="94" t="n"/>
      <c r="AG40" s="103">
        <f>SUM(R40:U40)</f>
        <v/>
      </c>
      <c r="AH40" s="103">
        <f>SUM(V40:Y40)</f>
        <v/>
      </c>
    </row>
    <row r="41" ht="12.75" customHeight="1">
      <c r="A41" s="30" t="n"/>
      <c r="B41" s="94" t="n"/>
      <c r="C41" s="105" t="inlineStr">
        <is>
          <t>Other expenses (income), net</t>
        </is>
      </c>
      <c r="D41" s="40">
        <f>D29</f>
        <v/>
      </c>
      <c r="E41" s="40">
        <f>E29</f>
        <v/>
      </c>
      <c r="F41" s="40">
        <f>F29</f>
        <v/>
      </c>
      <c r="G41" s="40">
        <f>G29</f>
        <v/>
      </c>
      <c r="H41" s="40">
        <f>H29</f>
        <v/>
      </c>
      <c r="I41" s="40">
        <f>I29</f>
        <v/>
      </c>
      <c r="J41" s="40">
        <f>J29</f>
        <v/>
      </c>
      <c r="K41" s="40">
        <f>K29</f>
        <v/>
      </c>
      <c r="L41" s="40">
        <f>L29</f>
        <v/>
      </c>
      <c r="M41" s="40">
        <f>M29</f>
        <v/>
      </c>
      <c r="N41" s="40">
        <f>N29</f>
        <v/>
      </c>
      <c r="O41" s="40">
        <f>O29</f>
        <v/>
      </c>
      <c r="P41" s="40">
        <f>P29</f>
        <v/>
      </c>
      <c r="Q41" s="40">
        <f>Q29</f>
        <v/>
      </c>
      <c r="R41" s="40">
        <f>R29</f>
        <v/>
      </c>
      <c r="S41" s="40">
        <f>S29</f>
        <v/>
      </c>
      <c r="T41" s="40">
        <f>T29</f>
        <v/>
      </c>
      <c r="U41" s="40">
        <f>U29</f>
        <v/>
      </c>
      <c r="V41" s="40">
        <f>V29</f>
        <v/>
      </c>
      <c r="W41" s="40">
        <f>W29</f>
        <v/>
      </c>
      <c r="X41" s="40">
        <f>X29</f>
        <v/>
      </c>
      <c r="Y41" s="103">
        <f>Y29</f>
        <v/>
      </c>
      <c r="Z41" s="94" t="n"/>
      <c r="AA41" s="103">
        <f>AA29</f>
        <v/>
      </c>
      <c r="AB41" s="40">
        <f>AB29</f>
        <v/>
      </c>
      <c r="AC41" s="40">
        <f>AC29</f>
        <v/>
      </c>
      <c r="AD41" s="40">
        <f>AD29</f>
        <v/>
      </c>
      <c r="AE41" s="103">
        <f>AE29</f>
        <v/>
      </c>
      <c r="AF41" s="94" t="n"/>
      <c r="AG41" s="103">
        <f>SUM(R41:U41)</f>
        <v/>
      </c>
      <c r="AH41" s="103">
        <f>SUM(V41:Y41)</f>
        <v/>
      </c>
    </row>
    <row r="42" ht="12.75" customHeight="1">
      <c r="A42" s="30" t="n"/>
      <c r="B42" s="94" t="n"/>
      <c r="C42" s="105" t="inlineStr">
        <is>
          <t>Income tax expense (benefit)</t>
        </is>
      </c>
      <c r="D42" s="40">
        <f>D31</f>
        <v/>
      </c>
      <c r="E42" s="40">
        <f>E31</f>
        <v/>
      </c>
      <c r="F42" s="40">
        <f>F31</f>
        <v/>
      </c>
      <c r="G42" s="40">
        <f>G31</f>
        <v/>
      </c>
      <c r="H42" s="40">
        <f>H31</f>
        <v/>
      </c>
      <c r="I42" s="40">
        <f>I31</f>
        <v/>
      </c>
      <c r="J42" s="40">
        <f>J31</f>
        <v/>
      </c>
      <c r="K42" s="40">
        <f>K31</f>
        <v/>
      </c>
      <c r="L42" s="40">
        <f>L31</f>
        <v/>
      </c>
      <c r="M42" s="40">
        <f>M31</f>
        <v/>
      </c>
      <c r="N42" s="40">
        <f>N31</f>
        <v/>
      </c>
      <c r="O42" s="40">
        <f>O31</f>
        <v/>
      </c>
      <c r="P42" s="40">
        <f>P31</f>
        <v/>
      </c>
      <c r="Q42" s="40">
        <f>Q31</f>
        <v/>
      </c>
      <c r="R42" s="40">
        <f>R31</f>
        <v/>
      </c>
      <c r="S42" s="40">
        <f>S31</f>
        <v/>
      </c>
      <c r="T42" s="40">
        <f>T31</f>
        <v/>
      </c>
      <c r="U42" s="40">
        <f>U31</f>
        <v/>
      </c>
      <c r="V42" s="40">
        <f>V31</f>
        <v/>
      </c>
      <c r="W42" s="40">
        <f>W31</f>
        <v/>
      </c>
      <c r="X42" s="40">
        <f>X31</f>
        <v/>
      </c>
      <c r="Y42" s="103">
        <f>Y31</f>
        <v/>
      </c>
      <c r="Z42" s="94" t="n"/>
      <c r="AA42" s="103">
        <f>AA31</f>
        <v/>
      </c>
      <c r="AB42" s="40">
        <f>AB31</f>
        <v/>
      </c>
      <c r="AC42" s="40">
        <f>AC31</f>
        <v/>
      </c>
      <c r="AD42" s="40">
        <f>AD31</f>
        <v/>
      </c>
      <c r="AE42" s="103">
        <f>AE31</f>
        <v/>
      </c>
      <c r="AF42" s="94" t="n"/>
      <c r="AG42" s="103">
        <f>SUM(R42:U42)</f>
        <v/>
      </c>
      <c r="AH42" s="103">
        <f>SUM(V42:Y42)</f>
        <v/>
      </c>
    </row>
    <row r="43" ht="12.75" customHeight="1">
      <c r="A43" s="30" t="n"/>
      <c r="B43" s="94" t="n"/>
      <c r="C43" s="105" t="inlineStr">
        <is>
          <t>Depreciation and amortization (excl. customer contract costs)</t>
        </is>
      </c>
      <c r="D43" s="43">
        <f>'Cash Flow Statement'!E16</f>
        <v/>
      </c>
      <c r="E43" s="43">
        <f>'Cash Flow Statement'!F16</f>
        <v/>
      </c>
      <c r="F43" s="43">
        <f>'Cash Flow Statement'!G16</f>
        <v/>
      </c>
      <c r="G43" s="43">
        <f>'Cash Flow Statement'!H16</f>
        <v/>
      </c>
      <c r="H43" s="43">
        <f>'Cash Flow Statement'!I16</f>
        <v/>
      </c>
      <c r="I43" s="43">
        <f>'Cash Flow Statement'!J16</f>
        <v/>
      </c>
      <c r="J43" s="43">
        <f>'Cash Flow Statement'!K16</f>
        <v/>
      </c>
      <c r="K43" s="43">
        <f>'Cash Flow Statement'!L16</f>
        <v/>
      </c>
      <c r="L43" s="43">
        <f>'Cash Flow Statement'!M16</f>
        <v/>
      </c>
      <c r="M43" s="43">
        <f>'Cash Flow Statement'!N16</f>
        <v/>
      </c>
      <c r="N43" s="43">
        <f>'Cash Flow Statement'!O16</f>
        <v/>
      </c>
      <c r="O43" s="43">
        <f>'Cash Flow Statement'!P16</f>
        <v/>
      </c>
      <c r="P43" s="43">
        <f>'Cash Flow Statement'!Q16</f>
        <v/>
      </c>
      <c r="Q43" s="43">
        <f>'Cash Flow Statement'!R16</f>
        <v/>
      </c>
      <c r="R43" s="43">
        <f>'Cash Flow Statement'!S16</f>
        <v/>
      </c>
      <c r="S43" s="43">
        <f>'Cash Flow Statement'!T16</f>
        <v/>
      </c>
      <c r="T43" s="43">
        <f>'Cash Flow Statement'!U16</f>
        <v/>
      </c>
      <c r="U43" s="43">
        <f>'Cash Flow Statement'!V16</f>
        <v/>
      </c>
      <c r="V43" s="43">
        <f>'Cash Flow Statement'!W16</f>
        <v/>
      </c>
      <c r="W43" s="43">
        <f>'Cash Flow Statement'!X16</f>
        <v/>
      </c>
      <c r="X43" s="43">
        <f>'Cash Flow Statement'!Y16</f>
        <v/>
      </c>
      <c r="Y43" s="122">
        <f>'Cash Flow Statement'!Z16</f>
        <v/>
      </c>
      <c r="Z43" s="94" t="n"/>
      <c r="AA43" s="122">
        <f>'Cash Flow Statement'!AB16</f>
        <v/>
      </c>
      <c r="AB43" s="43">
        <f>'Cash Flow Statement'!AC16</f>
        <v/>
      </c>
      <c r="AC43" s="43">
        <f>'Cash Flow Statement'!AD16</f>
        <v/>
      </c>
      <c r="AD43" s="43">
        <f>'Cash Flow Statement'!AE16</f>
        <v/>
      </c>
      <c r="AE43" s="122">
        <f>'Cash Flow Statement'!AF16</f>
        <v/>
      </c>
      <c r="AF43" s="94" t="n"/>
      <c r="AG43" s="103">
        <f>SUM(R43:U43)</f>
        <v/>
      </c>
      <c r="AH43" s="103">
        <f>SUM(V43:Y43)</f>
        <v/>
      </c>
    </row>
    <row r="44" ht="12.75" customHeight="1">
      <c r="A44" s="30" t="n"/>
      <c r="B44" s="94" t="n"/>
      <c r="C44" s="105" t="inlineStr">
        <is>
          <t>Goodwill impairment</t>
        </is>
      </c>
      <c r="D44" s="40">
        <f>D21</f>
        <v/>
      </c>
      <c r="E44" s="40">
        <f>E21</f>
        <v/>
      </c>
      <c r="F44" s="40">
        <f>F21</f>
        <v/>
      </c>
      <c r="G44" s="40">
        <f>G21</f>
        <v/>
      </c>
      <c r="H44" s="40">
        <f>H21</f>
        <v/>
      </c>
      <c r="I44" s="40">
        <f>I21</f>
        <v/>
      </c>
      <c r="J44" s="40">
        <f>J21</f>
        <v/>
      </c>
      <c r="K44" s="40">
        <f>K21</f>
        <v/>
      </c>
      <c r="L44" s="40">
        <f>L21</f>
        <v/>
      </c>
      <c r="M44" s="40">
        <f>M21</f>
        <v/>
      </c>
      <c r="N44" s="40">
        <f>N21</f>
        <v/>
      </c>
      <c r="O44" s="40">
        <f>O21</f>
        <v/>
      </c>
      <c r="P44" s="40">
        <f>P21</f>
        <v/>
      </c>
      <c r="Q44" s="40">
        <f>Q21</f>
        <v/>
      </c>
      <c r="R44" s="40">
        <f>R21</f>
        <v/>
      </c>
      <c r="S44" s="40">
        <f>S21</f>
        <v/>
      </c>
      <c r="T44" s="40">
        <f>T21</f>
        <v/>
      </c>
      <c r="U44" s="40">
        <f>U21</f>
        <v/>
      </c>
      <c r="V44" s="40">
        <f>V21</f>
        <v/>
      </c>
      <c r="W44" s="40">
        <f>W21</f>
        <v/>
      </c>
      <c r="X44" s="40">
        <f>X21</f>
        <v/>
      </c>
      <c r="Y44" s="103">
        <f>Y21</f>
        <v/>
      </c>
      <c r="Z44" s="94" t="n"/>
      <c r="AA44" s="103">
        <f>AA21</f>
        <v/>
      </c>
      <c r="AB44" s="40">
        <f>AB21</f>
        <v/>
      </c>
      <c r="AC44" s="40">
        <f>AC21</f>
        <v/>
      </c>
      <c r="AD44" s="40">
        <f>AD21</f>
        <v/>
      </c>
      <c r="AE44" s="103">
        <f>AE21</f>
        <v/>
      </c>
      <c r="AF44" s="94" t="n"/>
      <c r="AG44" s="103">
        <f>SUM(R44:U44)</f>
        <v/>
      </c>
      <c r="AH44" s="103">
        <f>SUM(V44:Y44)</f>
        <v/>
      </c>
    </row>
    <row r="45" ht="12.75" customHeight="1">
      <c r="A45" s="30" t="n"/>
      <c r="B45" s="94" t="n"/>
      <c r="C45" s="108" t="inlineStr">
        <is>
          <t>EBITDA</t>
        </is>
      </c>
      <c r="D45" s="130">
        <f>SUM(D39:D44)</f>
        <v/>
      </c>
      <c r="E45" s="130">
        <f>SUM(E39:E44)</f>
        <v/>
      </c>
      <c r="F45" s="130">
        <f>SUM(F39:F44)</f>
        <v/>
      </c>
      <c r="G45" s="130">
        <f>SUM(G39:G44)</f>
        <v/>
      </c>
      <c r="H45" s="130">
        <f>SUM(H39:H44)</f>
        <v/>
      </c>
      <c r="I45" s="130">
        <f>SUM(I39:I44)</f>
        <v/>
      </c>
      <c r="J45" s="130">
        <f>SUM(J39:J44)</f>
        <v/>
      </c>
      <c r="K45" s="130">
        <f>SUM(K39:K44)</f>
        <v/>
      </c>
      <c r="L45" s="130">
        <f>SUM(L39:L44)</f>
        <v/>
      </c>
      <c r="M45" s="130">
        <f>SUM(M39:M44)</f>
        <v/>
      </c>
      <c r="N45" s="130">
        <f>SUM(N39:N44)</f>
        <v/>
      </c>
      <c r="O45" s="130">
        <f>SUM(O39:O44)</f>
        <v/>
      </c>
      <c r="P45" s="130">
        <f>SUM(P39:P44)</f>
        <v/>
      </c>
      <c r="Q45" s="130">
        <f>SUM(Q39:Q44)</f>
        <v/>
      </c>
      <c r="R45" s="130">
        <f>SUM(R39:R44)</f>
        <v/>
      </c>
      <c r="S45" s="130">
        <f>SUM(S39:S44)</f>
        <v/>
      </c>
      <c r="T45" s="130">
        <f>SUM(T39:T44)</f>
        <v/>
      </c>
      <c r="U45" s="130">
        <f>SUM(U39:U44)</f>
        <v/>
      </c>
      <c r="V45" s="130">
        <f>SUM(V39:V44)</f>
        <v/>
      </c>
      <c r="W45" s="130">
        <f>SUM(W39:W44)</f>
        <v/>
      </c>
      <c r="X45" s="130">
        <f>SUM(X39:X44)</f>
        <v/>
      </c>
      <c r="Y45" s="120">
        <f>SUM(Y39:Y44)</f>
        <v/>
      </c>
      <c r="Z45" s="94" t="n"/>
      <c r="AA45" s="120">
        <f>SUM(AA39:AA44)</f>
        <v/>
      </c>
      <c r="AB45" s="130">
        <f>SUM(AB39:AB44)</f>
        <v/>
      </c>
      <c r="AC45" s="130">
        <f>SUM(AC39:AC44)</f>
        <v/>
      </c>
      <c r="AD45" s="130">
        <f>SUM(AD39:AD44)</f>
        <v/>
      </c>
      <c r="AE45" s="120">
        <f>SUM(AE39:AE44)</f>
        <v/>
      </c>
      <c r="AF45" s="102" t="n"/>
      <c r="AG45" s="120">
        <f>SUM(AG39:AG44)</f>
        <v/>
      </c>
      <c r="AH45" s="120">
        <f>SUM(AH39:AH44)</f>
        <v/>
      </c>
    </row>
    <row r="46" ht="12.75" customHeight="1">
      <c r="A46" s="30" t="n"/>
      <c r="B46" s="94" t="n"/>
      <c r="C46" s="105" t="inlineStr">
        <is>
          <t>Stock-based compensation</t>
        </is>
      </c>
      <c r="D46" s="43">
        <f>'Cash Flow Statement'!E25</f>
        <v/>
      </c>
      <c r="E46" s="43">
        <f>'Cash Flow Statement'!F25</f>
        <v/>
      </c>
      <c r="F46" s="43">
        <f>'Cash Flow Statement'!G25</f>
        <v/>
      </c>
      <c r="G46" s="43">
        <f>'Cash Flow Statement'!H25</f>
        <v/>
      </c>
      <c r="H46" s="43">
        <f>'Cash Flow Statement'!I25</f>
        <v/>
      </c>
      <c r="I46" s="43">
        <f>'Cash Flow Statement'!J25</f>
        <v/>
      </c>
      <c r="J46" s="43">
        <f>'Cash Flow Statement'!K25</f>
        <v/>
      </c>
      <c r="K46" s="43">
        <f>'Cash Flow Statement'!L25</f>
        <v/>
      </c>
      <c r="L46" s="43">
        <f>'Cash Flow Statement'!M25</f>
        <v/>
      </c>
      <c r="M46" s="43">
        <f>'Cash Flow Statement'!N25</f>
        <v/>
      </c>
      <c r="N46" s="43">
        <f>'Cash Flow Statement'!O25</f>
        <v/>
      </c>
      <c r="O46" s="43">
        <f>'Cash Flow Statement'!P25</f>
        <v/>
      </c>
      <c r="P46" s="43">
        <f>'Cash Flow Statement'!Q25</f>
        <v/>
      </c>
      <c r="Q46" s="43">
        <f>'Cash Flow Statement'!R25</f>
        <v/>
      </c>
      <c r="R46" s="43">
        <f>'Cash Flow Statement'!S25</f>
        <v/>
      </c>
      <c r="S46" s="43">
        <f>'Cash Flow Statement'!T25</f>
        <v/>
      </c>
      <c r="T46" s="43">
        <f>'Cash Flow Statement'!U25</f>
        <v/>
      </c>
      <c r="U46" s="43">
        <f>'Cash Flow Statement'!V25</f>
        <v/>
      </c>
      <c r="V46" s="43">
        <f>'Cash Flow Statement'!W25</f>
        <v/>
      </c>
      <c r="W46" s="43">
        <f>'Cash Flow Statement'!X25</f>
        <v/>
      </c>
      <c r="X46" s="43">
        <f>'Cash Flow Statement'!Y25</f>
        <v/>
      </c>
      <c r="Y46" s="122">
        <f>'Cash Flow Statement'!Z25</f>
        <v/>
      </c>
      <c r="Z46" s="94" t="n"/>
      <c r="AA46" s="122">
        <f>'Cash Flow Statement'!AB25</f>
        <v/>
      </c>
      <c r="AB46" s="43">
        <f>'Cash Flow Statement'!AC25</f>
        <v/>
      </c>
      <c r="AC46" s="43">
        <f>'Cash Flow Statement'!AD25</f>
        <v/>
      </c>
      <c r="AD46" s="43">
        <f>'Cash Flow Statement'!AE25</f>
        <v/>
      </c>
      <c r="AE46" s="122">
        <f>'Cash Flow Statement'!AF25</f>
        <v/>
      </c>
      <c r="AF46" s="94" t="n"/>
      <c r="AG46" s="103">
        <f>SUM(R46:U46)</f>
        <v/>
      </c>
      <c r="AH46" s="103">
        <f>SUM(V46:Y46)</f>
        <v/>
      </c>
    </row>
    <row r="47" ht="12.75" customHeight="1">
      <c r="A47" s="30" t="n"/>
      <c r="B47" s="94" t="n"/>
      <c r="C47" s="105" t="inlineStr">
        <is>
          <t>Restructuring and related costs, net</t>
        </is>
      </c>
      <c r="D47" s="40">
        <f>D22</f>
        <v/>
      </c>
      <c r="E47" s="40">
        <f>E22</f>
        <v/>
      </c>
      <c r="F47" s="40">
        <f>F22</f>
        <v/>
      </c>
      <c r="G47" s="40">
        <f>G22</f>
        <v/>
      </c>
      <c r="H47" s="40">
        <f>H22</f>
        <v/>
      </c>
      <c r="I47" s="40">
        <f>I22</f>
        <v/>
      </c>
      <c r="J47" s="40">
        <f>J22</f>
        <v/>
      </c>
      <c r="K47" s="40">
        <f>K22</f>
        <v/>
      </c>
      <c r="L47" s="40">
        <f>L22</f>
        <v/>
      </c>
      <c r="M47" s="40">
        <f>M22</f>
        <v/>
      </c>
      <c r="N47" s="40">
        <f>N22</f>
        <v/>
      </c>
      <c r="O47" s="40">
        <f>O22</f>
        <v/>
      </c>
      <c r="P47" s="40">
        <f>P22</f>
        <v/>
      </c>
      <c r="Q47" s="40">
        <f>Q22</f>
        <v/>
      </c>
      <c r="R47" s="40">
        <f>R22</f>
        <v/>
      </c>
      <c r="S47" s="40">
        <f>S22</f>
        <v/>
      </c>
      <c r="T47" s="40">
        <f>T22</f>
        <v/>
      </c>
      <c r="U47" s="40">
        <f>U22</f>
        <v/>
      </c>
      <c r="V47" s="40">
        <f>V22</f>
        <v/>
      </c>
      <c r="W47" s="40">
        <f>W22</f>
        <v/>
      </c>
      <c r="X47" s="40">
        <f>X22</f>
        <v/>
      </c>
      <c r="Y47" s="103">
        <f>Y22</f>
        <v/>
      </c>
      <c r="Z47" s="94" t="n"/>
      <c r="AA47" s="103">
        <f>AA22</f>
        <v/>
      </c>
      <c r="AB47" s="40">
        <f>AB22</f>
        <v/>
      </c>
      <c r="AC47" s="40">
        <f>AC22</f>
        <v/>
      </c>
      <c r="AD47" s="40">
        <f>AD22</f>
        <v/>
      </c>
      <c r="AE47" s="103">
        <f>AE22</f>
        <v/>
      </c>
      <c r="AF47" s="94" t="n"/>
      <c r="AG47" s="103">
        <f>SUM(R47:U47)</f>
        <v/>
      </c>
      <c r="AH47" s="103">
        <f>SUM(V47:Y47)</f>
        <v/>
      </c>
    </row>
    <row r="48" ht="12.75" customHeight="1">
      <c r="A48" s="30" t="n"/>
      <c r="B48" s="94" t="n"/>
      <c r="C48" s="105" t="inlineStr">
        <is>
          <t>PARC donation</t>
        </is>
      </c>
      <c r="D48" s="40">
        <f>D25</f>
        <v/>
      </c>
      <c r="E48" s="40">
        <f>E25</f>
        <v/>
      </c>
      <c r="F48" s="40">
        <f>F25</f>
        <v/>
      </c>
      <c r="G48" s="40">
        <f>G25</f>
        <v/>
      </c>
      <c r="H48" s="40">
        <f>H25</f>
        <v/>
      </c>
      <c r="I48" s="40">
        <f>I25</f>
        <v/>
      </c>
      <c r="J48" s="40">
        <f>J25</f>
        <v/>
      </c>
      <c r="K48" s="40">
        <f>K25</f>
        <v/>
      </c>
      <c r="L48" s="40">
        <f>L25</f>
        <v/>
      </c>
      <c r="M48" s="40">
        <f>M25</f>
        <v/>
      </c>
      <c r="N48" s="40">
        <f>N25</f>
        <v/>
      </c>
      <c r="O48" s="40">
        <f>O25</f>
        <v/>
      </c>
      <c r="P48" s="40">
        <f>P25</f>
        <v/>
      </c>
      <c r="Q48" s="40">
        <f>Q25</f>
        <v/>
      </c>
      <c r="R48" s="40">
        <f>R25</f>
        <v/>
      </c>
      <c r="S48" s="40">
        <f>S25</f>
        <v/>
      </c>
      <c r="T48" s="40">
        <f>T25</f>
        <v/>
      </c>
      <c r="U48" s="40">
        <f>U25</f>
        <v/>
      </c>
      <c r="V48" s="40">
        <f>V25</f>
        <v/>
      </c>
      <c r="W48" s="40">
        <f>W25</f>
        <v/>
      </c>
      <c r="X48" s="40">
        <f>X25</f>
        <v/>
      </c>
      <c r="Y48" s="103">
        <f>Y25</f>
        <v/>
      </c>
      <c r="Z48" s="94" t="n"/>
      <c r="AA48" s="103">
        <f>AA25</f>
        <v/>
      </c>
      <c r="AB48" s="40">
        <f>AB25</f>
        <v/>
      </c>
      <c r="AC48" s="40">
        <f>AC25</f>
        <v/>
      </c>
      <c r="AD48" s="40">
        <f>AD25</f>
        <v/>
      </c>
      <c r="AE48" s="103">
        <f>AE25</f>
        <v/>
      </c>
      <c r="AF48" s="94" t="n"/>
      <c r="AG48" s="103">
        <f>SUM(R48:U48)</f>
        <v/>
      </c>
      <c r="AH48" s="103">
        <f>SUM(V48:Y48)</f>
        <v/>
      </c>
    </row>
    <row r="49" ht="12.75" customHeight="1">
      <c r="A49" s="30" t="n"/>
      <c r="B49" s="94" t="n"/>
      <c r="C49" s="105" t="inlineStr">
        <is>
          <t>Divestitures</t>
        </is>
      </c>
      <c r="D49" s="40">
        <f>D24</f>
        <v/>
      </c>
      <c r="E49" s="40">
        <f>E24</f>
        <v/>
      </c>
      <c r="F49" s="40">
        <f>F24</f>
        <v/>
      </c>
      <c r="G49" s="40">
        <f>G24</f>
        <v/>
      </c>
      <c r="H49" s="40">
        <f>H24</f>
        <v/>
      </c>
      <c r="I49" s="40">
        <f>I24</f>
        <v/>
      </c>
      <c r="J49" s="40">
        <f>J24</f>
        <v/>
      </c>
      <c r="K49" s="40">
        <f>K24</f>
        <v/>
      </c>
      <c r="L49" s="40">
        <f>L24</f>
        <v/>
      </c>
      <c r="M49" s="40">
        <f>M24</f>
        <v/>
      </c>
      <c r="N49" s="40">
        <f>N24</f>
        <v/>
      </c>
      <c r="O49" s="40">
        <f>O24</f>
        <v/>
      </c>
      <c r="P49" s="40">
        <f>P24</f>
        <v/>
      </c>
      <c r="Q49" s="40">
        <f>Q24</f>
        <v/>
      </c>
      <c r="R49" s="40">
        <f>R24</f>
        <v/>
      </c>
      <c r="S49" s="40">
        <f>S24</f>
        <v/>
      </c>
      <c r="T49" s="40">
        <f>T24</f>
        <v/>
      </c>
      <c r="U49" s="40">
        <f>U24</f>
        <v/>
      </c>
      <c r="V49" s="40">
        <f>V24</f>
        <v/>
      </c>
      <c r="W49" s="40">
        <f>W24</f>
        <v/>
      </c>
      <c r="X49" s="40">
        <f>X24</f>
        <v/>
      </c>
      <c r="Y49" s="103">
        <f>Y24</f>
        <v/>
      </c>
      <c r="Z49" s="94" t="n"/>
      <c r="AA49" s="103">
        <f>AA24</f>
        <v/>
      </c>
      <c r="AB49" s="103">
        <f>AB24</f>
        <v/>
      </c>
      <c r="AC49" s="103">
        <f>AC24</f>
        <v/>
      </c>
      <c r="AD49" s="40">
        <f>AD24</f>
        <v/>
      </c>
      <c r="AE49" s="103">
        <f>AE24</f>
        <v/>
      </c>
      <c r="AF49" s="94" t="n"/>
      <c r="AG49" s="103">
        <f>SUM(R49:U49)</f>
        <v/>
      </c>
      <c r="AH49" s="103">
        <f>SUM(V49:Y49)</f>
        <v/>
      </c>
    </row>
    <row r="50" ht="12.75" customHeight="1">
      <c r="A50" s="30" t="n"/>
      <c r="B50" s="94" t="n"/>
      <c r="C50" s="105" t="inlineStr">
        <is>
          <t>Transformation-related costs</t>
        </is>
      </c>
      <c r="D50" s="39" t="n">
        <v>0</v>
      </c>
      <c r="E50" s="39" t="n">
        <v>0</v>
      </c>
      <c r="F50" s="39" t="n">
        <v>0</v>
      </c>
      <c r="G50" s="39" t="n">
        <v>0</v>
      </c>
      <c r="H50" s="39" t="n">
        <v>0</v>
      </c>
      <c r="I50" s="39" t="n">
        <v>0</v>
      </c>
      <c r="J50" s="39" t="n">
        <v>0</v>
      </c>
      <c r="K50" s="39" t="n">
        <v>0</v>
      </c>
      <c r="L50" s="39" t="n">
        <v>0</v>
      </c>
      <c r="M50" s="39" t="n">
        <v>0</v>
      </c>
      <c r="N50" s="39" t="n">
        <v>0</v>
      </c>
      <c r="O50" s="39" t="n">
        <v>0</v>
      </c>
      <c r="P50" s="40" t="n">
        <v>0</v>
      </c>
      <c r="Q50" s="39" t="n">
        <v>0</v>
      </c>
      <c r="R50" s="39" t="n">
        <v>0</v>
      </c>
      <c r="S50" s="40">
        <f>AD50-SUM(P50:R50)</f>
        <v/>
      </c>
      <c r="T50" s="39" t="n">
        <v>6</v>
      </c>
      <c r="U50" s="39" t="n">
        <v>3</v>
      </c>
      <c r="V50" s="39" t="n">
        <v>3</v>
      </c>
      <c r="W50" s="40">
        <f>AE50-SUM(T50:V50)</f>
        <v/>
      </c>
      <c r="X50" s="39" t="n">
        <v>2</v>
      </c>
      <c r="Y50" s="121" t="n">
        <v>2</v>
      </c>
      <c r="Z50" s="94" t="n"/>
      <c r="AA50" s="121">
        <f>AA25</f>
        <v/>
      </c>
      <c r="AB50" s="121">
        <f>AB25</f>
        <v/>
      </c>
      <c r="AC50" s="121" t="n">
        <v>0</v>
      </c>
      <c r="AD50" s="39" t="n">
        <v>12</v>
      </c>
      <c r="AE50" s="121" t="n">
        <v>17</v>
      </c>
      <c r="AF50" s="94" t="n"/>
      <c r="AG50" s="103">
        <f>SUM(R50:U50)</f>
        <v/>
      </c>
      <c r="AH50" s="103">
        <f>SUM(V50:Y50)</f>
        <v/>
      </c>
    </row>
    <row r="51" ht="12.75" customHeight="1">
      <c r="A51" s="30" t="n"/>
      <c r="B51" s="94" t="n"/>
      <c r="C51" s="105" t="inlineStr">
        <is>
          <t>Transaction and related costs, net</t>
        </is>
      </c>
      <c r="D51" s="39" t="n">
        <v>0</v>
      </c>
      <c r="E51" s="39" t="n">
        <v>0</v>
      </c>
      <c r="F51" s="39" t="n">
        <v>0</v>
      </c>
      <c r="G51" s="39" t="n">
        <v>0</v>
      </c>
      <c r="H51" s="39" t="n">
        <v>0</v>
      </c>
      <c r="I51" s="39" t="n">
        <v>0</v>
      </c>
      <c r="J51" s="39" t="n">
        <v>0</v>
      </c>
      <c r="K51" s="39" t="n">
        <v>0</v>
      </c>
      <c r="L51" s="39" t="n">
        <v>0</v>
      </c>
      <c r="M51" s="39" t="n">
        <v>0</v>
      </c>
      <c r="N51" s="39" t="n">
        <v>0</v>
      </c>
      <c r="O51" s="39" t="n">
        <v>0</v>
      </c>
      <c r="P51" s="39" t="n">
        <v>0</v>
      </c>
      <c r="Q51" s="39" t="n">
        <v>0</v>
      </c>
      <c r="R51" s="39" t="n">
        <v>0</v>
      </c>
      <c r="S51" s="40">
        <f>AD51-SUM(P51:R51)</f>
        <v/>
      </c>
      <c r="T51" s="39" t="n">
        <v>3</v>
      </c>
      <c r="U51" s="39" t="n">
        <v>6</v>
      </c>
      <c r="V51" s="39" t="n">
        <v>23</v>
      </c>
      <c r="W51" s="40">
        <f>AE51-SUM(T51:V51)</f>
        <v/>
      </c>
      <c r="X51" s="39" t="n">
        <v>4</v>
      </c>
      <c r="Y51" s="121" t="n">
        <v>0</v>
      </c>
      <c r="Z51" s="94" t="n"/>
      <c r="AA51" s="121" t="n">
        <v>0</v>
      </c>
      <c r="AB51" s="121" t="n">
        <v>0</v>
      </c>
      <c r="AC51" s="121" t="n">
        <v>0</v>
      </c>
      <c r="AD51" s="39" t="n">
        <v>7</v>
      </c>
      <c r="AE51" s="121" t="n">
        <v>34</v>
      </c>
      <c r="AF51" s="94" t="n"/>
      <c r="AG51" s="103">
        <f>SUM(R51:U51)</f>
        <v/>
      </c>
      <c r="AH51" s="103">
        <f>SUM(V51:Y51)</f>
        <v/>
      </c>
    </row>
    <row r="52" ht="12.75" customHeight="1">
      <c r="A52" s="30" t="n"/>
      <c r="B52" s="94" t="n"/>
      <c r="C52" s="105" t="inlineStr">
        <is>
          <t>Inventory impact, exit of Production Print manufacturing</t>
        </is>
      </c>
      <c r="D52" s="39" t="n">
        <v>0</v>
      </c>
      <c r="E52" s="39" t="n">
        <v>0</v>
      </c>
      <c r="F52" s="39" t="n">
        <v>0</v>
      </c>
      <c r="G52" s="39" t="n">
        <v>0</v>
      </c>
      <c r="H52" s="39" t="n">
        <v>0</v>
      </c>
      <c r="I52" s="39" t="n">
        <v>0</v>
      </c>
      <c r="J52" s="39" t="n">
        <v>0</v>
      </c>
      <c r="K52" s="39" t="n">
        <v>0</v>
      </c>
      <c r="L52" s="39" t="n">
        <v>0</v>
      </c>
      <c r="M52" s="39" t="n">
        <v>0</v>
      </c>
      <c r="N52" s="39" t="n">
        <v>0</v>
      </c>
      <c r="O52" s="39" t="n">
        <v>0</v>
      </c>
      <c r="P52" s="39" t="n">
        <v>36</v>
      </c>
      <c r="Q52" s="39" t="n">
        <v>8</v>
      </c>
      <c r="R52" s="39" t="n">
        <v>0</v>
      </c>
      <c r="S52" s="40">
        <f>AD52-SUM(P52:R52)</f>
        <v/>
      </c>
      <c r="T52" s="39" t="n">
        <v>7</v>
      </c>
      <c r="U52" s="39" t="n">
        <v>10</v>
      </c>
      <c r="V52" s="39" t="n">
        <v>3</v>
      </c>
      <c r="W52" s="40">
        <f>AE52-SUM(T52:V52)</f>
        <v/>
      </c>
      <c r="X52" s="39" t="n">
        <v>0</v>
      </c>
      <c r="Y52" s="121" t="n">
        <v>0</v>
      </c>
      <c r="Z52" s="94" t="n"/>
      <c r="AA52" s="121" t="n">
        <v>0</v>
      </c>
      <c r="AB52" s="121" t="n">
        <v>0</v>
      </c>
      <c r="AC52" s="121" t="n">
        <v>0</v>
      </c>
      <c r="AD52" s="39" t="n">
        <v>51</v>
      </c>
      <c r="AE52" s="121" t="n">
        <v>24</v>
      </c>
      <c r="AF52" s="94" t="n"/>
      <c r="AG52" s="103">
        <f>SUM(R52:U52)</f>
        <v/>
      </c>
      <c r="AH52" s="103">
        <f>SUM(V52:Y52)</f>
        <v/>
      </c>
    </row>
    <row r="53" ht="12.75" customHeight="1">
      <c r="A53" s="30" t="n"/>
      <c r="B53" s="94" t="n"/>
      <c r="C53" s="105" t="inlineStr">
        <is>
          <t>Lexmark inventory purchase accounting adjustment</t>
        </is>
      </c>
      <c r="D53" s="39" t="n">
        <v>0</v>
      </c>
      <c r="E53" s="39" t="n">
        <v>0</v>
      </c>
      <c r="F53" s="39" t="n">
        <v>0</v>
      </c>
      <c r="G53" s="39" t="n">
        <v>0</v>
      </c>
      <c r="H53" s="39" t="n">
        <v>0</v>
      </c>
      <c r="I53" s="39" t="n">
        <v>0</v>
      </c>
      <c r="J53" s="39" t="n">
        <v>0</v>
      </c>
      <c r="K53" s="39" t="n">
        <v>0</v>
      </c>
      <c r="L53" s="39" t="n">
        <v>0</v>
      </c>
      <c r="M53" s="39" t="n">
        <v>0</v>
      </c>
      <c r="N53" s="39" t="n">
        <v>0</v>
      </c>
      <c r="O53" s="39" t="n">
        <v>0</v>
      </c>
      <c r="P53" s="39" t="n">
        <v>0</v>
      </c>
      <c r="Q53" s="39" t="n">
        <v>0</v>
      </c>
      <c r="R53" s="39" t="n">
        <v>0</v>
      </c>
      <c r="S53" s="39" t="n">
        <v>0</v>
      </c>
      <c r="T53" s="39" t="n">
        <v>0</v>
      </c>
      <c r="U53" s="39" t="n">
        <v>0</v>
      </c>
      <c r="V53" s="39" t="n">
        <v>102</v>
      </c>
      <c r="W53" s="40">
        <f>AE53-SUM(T53:V53)</f>
        <v/>
      </c>
      <c r="X53" s="39" t="n">
        <v>0</v>
      </c>
      <c r="Y53" s="121" t="n">
        <v>0</v>
      </c>
      <c r="Z53" s="94" t="n"/>
      <c r="AA53" s="121" t="n">
        <v>0</v>
      </c>
      <c r="AB53" s="121" t="n">
        <v>0</v>
      </c>
      <c r="AC53" s="121" t="n">
        <v>0</v>
      </c>
      <c r="AD53" s="40" t="n">
        <v>0</v>
      </c>
      <c r="AE53" s="121" t="n">
        <v>102</v>
      </c>
      <c r="AF53" s="94" t="n"/>
      <c r="AG53" s="103">
        <f>SUM(R53:U53)</f>
        <v/>
      </c>
      <c r="AH53" s="103">
        <f>SUM(V53:Y53)</f>
        <v/>
      </c>
    </row>
    <row r="54" ht="12.75" customHeight="1">
      <c r="A54" s="30" t="n"/>
      <c r="B54" s="94" t="n"/>
      <c r="C54" s="105" t="inlineStr">
        <is>
          <t>Lexmark settlement of pre-existing employment agreements</t>
        </is>
      </c>
      <c r="D54" s="40" t="n">
        <v>0</v>
      </c>
      <c r="E54" s="40" t="n">
        <v>0</v>
      </c>
      <c r="F54" s="40" t="n">
        <v>0</v>
      </c>
      <c r="G54" s="40" t="n">
        <v>0</v>
      </c>
      <c r="H54" s="40" t="n">
        <v>0</v>
      </c>
      <c r="I54" s="40" t="n">
        <v>0</v>
      </c>
      <c r="J54" s="40" t="n">
        <v>0</v>
      </c>
      <c r="K54" s="40" t="n">
        <v>0</v>
      </c>
      <c r="L54" s="40" t="n">
        <v>0</v>
      </c>
      <c r="M54" s="40" t="n">
        <v>0</v>
      </c>
      <c r="N54" s="40" t="n">
        <v>0</v>
      </c>
      <c r="O54" s="40" t="n">
        <v>0</v>
      </c>
      <c r="P54" s="40" t="n">
        <v>0</v>
      </c>
      <c r="Q54" s="40" t="n">
        <v>0</v>
      </c>
      <c r="R54" s="40" t="n">
        <v>0</v>
      </c>
      <c r="S54" s="40" t="n">
        <v>0</v>
      </c>
      <c r="T54" s="39" t="n">
        <v>0</v>
      </c>
      <c r="U54" s="39" t="n">
        <v>0</v>
      </c>
      <c r="V54" s="39" t="n">
        <v>24</v>
      </c>
      <c r="W54" s="40">
        <f>AE54-SUM(T54:V54)</f>
        <v/>
      </c>
      <c r="X54" s="39" t="n">
        <v>0</v>
      </c>
      <c r="Y54" s="121" t="n">
        <v>0</v>
      </c>
      <c r="Z54" s="94" t="n"/>
      <c r="AA54" s="126" t="n">
        <v>0</v>
      </c>
      <c r="AB54" s="126" t="n">
        <v>0</v>
      </c>
      <c r="AC54" s="126" t="n">
        <v>0</v>
      </c>
      <c r="AD54" s="40" t="n">
        <v>0</v>
      </c>
      <c r="AE54" s="121" t="n">
        <v>25</v>
      </c>
      <c r="AF54" s="94" t="n"/>
      <c r="AG54" s="103">
        <f>SUM(R54:U54)</f>
        <v/>
      </c>
      <c r="AH54" s="103">
        <f>SUM(V54:Y54)</f>
        <v/>
      </c>
    </row>
    <row r="55" ht="12.75" customHeight="1">
      <c r="A55" s="30" t="n"/>
      <c r="B55" s="94" t="n"/>
      <c r="C55" s="119" t="inlineStr">
        <is>
          <t>Adjusted EBITDA</t>
        </is>
      </c>
      <c r="D55" s="120">
        <f>D45+SUM(D46:D54)</f>
        <v/>
      </c>
      <c r="E55" s="120">
        <f>E45+SUM(E46:E54)</f>
        <v/>
      </c>
      <c r="F55" s="120">
        <f>F45+SUM(F46:F54)</f>
        <v/>
      </c>
      <c r="G55" s="120">
        <f>G45+SUM(G46:G54)</f>
        <v/>
      </c>
      <c r="H55" s="120">
        <f>H45+SUM(H46:H54)</f>
        <v/>
      </c>
      <c r="I55" s="120">
        <f>I45+SUM(I46:I54)</f>
        <v/>
      </c>
      <c r="J55" s="120">
        <f>J45+SUM(J46:J54)</f>
        <v/>
      </c>
      <c r="K55" s="120">
        <f>K45+SUM(K46:K54)</f>
        <v/>
      </c>
      <c r="L55" s="120">
        <f>L45+SUM(L46:L54)</f>
        <v/>
      </c>
      <c r="M55" s="120">
        <f>M45+SUM(M46:M54)</f>
        <v/>
      </c>
      <c r="N55" s="120">
        <f>N45+SUM(N46:N54)</f>
        <v/>
      </c>
      <c r="O55" s="120">
        <f>O45+SUM(O46:O54)</f>
        <v/>
      </c>
      <c r="P55" s="120">
        <f>P45+SUM(P46:P54)</f>
        <v/>
      </c>
      <c r="Q55" s="120">
        <f>Q45+SUM(Q46:Q54)</f>
        <v/>
      </c>
      <c r="R55" s="120">
        <f>R45+SUM(R46:R54)</f>
        <v/>
      </c>
      <c r="S55" s="120">
        <f>S45+SUM(S46:S54)</f>
        <v/>
      </c>
      <c r="T55" s="120">
        <f>T45+SUM(T46:T54)</f>
        <v/>
      </c>
      <c r="U55" s="120">
        <f>U45+SUM(U46:U54)</f>
        <v/>
      </c>
      <c r="V55" s="120">
        <f>V45+SUM(V46:V54)</f>
        <v/>
      </c>
      <c r="W55" s="120">
        <f>W45+SUM(W46:W54)</f>
        <v/>
      </c>
      <c r="X55" s="120">
        <f>X45+SUM(X46:X54)</f>
        <v/>
      </c>
      <c r="Y55" s="120">
        <f>Y45+SUM(Y46:Y54)</f>
        <v/>
      </c>
      <c r="Z55" s="94" t="n"/>
      <c r="AA55" s="107">
        <f>AA45+SUM(AA46:AA54)</f>
        <v/>
      </c>
      <c r="AB55" s="107">
        <f>AB45+SUM(AB46:AB54)</f>
        <v/>
      </c>
      <c r="AC55" s="107">
        <f>AC45+SUM(AC46:AC54)</f>
        <v/>
      </c>
      <c r="AD55" s="120">
        <f>AD45+SUM(AD46:AD54)</f>
        <v/>
      </c>
      <c r="AE55" s="120">
        <f>AE45+SUM(AE46:AE54)</f>
        <v/>
      </c>
      <c r="AF55" s="94" t="n"/>
      <c r="AG55" s="120">
        <f>AG45+SUM(AG46:AG54)</f>
        <v/>
      </c>
      <c r="AH55" s="120">
        <f>AH45+SUM(AH46:AH54)</f>
        <v/>
      </c>
    </row>
    <row r="56" ht="12.75" customHeight="1">
      <c r="A56" s="30" t="n"/>
      <c r="B56" s="94" t="n"/>
      <c r="C56" s="124" t="inlineStr">
        <is>
          <t>Less: IEEPA tariff refund benefit (in cost of sales)</t>
        </is>
      </c>
      <c r="D56" s="126" t="n">
        <v>0</v>
      </c>
      <c r="E56" s="126" t="n">
        <v>0</v>
      </c>
      <c r="F56" s="126" t="n">
        <v>0</v>
      </c>
      <c r="G56" s="126" t="n">
        <v>0</v>
      </c>
      <c r="H56" s="126" t="n">
        <v>0</v>
      </c>
      <c r="I56" s="126" t="n">
        <v>0</v>
      </c>
      <c r="J56" s="126" t="n">
        <v>0</v>
      </c>
      <c r="K56" s="126" t="n">
        <v>0</v>
      </c>
      <c r="L56" s="126" t="n">
        <v>0</v>
      </c>
      <c r="M56" s="126" t="n">
        <v>0</v>
      </c>
      <c r="N56" s="126" t="n">
        <v>0</v>
      </c>
      <c r="O56" s="126" t="n">
        <v>0</v>
      </c>
      <c r="P56" s="126" t="n">
        <v>0</v>
      </c>
      <c r="Q56" s="126" t="n">
        <v>0</v>
      </c>
      <c r="R56" s="126" t="n">
        <v>0</v>
      </c>
      <c r="S56" s="126" t="n">
        <v>0</v>
      </c>
      <c r="T56" s="126" t="n">
        <v>0</v>
      </c>
      <c r="U56" s="126" t="n">
        <v>0</v>
      </c>
      <c r="V56" s="126" t="n">
        <v>0</v>
      </c>
      <c r="W56" s="126" t="n">
        <v>0</v>
      </c>
      <c r="X56" s="126" t="n">
        <v>0</v>
      </c>
      <c r="Y56" s="126" t="n">
        <v>-105</v>
      </c>
      <c r="Z56" s="127" t="n"/>
      <c r="AA56" s="126" t="n">
        <v>0</v>
      </c>
      <c r="AB56" s="126" t="n">
        <v>0</v>
      </c>
      <c r="AC56" s="126" t="n">
        <v>0</v>
      </c>
      <c r="AD56" s="126" t="n">
        <v>0</v>
      </c>
      <c r="AE56" s="126" t="n">
        <v>0</v>
      </c>
      <c r="AF56" s="127" t="n"/>
      <c r="AG56" s="125">
        <f>SUM(R56:U56)</f>
        <v/>
      </c>
      <c r="AH56" s="125">
        <f>SUM(V56:Y56)</f>
        <v/>
      </c>
    </row>
    <row r="57" ht="12.75" customHeight="1" thickBot="1">
      <c r="A57" s="30" t="n"/>
      <c r="B57" s="94" t="inlineStr">
        <is>
          <t>x</t>
        </is>
      </c>
      <c r="C57" s="128" t="inlineStr">
        <is>
          <t>Adjusted EBITDA excl. IEEPA tariff benefit</t>
        </is>
      </c>
      <c r="D57" s="129">
        <f>D55+D56</f>
        <v/>
      </c>
      <c r="E57" s="129">
        <f>E55+E56</f>
        <v/>
      </c>
      <c r="F57" s="129">
        <f>F55+F56</f>
        <v/>
      </c>
      <c r="G57" s="129">
        <f>G55+G56</f>
        <v/>
      </c>
      <c r="H57" s="129">
        <f>H55+H56</f>
        <v/>
      </c>
      <c r="I57" s="129">
        <f>I55+I56</f>
        <v/>
      </c>
      <c r="J57" s="129">
        <f>J55+J56</f>
        <v/>
      </c>
      <c r="K57" s="129">
        <f>K55+K56</f>
        <v/>
      </c>
      <c r="L57" s="129">
        <f>L55+L56</f>
        <v/>
      </c>
      <c r="M57" s="129">
        <f>M55+M56</f>
        <v/>
      </c>
      <c r="N57" s="129">
        <f>N55+N56</f>
        <v/>
      </c>
      <c r="O57" s="129">
        <f>O55+O56</f>
        <v/>
      </c>
      <c r="P57" s="129">
        <f>P55+P56</f>
        <v/>
      </c>
      <c r="Q57" s="129">
        <f>Q55+Q56</f>
        <v/>
      </c>
      <c r="R57" s="129">
        <f>R55+R56</f>
        <v/>
      </c>
      <c r="S57" s="129">
        <f>S55+S56</f>
        <v/>
      </c>
      <c r="T57" s="129">
        <f>T55+T56</f>
        <v/>
      </c>
      <c r="U57" s="129">
        <f>U55+U56</f>
        <v/>
      </c>
      <c r="V57" s="129">
        <f>V55+V56</f>
        <v/>
      </c>
      <c r="W57" s="129">
        <f>W55+W56</f>
        <v/>
      </c>
      <c r="X57" s="129">
        <f>X55+X56</f>
        <v/>
      </c>
      <c r="Y57" s="129">
        <f>Y55+Y56</f>
        <v/>
      </c>
      <c r="Z57" s="94" t="n"/>
      <c r="AA57" s="129">
        <f>AA55+AA56</f>
        <v/>
      </c>
      <c r="AB57" s="129">
        <f>AB55+AB56</f>
        <v/>
      </c>
      <c r="AC57" s="129">
        <f>AC55+AC56</f>
        <v/>
      </c>
      <c r="AD57" s="129">
        <f>AD55+AD56</f>
        <v/>
      </c>
      <c r="AE57" s="129">
        <f>AE55+AE56</f>
        <v/>
      </c>
      <c r="AF57" s="94" t="n"/>
      <c r="AG57" s="129">
        <f>AG55+AG56</f>
        <v/>
      </c>
      <c r="AH57" s="129">
        <f>AH55+AH56</f>
        <v/>
      </c>
    </row>
    <row r="58" ht="12.75" customHeight="1">
      <c r="A58" s="30" t="n"/>
      <c r="B58" s="94" t="n"/>
      <c r="C58" s="94"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94" t="n"/>
      <c r="Z58" s="94" t="n"/>
      <c r="AA58" s="94" t="n"/>
      <c r="AB58" s="30" t="n"/>
      <c r="AC58" s="30" t="n"/>
      <c r="AD58" s="30" t="n"/>
      <c r="AE58" s="94" t="n"/>
      <c r="AF58" s="94" t="n"/>
      <c r="AG58" s="94" t="n"/>
      <c r="AH58" s="94" t="n"/>
    </row>
    <row r="59" ht="12.75" customHeight="1">
      <c r="A59" s="30" t="n"/>
      <c r="B59" s="94" t="n"/>
      <c r="C59" s="110" t="inlineStr">
        <is>
          <t>Memo:</t>
        </is>
      </c>
      <c r="D59" s="111" t="n"/>
      <c r="E59" s="111" t="n"/>
      <c r="F59" s="111" t="n"/>
      <c r="G59" s="111" t="n"/>
      <c r="H59" s="111" t="n"/>
      <c r="I59" s="111" t="n"/>
      <c r="J59" s="111" t="n"/>
      <c r="K59" s="111" t="n"/>
      <c r="L59" s="111" t="n"/>
      <c r="M59" s="111" t="n"/>
      <c r="N59" s="111" t="n"/>
      <c r="O59" s="111" t="n"/>
      <c r="P59" s="111" t="n"/>
      <c r="Q59" s="111" t="n"/>
      <c r="R59" s="111" t="n"/>
      <c r="S59" s="111" t="n"/>
      <c r="T59" s="111" t="n"/>
      <c r="U59" s="111" t="n"/>
      <c r="V59" s="111" t="n"/>
      <c r="W59" s="111" t="n"/>
      <c r="X59" s="111" t="n"/>
      <c r="Y59" s="111" t="n"/>
      <c r="Z59" s="111" t="n"/>
      <c r="AA59" s="111" t="n"/>
      <c r="AB59" s="111" t="n"/>
      <c r="AC59" s="111" t="n"/>
      <c r="AD59" s="111" t="n"/>
      <c r="AE59" s="111" t="n"/>
      <c r="AF59" s="111" t="n"/>
      <c r="AG59" s="111" t="n"/>
      <c r="AH59" s="111" t="n"/>
    </row>
    <row r="60" ht="12.75" customHeight="1">
      <c r="A60" s="30" t="n"/>
      <c r="B60" s="94" t="n"/>
      <c r="C60" s="112" t="inlineStr">
        <is>
          <t>Total revenue growth (YoY)</t>
        </is>
      </c>
      <c r="D60" s="136" t="inlineStr">
        <is>
          <t>n.a.</t>
        </is>
      </c>
      <c r="E60" s="136" t="inlineStr">
        <is>
          <t>n.a.</t>
        </is>
      </c>
      <c r="F60" s="136" t="inlineStr">
        <is>
          <t>n.a.</t>
        </is>
      </c>
      <c r="G60" s="136" t="inlineStr">
        <is>
          <t>n.a.</t>
        </is>
      </c>
      <c r="H60" s="113">
        <f>H12/D12-1</f>
        <v/>
      </c>
      <c r="I60" s="113">
        <f>I12/E12-1</f>
        <v/>
      </c>
      <c r="J60" s="113">
        <f>J12/F12-1</f>
        <v/>
      </c>
      <c r="K60" s="113">
        <f>K12/G12-1</f>
        <v/>
      </c>
      <c r="L60" s="113">
        <f>L12/H12-1</f>
        <v/>
      </c>
      <c r="M60" s="113">
        <f>M12/I12-1</f>
        <v/>
      </c>
      <c r="N60" s="113">
        <f>N12/J12-1</f>
        <v/>
      </c>
      <c r="O60" s="113">
        <f>O12/K12-1</f>
        <v/>
      </c>
      <c r="P60" s="113">
        <f>P12/L12-1</f>
        <v/>
      </c>
      <c r="Q60" s="113">
        <f>Q12/M12-1</f>
        <v/>
      </c>
      <c r="R60" s="113">
        <f>R12/N12-1</f>
        <v/>
      </c>
      <c r="S60" s="113">
        <f>S12/O12-1</f>
        <v/>
      </c>
      <c r="T60" s="113">
        <f>T12/P12-1</f>
        <v/>
      </c>
      <c r="U60" s="113">
        <f>U12/Q12-1</f>
        <v/>
      </c>
      <c r="V60" s="113">
        <f>V12/R12-1</f>
        <v/>
      </c>
      <c r="W60" s="113">
        <f>W12/S12-1</f>
        <v/>
      </c>
      <c r="X60" s="113">
        <f>X12/T12-1</f>
        <v/>
      </c>
      <c r="Y60" s="114">
        <f>Y12/U12-1</f>
        <v/>
      </c>
      <c r="Z60" s="123" t="n"/>
      <c r="AA60" s="114" t="n"/>
      <c r="AB60" s="113">
        <f>AB12/AA12-1</f>
        <v/>
      </c>
      <c r="AC60" s="113">
        <f>AC12/AB12-1</f>
        <v/>
      </c>
      <c r="AD60" s="113">
        <f>AD12/AC12-1</f>
        <v/>
      </c>
      <c r="AE60" s="114">
        <f>AE12/AD12-1</f>
        <v/>
      </c>
      <c r="AF60" s="123" t="n"/>
      <c r="AG60" s="114">
        <f>SUM(R12:U12)/SUM(N12:Q12)-1</f>
        <v/>
      </c>
      <c r="AH60" s="114">
        <f>AH12/AG12-1</f>
        <v/>
      </c>
    </row>
    <row r="61" ht="12.75" customHeight="1">
      <c r="A61" s="30" t="n"/>
      <c r="B61" s="94" t="n"/>
      <c r="C61" s="112" t="inlineStr">
        <is>
          <t>Gross margin %</t>
        </is>
      </c>
      <c r="D61" s="113">
        <f>D18/D12</f>
        <v/>
      </c>
      <c r="E61" s="113">
        <f>E18/E12</f>
        <v/>
      </c>
      <c r="F61" s="113">
        <f>F18/F12</f>
        <v/>
      </c>
      <c r="G61" s="113">
        <f>G18/G12</f>
        <v/>
      </c>
      <c r="H61" s="113">
        <f>H18/H12</f>
        <v/>
      </c>
      <c r="I61" s="113">
        <f>I18/I12</f>
        <v/>
      </c>
      <c r="J61" s="113">
        <f>J18/J12</f>
        <v/>
      </c>
      <c r="K61" s="113">
        <f>K18/K12</f>
        <v/>
      </c>
      <c r="L61" s="113">
        <f>L18/L12</f>
        <v/>
      </c>
      <c r="M61" s="113">
        <f>M18/M12</f>
        <v/>
      </c>
      <c r="N61" s="113">
        <f>N18/N12</f>
        <v/>
      </c>
      <c r="O61" s="113">
        <f>O18/O12</f>
        <v/>
      </c>
      <c r="P61" s="113">
        <f>P18/P12</f>
        <v/>
      </c>
      <c r="Q61" s="113">
        <f>Q18/Q12</f>
        <v/>
      </c>
      <c r="R61" s="113">
        <f>R18/R12</f>
        <v/>
      </c>
      <c r="S61" s="113">
        <f>S18/S12</f>
        <v/>
      </c>
      <c r="T61" s="113">
        <f>T18/T12</f>
        <v/>
      </c>
      <c r="U61" s="113">
        <f>U18/U12</f>
        <v/>
      </c>
      <c r="V61" s="113">
        <f>V18/V12</f>
        <v/>
      </c>
      <c r="W61" s="113">
        <f>W18/W12</f>
        <v/>
      </c>
      <c r="X61" s="113">
        <f>X18/X12</f>
        <v/>
      </c>
      <c r="Y61" s="114">
        <f>Y18/Y12</f>
        <v/>
      </c>
      <c r="Z61" s="123" t="n"/>
      <c r="AA61" s="114">
        <f>AA18/AA12</f>
        <v/>
      </c>
      <c r="AB61" s="113">
        <f>AB18/AB12</f>
        <v/>
      </c>
      <c r="AC61" s="113">
        <f>AC18/AC12</f>
        <v/>
      </c>
      <c r="AD61" s="113">
        <f>AD18/AD12</f>
        <v/>
      </c>
      <c r="AE61" s="114">
        <f>AE18/AE12</f>
        <v/>
      </c>
      <c r="AF61" s="123" t="n"/>
      <c r="AG61" s="114">
        <f>AG18/AG12</f>
        <v/>
      </c>
      <c r="AH61" s="114">
        <f>AH18/AH12</f>
        <v/>
      </c>
    </row>
    <row r="62" ht="12.75" customHeight="1">
      <c r="C62" s="112" t="inlineStr">
        <is>
          <t>EBITDA margin %</t>
        </is>
      </c>
      <c r="D62" s="113">
        <f>D45/D12</f>
        <v/>
      </c>
      <c r="E62" s="113">
        <f>E45/E12</f>
        <v/>
      </c>
      <c r="F62" s="113">
        <f>F45/F12</f>
        <v/>
      </c>
      <c r="G62" s="113">
        <f>G45/G12</f>
        <v/>
      </c>
      <c r="H62" s="113">
        <f>H45/H12</f>
        <v/>
      </c>
      <c r="I62" s="113">
        <f>I45/I12</f>
        <v/>
      </c>
      <c r="J62" s="113">
        <f>J45/J12</f>
        <v/>
      </c>
      <c r="K62" s="113">
        <f>K45/K12</f>
        <v/>
      </c>
      <c r="L62" s="113">
        <f>L45/L12</f>
        <v/>
      </c>
      <c r="M62" s="113">
        <f>M45/M12</f>
        <v/>
      </c>
      <c r="N62" s="113">
        <f>N45/N12</f>
        <v/>
      </c>
      <c r="O62" s="113">
        <f>O45/O12</f>
        <v/>
      </c>
      <c r="P62" s="113">
        <f>P45/P12</f>
        <v/>
      </c>
      <c r="Q62" s="113">
        <f>Q45/Q12</f>
        <v/>
      </c>
      <c r="R62" s="113">
        <f>R45/R12</f>
        <v/>
      </c>
      <c r="S62" s="113">
        <f>S45/S12</f>
        <v/>
      </c>
      <c r="T62" s="113">
        <f>T45/T12</f>
        <v/>
      </c>
      <c r="U62" s="113">
        <f>U45/U12</f>
        <v/>
      </c>
      <c r="V62" s="113">
        <f>V45/V12</f>
        <v/>
      </c>
      <c r="W62" s="113">
        <f>W45/W12</f>
        <v/>
      </c>
      <c r="X62" s="113">
        <f>X45/X12</f>
        <v/>
      </c>
      <c r="Y62" s="114">
        <f>Y45/Y12</f>
        <v/>
      </c>
      <c r="Z62" s="123" t="n"/>
      <c r="AA62" s="114">
        <f>AA45/AA12</f>
        <v/>
      </c>
      <c r="AB62" s="113">
        <f>AB45/AB12</f>
        <v/>
      </c>
      <c r="AC62" s="113">
        <f>AC45/AC12</f>
        <v/>
      </c>
      <c r="AD62" s="113">
        <f>AD45/AD12</f>
        <v/>
      </c>
      <c r="AE62" s="114">
        <f>AE45/AE12</f>
        <v/>
      </c>
      <c r="AF62" s="123" t="n"/>
      <c r="AG62" s="114">
        <f>AG45/AG12</f>
        <v/>
      </c>
      <c r="AH62" s="114">
        <f>AH45/AH12</f>
        <v/>
      </c>
    </row>
    <row r="63" ht="12.75" customHeight="1">
      <c r="C63" s="112" t="inlineStr">
        <is>
          <t>Adjusted EBITDA margin %</t>
        </is>
      </c>
      <c r="D63" s="113">
        <f>D55/D12</f>
        <v/>
      </c>
      <c r="E63" s="113">
        <f>E55/E12</f>
        <v/>
      </c>
      <c r="F63" s="113">
        <f>F55/F12</f>
        <v/>
      </c>
      <c r="G63" s="113">
        <f>G55/G12</f>
        <v/>
      </c>
      <c r="H63" s="113">
        <f>H55/H12</f>
        <v/>
      </c>
      <c r="I63" s="113">
        <f>I55/I12</f>
        <v/>
      </c>
      <c r="J63" s="113">
        <f>J55/J12</f>
        <v/>
      </c>
      <c r="K63" s="113">
        <f>K55/K12</f>
        <v/>
      </c>
      <c r="L63" s="113">
        <f>L55/L12</f>
        <v/>
      </c>
      <c r="M63" s="113">
        <f>M55/M12</f>
        <v/>
      </c>
      <c r="N63" s="113">
        <f>N55/N12</f>
        <v/>
      </c>
      <c r="O63" s="113">
        <f>O55/O12</f>
        <v/>
      </c>
      <c r="P63" s="113">
        <f>P55/P12</f>
        <v/>
      </c>
      <c r="Q63" s="113">
        <f>Q55/Q12</f>
        <v/>
      </c>
      <c r="R63" s="113">
        <f>R55/R12</f>
        <v/>
      </c>
      <c r="S63" s="113">
        <f>S55/S12</f>
        <v/>
      </c>
      <c r="T63" s="113">
        <f>T55/T12</f>
        <v/>
      </c>
      <c r="U63" s="113">
        <f>U55/U12</f>
        <v/>
      </c>
      <c r="V63" s="113">
        <f>V55/V12</f>
        <v/>
      </c>
      <c r="W63" s="113">
        <f>W55/W12</f>
        <v/>
      </c>
      <c r="X63" s="113">
        <f>X55/X12</f>
        <v/>
      </c>
      <c r="Y63" s="114">
        <f>Y55/Y12</f>
        <v/>
      </c>
      <c r="Z63" s="123" t="n"/>
      <c r="AA63" s="114">
        <f>AA55/AA12</f>
        <v/>
      </c>
      <c r="AB63" s="113">
        <f>AB55/AB12</f>
        <v/>
      </c>
      <c r="AC63" s="113">
        <f>AC55/AC12</f>
        <v/>
      </c>
      <c r="AD63" s="113">
        <f>AD55/AD12</f>
        <v/>
      </c>
      <c r="AE63" s="114">
        <f>AE55/AE12</f>
        <v/>
      </c>
      <c r="AF63" s="123" t="n"/>
      <c r="AG63" s="114">
        <f>AG55/AG12</f>
        <v/>
      </c>
      <c r="AH63" s="114">
        <f>AH55/AH12</f>
        <v/>
      </c>
    </row>
    <row r="64" ht="12.75" customHeight="1">
      <c r="A64" s="30" t="inlineStr">
        <is>
          <t>x</t>
        </is>
      </c>
      <c r="B64" s="94" t="inlineStr">
        <is>
          <t>x</t>
        </is>
      </c>
      <c r="C64" s="115" t="inlineStr">
        <is>
          <t>Adjusted EBITDA excl. IEEPA margin %</t>
        </is>
      </c>
      <c r="D64" s="116">
        <f>D57/D12</f>
        <v/>
      </c>
      <c r="E64" s="116">
        <f>E57/E12</f>
        <v/>
      </c>
      <c r="F64" s="116">
        <f>F57/F12</f>
        <v/>
      </c>
      <c r="G64" s="116">
        <f>G57/G12</f>
        <v/>
      </c>
      <c r="H64" s="116">
        <f>H57/H12</f>
        <v/>
      </c>
      <c r="I64" s="116">
        <f>I57/I12</f>
        <v/>
      </c>
      <c r="J64" s="116">
        <f>J57/J12</f>
        <v/>
      </c>
      <c r="K64" s="116">
        <f>K57/K12</f>
        <v/>
      </c>
      <c r="L64" s="116">
        <f>L57/L12</f>
        <v/>
      </c>
      <c r="M64" s="116">
        <f>M57/M12</f>
        <v/>
      </c>
      <c r="N64" s="116">
        <f>N57/N12</f>
        <v/>
      </c>
      <c r="O64" s="116">
        <f>O57/O12</f>
        <v/>
      </c>
      <c r="P64" s="116">
        <f>P57/P12</f>
        <v/>
      </c>
      <c r="Q64" s="116">
        <f>Q57/Q12</f>
        <v/>
      </c>
      <c r="R64" s="116">
        <f>R57/R12</f>
        <v/>
      </c>
      <c r="S64" s="116">
        <f>S57/S12</f>
        <v/>
      </c>
      <c r="T64" s="116">
        <f>T57/T12</f>
        <v/>
      </c>
      <c r="U64" s="116">
        <f>U57/U12</f>
        <v/>
      </c>
      <c r="V64" s="116">
        <f>V57/V12</f>
        <v/>
      </c>
      <c r="W64" s="116">
        <f>W57/W12</f>
        <v/>
      </c>
      <c r="X64" s="116">
        <f>X57/X12</f>
        <v/>
      </c>
      <c r="Y64" s="116">
        <f>Y57/Y12</f>
        <v/>
      </c>
      <c r="Z64" s="123" t="n"/>
      <c r="AA64" s="116">
        <f>AA57/AA12</f>
        <v/>
      </c>
      <c r="AB64" s="116">
        <f>AB57/AB12</f>
        <v/>
      </c>
      <c r="AC64" s="116">
        <f>AC57/AC12</f>
        <v/>
      </c>
      <c r="AD64" s="116">
        <f>AD57/AD12</f>
        <v/>
      </c>
      <c r="AE64" s="116">
        <f>AE57/AE12</f>
        <v/>
      </c>
      <c r="AF64" s="123" t="n"/>
      <c r="AG64" s="116">
        <f>AG57/AG12</f>
        <v/>
      </c>
      <c r="AH64" s="116">
        <f>AH57/AH12</f>
        <v/>
      </c>
    </row>
    <row r="65">
      <c r="A65" s="30" t="inlineStr">
        <is>
          <t>End</t>
        </is>
      </c>
      <c r="B65" s="94" t="n"/>
    </row>
  </sheetData>
  <hyperlinks>
    <hyperlink ref="B1" location="'Cover Page'!A1" display="'Cover Page'!A1"/>
  </hyperlinks>
  <pageMargins left="0.75" right="0.75" top="1" bottom="1" header="0.511811023622047" footer="0.511811023622047"/>
  <pageSetup orientation="landscape" scale="33" fitToHeight="0" horizontalDpi="300" verticalDpi="300"/>
</worksheet>
</file>

<file path=xl/worksheets/sheet4.xml><?xml version="1.0" encoding="utf-8"?>
<worksheet xmlns="http://schemas.openxmlformats.org/spreadsheetml/2006/main">
  <sheetPr>
    <tabColor theme="3"/>
    <outlinePr summaryBelow="1" summaryRight="1"/>
    <pageSetUpPr fitToPage="1"/>
  </sheetPr>
  <dimension ref="A1:AJ81"/>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2" customWidth="1" min="3" max="3"/>
    <col width="1.54296875" customWidth="1" min="4" max="4"/>
    <col width="12.1796875" customWidth="1" min="5" max="5"/>
    <col width="11" customWidth="1" min="6" max="26"/>
    <col width="1.54296875" customWidth="1" min="27" max="27"/>
    <col width="12.1796875" customWidth="1" min="28" max="28"/>
    <col width="11" customWidth="1" min="29" max="32"/>
    <col width="1.54296875" customWidth="1" min="33" max="33"/>
    <col width="12.54296875" customWidth="1" min="34" max="35"/>
    <col width="1.7265625" customWidth="1" min="36" max="36"/>
  </cols>
  <sheetData>
    <row r="1" ht="12.75" customHeight="1">
      <c r="A1" s="137">
        <f>C3</f>
        <v/>
      </c>
      <c r="B1" s="138">
        <f>'Cover Page'!A1</f>
        <v/>
      </c>
    </row>
    <row r="2" ht="12.75" customHeight="1"/>
    <row r="3" ht="14.25" customHeight="1">
      <c r="A3" s="30" t="n"/>
      <c r="B3" s="30" t="n"/>
      <c r="C3" s="31" t="inlineStr">
        <is>
          <t>Balance Sheet</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32" t="n"/>
      <c r="AI3" s="93" t="inlineStr">
        <is>
          <t>Xerox Holdings Corporation</t>
        </is>
      </c>
    </row>
    <row r="4" ht="12.75" customHeight="1">
      <c r="A4" s="30" t="n"/>
      <c r="B4" s="30" t="n"/>
      <c r="C4" s="139" t="inlineStr">
        <is>
          <t>All values in $ millions (USD)</t>
        </is>
      </c>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c r="AA4" s="33" t="n"/>
      <c r="AB4" s="33" t="n"/>
      <c r="AC4" s="33" t="n"/>
      <c r="AD4" s="33" t="n"/>
      <c r="AE4" s="33" t="n"/>
      <c r="AF4" s="34" t="n"/>
      <c r="AG4" s="33" t="n"/>
      <c r="AH4" s="33" t="n"/>
      <c r="AI4" s="33" t="n"/>
    </row>
    <row r="5" ht="12.75" customHeight="1">
      <c r="A5" s="162" t="n"/>
      <c r="B5" s="141" t="n"/>
      <c r="C5" s="152" t="n"/>
      <c r="D5" s="163" t="n"/>
      <c r="E5" s="153" t="n"/>
      <c r="F5" s="153" t="n"/>
      <c r="G5" s="153" t="n"/>
      <c r="H5" s="153" t="n"/>
      <c r="I5" s="153" t="n"/>
      <c r="J5" s="153" t="n"/>
      <c r="K5" s="153" t="n"/>
      <c r="L5" s="153" t="n"/>
      <c r="M5" s="153" t="n"/>
      <c r="N5" s="153" t="n"/>
      <c r="O5" s="153" t="n"/>
      <c r="P5" s="153" t="n"/>
      <c r="Q5" s="153" t="n"/>
      <c r="R5" s="153" t="n"/>
      <c r="S5" s="153" t="n"/>
      <c r="T5" s="153" t="n"/>
      <c r="U5" s="153" t="n"/>
      <c r="V5" s="153" t="n"/>
      <c r="W5" s="153" t="n"/>
      <c r="X5" s="153" t="n"/>
      <c r="Y5" s="153" t="n"/>
      <c r="Z5" s="153" t="n"/>
      <c r="AA5" s="163" t="n"/>
      <c r="AB5" s="153" t="n"/>
      <c r="AC5" s="153" t="n"/>
      <c r="AD5" s="153" t="n"/>
      <c r="AE5" s="153" t="n"/>
      <c r="AF5" s="153" t="n"/>
      <c r="AG5" s="163" t="n"/>
      <c r="AH5" s="153" t="n"/>
      <c r="AI5" s="153" t="n"/>
      <c r="AJ5" s="141" t="n"/>
    </row>
    <row r="6" hidden="1" ht="15" customHeight="1">
      <c r="A6" s="141" t="n"/>
      <c r="B6" s="141" t="n"/>
      <c r="C6" s="164" t="n"/>
      <c r="D6" s="164" t="n"/>
      <c r="E6" s="165" t="n">
        <v>1</v>
      </c>
      <c r="F6" s="165" t="n">
        <v>2</v>
      </c>
      <c r="G6" s="165" t="n">
        <v>3</v>
      </c>
      <c r="H6" s="165" t="n">
        <v>4</v>
      </c>
      <c r="I6" s="165" t="n">
        <v>1</v>
      </c>
      <c r="J6" s="165" t="n">
        <v>2</v>
      </c>
      <c r="K6" s="165" t="n">
        <v>3</v>
      </c>
      <c r="L6" s="165" t="n">
        <v>4</v>
      </c>
      <c r="M6" s="165" t="n">
        <v>1</v>
      </c>
      <c r="N6" s="165" t="n">
        <v>2</v>
      </c>
      <c r="O6" s="165" t="n">
        <v>3</v>
      </c>
      <c r="P6" s="165" t="n">
        <v>4</v>
      </c>
      <c r="Q6" s="165" t="n">
        <v>1</v>
      </c>
      <c r="R6" s="165" t="n">
        <v>2</v>
      </c>
      <c r="S6" s="165" t="n">
        <v>3</v>
      </c>
      <c r="T6" s="165" t="n">
        <v>4</v>
      </c>
      <c r="U6" s="165" t="n">
        <v>1</v>
      </c>
      <c r="V6" s="165" t="n">
        <v>2</v>
      </c>
      <c r="W6" s="165" t="n">
        <v>3</v>
      </c>
      <c r="X6" s="165" t="n">
        <v>4</v>
      </c>
      <c r="Y6" s="165" t="n">
        <v>1</v>
      </c>
      <c r="Z6" s="165" t="n">
        <v>2</v>
      </c>
      <c r="AA6" s="164" t="n"/>
      <c r="AB6" s="164" t="n"/>
      <c r="AC6" s="164" t="n"/>
      <c r="AD6" s="164" t="n"/>
      <c r="AE6" s="164" t="n"/>
      <c r="AF6" s="164" t="n"/>
      <c r="AG6" s="164" t="n"/>
      <c r="AH6" s="164" t="n"/>
      <c r="AI6" s="164" t="n"/>
      <c r="AJ6" s="141" t="n"/>
    </row>
    <row r="7" hidden="1" ht="15" customHeight="1">
      <c r="A7" s="141" t="n"/>
      <c r="B7" s="141" t="n"/>
      <c r="C7" s="164" t="n"/>
      <c r="D7" s="164" t="n"/>
      <c r="E7" s="165" t="n">
        <v>2021</v>
      </c>
      <c r="F7" s="165" t="n">
        <v>2021</v>
      </c>
      <c r="G7" s="165" t="n">
        <v>2021</v>
      </c>
      <c r="H7" s="165" t="n">
        <v>2021</v>
      </c>
      <c r="I7" s="165" t="n">
        <v>2022</v>
      </c>
      <c r="J7" s="165" t="n">
        <v>2022</v>
      </c>
      <c r="K7" s="165" t="n">
        <v>2022</v>
      </c>
      <c r="L7" s="165" t="n">
        <v>2022</v>
      </c>
      <c r="M7" s="165" t="n">
        <v>2023</v>
      </c>
      <c r="N7" s="165" t="n">
        <v>2023</v>
      </c>
      <c r="O7" s="165" t="n">
        <v>2023</v>
      </c>
      <c r="P7" s="165" t="n">
        <v>2023</v>
      </c>
      <c r="Q7" s="165" t="n">
        <v>2024</v>
      </c>
      <c r="R7" s="165" t="n">
        <v>2024</v>
      </c>
      <c r="S7" s="165" t="n">
        <v>2024</v>
      </c>
      <c r="T7" s="165" t="n">
        <v>2024</v>
      </c>
      <c r="U7" s="165" t="n">
        <v>2025</v>
      </c>
      <c r="V7" s="165" t="n">
        <v>2025</v>
      </c>
      <c r="W7" s="165" t="n">
        <v>2025</v>
      </c>
      <c r="X7" s="165" t="n">
        <v>2025</v>
      </c>
      <c r="Y7" s="165" t="n">
        <v>2026</v>
      </c>
      <c r="Z7" s="165" t="n">
        <v>2026</v>
      </c>
      <c r="AA7" s="164" t="n"/>
      <c r="AB7" s="165" t="n">
        <v>2021</v>
      </c>
      <c r="AC7" s="165" t="n">
        <v>2022</v>
      </c>
      <c r="AD7" s="165" t="n">
        <v>2023</v>
      </c>
      <c r="AE7" s="165" t="n">
        <v>2024</v>
      </c>
      <c r="AF7" s="165" t="n">
        <v>2025</v>
      </c>
      <c r="AG7" s="164" t="n"/>
      <c r="AH7" s="164" t="n"/>
      <c r="AI7" s="164" t="n"/>
      <c r="AJ7" s="141" t="n"/>
    </row>
    <row r="8" hidden="1" ht="15" customHeight="1">
      <c r="A8" s="141" t="n"/>
      <c r="B8" s="141" t="n"/>
      <c r="C8" s="164" t="n"/>
      <c r="D8" s="164" t="n"/>
      <c r="E8" s="166" t="n">
        <v>44286</v>
      </c>
      <c r="F8" s="166" t="n">
        <v>44377</v>
      </c>
      <c r="G8" s="166" t="n">
        <v>44469</v>
      </c>
      <c r="H8" s="166" t="n">
        <v>44561</v>
      </c>
      <c r="I8" s="166" t="n">
        <v>44651</v>
      </c>
      <c r="J8" s="166" t="n">
        <v>44742</v>
      </c>
      <c r="K8" s="166" t="n">
        <v>44834</v>
      </c>
      <c r="L8" s="166" t="n">
        <v>44926</v>
      </c>
      <c r="M8" s="166" t="n">
        <v>45016</v>
      </c>
      <c r="N8" s="166" t="n">
        <v>45107</v>
      </c>
      <c r="O8" s="166" t="n">
        <v>45199</v>
      </c>
      <c r="P8" s="166" t="n">
        <v>45291</v>
      </c>
      <c r="Q8" s="166" t="n">
        <v>45382</v>
      </c>
      <c r="R8" s="166" t="n">
        <v>45473</v>
      </c>
      <c r="S8" s="166" t="n">
        <v>45565</v>
      </c>
      <c r="T8" s="166" t="n">
        <v>45657</v>
      </c>
      <c r="U8" s="166" t="n">
        <v>45747</v>
      </c>
      <c r="V8" s="166" t="n">
        <v>45838</v>
      </c>
      <c r="W8" s="166" t="n">
        <v>45930</v>
      </c>
      <c r="X8" s="166" t="n">
        <v>46022</v>
      </c>
      <c r="Y8" s="166" t="n">
        <v>46112</v>
      </c>
      <c r="Z8" s="166" t="n">
        <v>46203</v>
      </c>
      <c r="AA8" s="164" t="n"/>
      <c r="AB8" s="166" t="n">
        <v>44561</v>
      </c>
      <c r="AC8" s="166" t="n">
        <v>44926</v>
      </c>
      <c r="AD8" s="166" t="n">
        <v>45291</v>
      </c>
      <c r="AE8" s="166" t="n">
        <v>45657</v>
      </c>
      <c r="AF8" s="166" t="n">
        <v>46022</v>
      </c>
      <c r="AG8" s="164" t="n"/>
      <c r="AH8" s="164" t="n"/>
      <c r="AI8" s="164" t="n"/>
      <c r="AJ8" s="141" t="n"/>
    </row>
    <row r="9" ht="12.75" customHeight="1">
      <c r="A9" s="94" t="inlineStr">
        <is>
          <t>x</t>
        </is>
      </c>
      <c r="B9" s="94" t="inlineStr">
        <is>
          <t>x</t>
        </is>
      </c>
      <c r="C9" s="35" t="inlineStr">
        <is>
          <t>Balance Sheet</t>
        </is>
      </c>
      <c r="D9" s="36" t="n"/>
      <c r="E9" s="36" t="inlineStr">
        <is>
          <t>Quarter Ended</t>
        </is>
      </c>
      <c r="F9" s="36" t="n"/>
      <c r="G9" s="36" t="n"/>
      <c r="H9" s="36" t="n"/>
      <c r="I9" s="36" t="n"/>
      <c r="J9" s="36" t="n"/>
      <c r="K9" s="36" t="n"/>
      <c r="L9" s="36" t="n"/>
      <c r="M9" s="36" t="n"/>
      <c r="N9" s="36" t="n"/>
      <c r="O9" s="36" t="n"/>
      <c r="P9" s="36" t="n"/>
      <c r="Q9" s="36" t="n"/>
      <c r="R9" s="36" t="n"/>
      <c r="S9" s="36" t="n"/>
      <c r="T9" s="36" t="n"/>
      <c r="U9" s="36" t="n"/>
      <c r="V9" s="36" t="n"/>
      <c r="W9" s="36" t="n"/>
      <c r="X9" s="36" t="n"/>
      <c r="Y9" s="36" t="n"/>
      <c r="Z9" s="36" t="n"/>
      <c r="AA9" s="131" t="n"/>
      <c r="AB9" s="132" t="inlineStr">
        <is>
          <t>Fiscal Year Ended December 31,</t>
        </is>
      </c>
      <c r="AC9" s="132" t="n"/>
      <c r="AD9" s="132" t="n"/>
      <c r="AE9" s="132" t="n"/>
      <c r="AF9" s="132" t="n"/>
      <c r="AG9" s="131" t="n"/>
      <c r="AH9" s="133" t="inlineStr">
        <is>
          <t>LTM</t>
        </is>
      </c>
      <c r="AI9" s="133" t="n"/>
    </row>
    <row r="10" ht="12.75" customHeight="1">
      <c r="A10" s="30" t="n"/>
      <c r="B10" s="30" t="n"/>
      <c r="C10" s="97" t="n"/>
      <c r="D10" s="98" t="n"/>
      <c r="E10" s="98">
        <f>E6&amp;"Q'"&amp;RIGHT(E7,2)</f>
        <v/>
      </c>
      <c r="F10" s="98">
        <f>F6&amp;"Q'"&amp;RIGHT(F7,2)</f>
        <v/>
      </c>
      <c r="G10" s="98">
        <f>G6&amp;"Q'"&amp;RIGHT(G7,2)</f>
        <v/>
      </c>
      <c r="H10" s="98">
        <f>H6&amp;"Q'"&amp;RIGHT(H7,2)</f>
        <v/>
      </c>
      <c r="I10" s="98">
        <f>I6&amp;"Q'"&amp;RIGHT(I7,2)</f>
        <v/>
      </c>
      <c r="J10" s="98">
        <f>J6&amp;"Q'"&amp;RIGHT(J7,2)</f>
        <v/>
      </c>
      <c r="K10" s="98">
        <f>K6&amp;"Q'"&amp;RIGHT(K7,2)</f>
        <v/>
      </c>
      <c r="L10" s="98">
        <f>L6&amp;"Q'"&amp;RIGHT(L7,2)</f>
        <v/>
      </c>
      <c r="M10" s="98">
        <f>M6&amp;"Q'"&amp;RIGHT(M7,2)</f>
        <v/>
      </c>
      <c r="N10" s="98">
        <f>N6&amp;"Q'"&amp;RIGHT(N7,2)</f>
        <v/>
      </c>
      <c r="O10" s="98">
        <f>O6&amp;"Q'"&amp;RIGHT(O7,2)</f>
        <v/>
      </c>
      <c r="P10" s="98">
        <f>P6&amp;"Q'"&amp;RIGHT(P7,2)</f>
        <v/>
      </c>
      <c r="Q10" s="98">
        <f>Q6&amp;"Q'"&amp;RIGHT(Q7,2)</f>
        <v/>
      </c>
      <c r="R10" s="98">
        <f>R6&amp;"Q'"&amp;RIGHT(R7,2)</f>
        <v/>
      </c>
      <c r="S10" s="98">
        <f>S6&amp;"Q'"&amp;RIGHT(S7,2)</f>
        <v/>
      </c>
      <c r="T10" s="98">
        <f>T6&amp;"Q'"&amp;RIGHT(T7,2)</f>
        <v/>
      </c>
      <c r="U10" s="98">
        <f>U6&amp;"Q'"&amp;RIGHT(U7,2)</f>
        <v/>
      </c>
      <c r="V10" s="98">
        <f>V6&amp;"Q'"&amp;RIGHT(V7,2)</f>
        <v/>
      </c>
      <c r="W10" s="98">
        <f>W6&amp;"Q'"&amp;RIGHT(W7,2)</f>
        <v/>
      </c>
      <c r="X10" s="98">
        <f>X6&amp;"Q'"&amp;RIGHT(X7,2)</f>
        <v/>
      </c>
      <c r="Y10" s="98">
        <f>Y6&amp;"Q'"&amp;RIGHT(Y7,2)</f>
        <v/>
      </c>
      <c r="Z10" s="98">
        <f>Z6&amp;"Q'"&amp;RIGHT(Z7,2)</f>
        <v/>
      </c>
      <c r="AA10" s="100" t="n"/>
      <c r="AB10" s="98" t="n">
        <v>2021</v>
      </c>
      <c r="AC10" s="98" t="n">
        <v>2022</v>
      </c>
      <c r="AD10" s="98" t="n">
        <v>2023</v>
      </c>
      <c r="AE10" s="98" t="n">
        <v>2024</v>
      </c>
      <c r="AF10" s="98" t="n">
        <v>2025</v>
      </c>
      <c r="AG10" s="100" t="n"/>
      <c r="AH10" s="98" t="inlineStr">
        <is>
          <t>$ Chg '25</t>
        </is>
      </c>
      <c r="AI10" s="98" t="inlineStr">
        <is>
          <t>% Chg '25</t>
        </is>
      </c>
    </row>
    <row r="11" ht="3" customHeight="1">
      <c r="A11" s="30" t="n"/>
      <c r="B11" s="30"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c r="AG11" s="30" t="n"/>
      <c r="AH11" s="30" t="n"/>
      <c r="AI11" s="30" t="n"/>
    </row>
    <row r="12" ht="12.75" customHeight="1">
      <c r="C12" s="100" t="inlineStr">
        <is>
          <t>Assets:</t>
        </is>
      </c>
    </row>
    <row r="13" ht="12.75" customHeight="1">
      <c r="C13" s="154" t="inlineStr">
        <is>
          <t>Cash and cash equivalents</t>
        </is>
      </c>
      <c r="E13" s="50" t="n">
        <v>2379</v>
      </c>
      <c r="F13" s="50" t="n">
        <v>2124</v>
      </c>
      <c r="G13" s="50" t="n">
        <v>2209</v>
      </c>
      <c r="H13" s="50" t="n">
        <v>1840</v>
      </c>
      <c r="I13" s="50" t="n">
        <v>1681</v>
      </c>
      <c r="J13" s="50" t="n">
        <v>1151</v>
      </c>
      <c r="K13" s="50" t="n">
        <v>932</v>
      </c>
      <c r="L13" s="50" t="n">
        <v>1045</v>
      </c>
      <c r="M13" s="50" t="n">
        <v>591</v>
      </c>
      <c r="N13" s="50" t="n">
        <v>477</v>
      </c>
      <c r="O13" s="50" t="n">
        <v>532</v>
      </c>
      <c r="P13" s="50" t="n">
        <v>519</v>
      </c>
      <c r="Q13" s="50" t="n">
        <v>685</v>
      </c>
      <c r="R13" s="50" t="n">
        <v>485</v>
      </c>
      <c r="S13" s="50" t="n">
        <v>521</v>
      </c>
      <c r="T13" s="50" t="n">
        <v>576</v>
      </c>
      <c r="U13" s="50" t="n">
        <v>336</v>
      </c>
      <c r="V13" s="50" t="n">
        <v>449</v>
      </c>
      <c r="W13" s="50" t="n">
        <v>479</v>
      </c>
      <c r="X13" s="50" t="n">
        <v>512</v>
      </c>
      <c r="Y13" s="50" t="n">
        <v>585</v>
      </c>
      <c r="Z13" s="50" t="n">
        <v>495</v>
      </c>
      <c r="AB13" s="49">
        <f>H13</f>
        <v/>
      </c>
      <c r="AC13" s="49">
        <f>L13</f>
        <v/>
      </c>
      <c r="AD13" s="49">
        <f>P13</f>
        <v/>
      </c>
      <c r="AE13" s="49">
        <f>T13</f>
        <v/>
      </c>
      <c r="AF13" s="49">
        <f>X13</f>
        <v/>
      </c>
      <c r="AH13" s="49">
        <f>AF13-AE13</f>
        <v/>
      </c>
      <c r="AI13" s="62">
        <f>IFERROR(AH13/ABS(AE13),0)</f>
        <v/>
      </c>
    </row>
    <row r="14" ht="12.75" customHeight="1">
      <c r="C14" s="154" t="inlineStr">
        <is>
          <t>Accounts receivable, net</t>
        </is>
      </c>
      <c r="E14" s="51" t="n">
        <v>781</v>
      </c>
      <c r="F14" s="51" t="n">
        <v>846</v>
      </c>
      <c r="G14" s="51" t="n">
        <v>891</v>
      </c>
      <c r="H14" s="51" t="n">
        <v>818</v>
      </c>
      <c r="I14" s="51" t="n">
        <v>807</v>
      </c>
      <c r="J14" s="51" t="n">
        <v>852</v>
      </c>
      <c r="K14" s="51" t="n">
        <v>835</v>
      </c>
      <c r="L14" s="51" t="n">
        <v>857</v>
      </c>
      <c r="M14" s="51" t="n">
        <v>818</v>
      </c>
      <c r="N14" s="51" t="n">
        <v>903</v>
      </c>
      <c r="O14" s="51" t="n">
        <v>880</v>
      </c>
      <c r="P14" s="51" t="n">
        <v>850</v>
      </c>
      <c r="Q14" s="51" t="n">
        <v>846</v>
      </c>
      <c r="R14" s="51" t="n">
        <v>847</v>
      </c>
      <c r="S14" s="51" t="n">
        <v>821</v>
      </c>
      <c r="T14" s="51" t="n">
        <v>796</v>
      </c>
      <c r="U14" s="51" t="n">
        <v>819</v>
      </c>
      <c r="V14" s="51" t="n">
        <v>862</v>
      </c>
      <c r="W14" s="51" t="n">
        <v>1196</v>
      </c>
      <c r="X14" s="51" t="n">
        <v>1122</v>
      </c>
      <c r="Y14" s="51" t="n">
        <v>1218</v>
      </c>
      <c r="Z14" s="51" t="n">
        <v>1185</v>
      </c>
      <c r="AB14" s="52">
        <f>H14</f>
        <v/>
      </c>
      <c r="AC14" s="52">
        <f>L14</f>
        <v/>
      </c>
      <c r="AD14" s="52">
        <f>P14</f>
        <v/>
      </c>
      <c r="AE14" s="52">
        <f>T14</f>
        <v/>
      </c>
      <c r="AF14" s="52">
        <f>X14</f>
        <v/>
      </c>
      <c r="AH14" s="49">
        <f>AF14-AE14</f>
        <v/>
      </c>
      <c r="AI14" s="62">
        <f>IFERROR(AH14/ABS(AE14),0)</f>
        <v/>
      </c>
    </row>
    <row r="15" ht="12.75" customHeight="1">
      <c r="C15" s="154" t="inlineStr">
        <is>
          <t>Billed portion of finance receivables, net</t>
        </is>
      </c>
      <c r="E15" s="51" t="n">
        <v>92</v>
      </c>
      <c r="F15" s="51" t="n">
        <v>89</v>
      </c>
      <c r="G15" s="51" t="n">
        <v>100</v>
      </c>
      <c r="H15" s="51" t="n">
        <v>94</v>
      </c>
      <c r="I15" s="51" t="n">
        <v>89</v>
      </c>
      <c r="J15" s="51" t="n">
        <v>83</v>
      </c>
      <c r="K15" s="51" t="n">
        <v>91</v>
      </c>
      <c r="L15" s="51" t="n">
        <v>93</v>
      </c>
      <c r="M15" s="51" t="n">
        <v>94</v>
      </c>
      <c r="N15" s="51" t="n">
        <v>70</v>
      </c>
      <c r="O15" s="51" t="n">
        <v>80</v>
      </c>
      <c r="P15" s="51" t="n">
        <v>71</v>
      </c>
      <c r="Q15" s="51" t="n">
        <v>67</v>
      </c>
      <c r="R15" s="51" t="n">
        <v>70</v>
      </c>
      <c r="S15" s="51" t="n">
        <v>50</v>
      </c>
      <c r="T15" s="51" t="n">
        <v>48</v>
      </c>
      <c r="U15" s="51" t="n">
        <v>43</v>
      </c>
      <c r="V15" s="51" t="n">
        <v>46</v>
      </c>
      <c r="W15" s="51" t="n">
        <v>53</v>
      </c>
      <c r="X15" s="51" t="n">
        <v>46</v>
      </c>
      <c r="Y15" s="51" t="n">
        <v>43</v>
      </c>
      <c r="Z15" s="51" t="n">
        <v>40</v>
      </c>
      <c r="AB15" s="52">
        <f>H15</f>
        <v/>
      </c>
      <c r="AC15" s="52">
        <f>L15</f>
        <v/>
      </c>
      <c r="AD15" s="52">
        <f>P15</f>
        <v/>
      </c>
      <c r="AE15" s="52">
        <f>T15</f>
        <v/>
      </c>
      <c r="AF15" s="52">
        <f>X15</f>
        <v/>
      </c>
      <c r="AH15" s="49">
        <f>AF15-AE15</f>
        <v/>
      </c>
      <c r="AI15" s="62">
        <f>IFERROR(AH15/ABS(AE15),0)</f>
        <v/>
      </c>
    </row>
    <row r="16" ht="12.75" customHeight="1">
      <c r="C16" s="154" t="inlineStr">
        <is>
          <t>Finance receivables, net</t>
        </is>
      </c>
      <c r="E16" s="51" t="n">
        <v>1065</v>
      </c>
      <c r="F16" s="51" t="n">
        <v>1057</v>
      </c>
      <c r="G16" s="51" t="n">
        <v>1039</v>
      </c>
      <c r="H16" s="51" t="n">
        <v>1042</v>
      </c>
      <c r="I16" s="51" t="n">
        <v>1023</v>
      </c>
      <c r="J16" s="51" t="n">
        <v>1019</v>
      </c>
      <c r="K16" s="51" t="n">
        <v>995</v>
      </c>
      <c r="L16" s="51" t="n">
        <v>1061</v>
      </c>
      <c r="M16" s="51" t="n">
        <v>1022</v>
      </c>
      <c r="N16" s="51" t="n">
        <v>940</v>
      </c>
      <c r="O16" s="51" t="n">
        <v>906</v>
      </c>
      <c r="P16" s="51" t="n">
        <v>842</v>
      </c>
      <c r="Q16" s="51" t="n">
        <v>783</v>
      </c>
      <c r="R16" s="51" t="n">
        <v>713</v>
      </c>
      <c r="S16" s="51" t="n">
        <v>664</v>
      </c>
      <c r="T16" s="51" t="n">
        <v>608</v>
      </c>
      <c r="U16" s="51" t="n">
        <v>583</v>
      </c>
      <c r="V16" s="51" t="n">
        <v>584</v>
      </c>
      <c r="W16" s="51" t="n">
        <v>553</v>
      </c>
      <c r="X16" s="51" t="n">
        <v>510</v>
      </c>
      <c r="Y16" s="51" t="n">
        <v>476</v>
      </c>
      <c r="Z16" s="51" t="n">
        <v>442</v>
      </c>
      <c r="AB16" s="52">
        <f>H16</f>
        <v/>
      </c>
      <c r="AC16" s="52">
        <f>L16</f>
        <v/>
      </c>
      <c r="AD16" s="52">
        <f>P16</f>
        <v/>
      </c>
      <c r="AE16" s="52">
        <f>T16</f>
        <v/>
      </c>
      <c r="AF16" s="52">
        <f>X16</f>
        <v/>
      </c>
      <c r="AH16" s="49">
        <f>AF16-AE16</f>
        <v/>
      </c>
      <c r="AI16" s="62">
        <f>IFERROR(AH16/ABS(AE16),0)</f>
        <v/>
      </c>
    </row>
    <row r="17" ht="12.75" customHeight="1">
      <c r="C17" s="154" t="inlineStr">
        <is>
          <t>Inventories</t>
        </is>
      </c>
      <c r="E17" s="51" t="n">
        <v>841</v>
      </c>
      <c r="F17" s="51" t="n">
        <v>815</v>
      </c>
      <c r="G17" s="51" t="n">
        <v>788</v>
      </c>
      <c r="H17" s="51" t="n">
        <v>696</v>
      </c>
      <c r="I17" s="51" t="n">
        <v>732</v>
      </c>
      <c r="J17" s="51" t="n">
        <v>765</v>
      </c>
      <c r="K17" s="51" t="n">
        <v>777</v>
      </c>
      <c r="L17" s="51" t="n">
        <v>797</v>
      </c>
      <c r="M17" s="51" t="n">
        <v>863</v>
      </c>
      <c r="N17" s="51" t="n">
        <v>782</v>
      </c>
      <c r="O17" s="51" t="n">
        <v>728</v>
      </c>
      <c r="P17" s="51" t="n">
        <v>661</v>
      </c>
      <c r="Q17" s="51" t="n">
        <v>736</v>
      </c>
      <c r="R17" s="51" t="n">
        <v>737</v>
      </c>
      <c r="S17" s="51" t="n">
        <v>732</v>
      </c>
      <c r="T17" s="51" t="n">
        <v>695</v>
      </c>
      <c r="U17" s="51" t="n">
        <v>836</v>
      </c>
      <c r="V17" s="51" t="n">
        <v>871</v>
      </c>
      <c r="W17" s="51" t="n">
        <v>1143</v>
      </c>
      <c r="X17" s="51" t="n">
        <v>1016</v>
      </c>
      <c r="Y17" s="51" t="n">
        <v>1043</v>
      </c>
      <c r="Z17" s="51" t="n">
        <v>1043</v>
      </c>
      <c r="AB17" s="52">
        <f>H17</f>
        <v/>
      </c>
      <c r="AC17" s="52">
        <f>L17</f>
        <v/>
      </c>
      <c r="AD17" s="52">
        <f>P17</f>
        <v/>
      </c>
      <c r="AE17" s="52">
        <f>T17</f>
        <v/>
      </c>
      <c r="AF17" s="52">
        <f>X17</f>
        <v/>
      </c>
      <c r="AH17" s="49">
        <f>AF17-AE17</f>
        <v/>
      </c>
      <c r="AI17" s="62">
        <f>IFERROR(AH17/ABS(AE17),0)</f>
        <v/>
      </c>
    </row>
    <row r="18" ht="12.75" customHeight="1">
      <c r="C18" s="154" t="inlineStr">
        <is>
          <t>Other current assets</t>
        </is>
      </c>
      <c r="E18" s="51" t="n">
        <v>262</v>
      </c>
      <c r="F18" s="51" t="n">
        <v>244</v>
      </c>
      <c r="G18" s="51" t="n">
        <v>209</v>
      </c>
      <c r="H18" s="51" t="n">
        <v>211</v>
      </c>
      <c r="I18" s="51" t="n">
        <v>234</v>
      </c>
      <c r="J18" s="51" t="n">
        <v>232</v>
      </c>
      <c r="K18" s="51" t="n">
        <v>265</v>
      </c>
      <c r="L18" s="51" t="n">
        <v>254</v>
      </c>
      <c r="M18" s="51" t="n">
        <v>252</v>
      </c>
      <c r="N18" s="51" t="n">
        <v>218</v>
      </c>
      <c r="O18" s="51" t="n">
        <v>228</v>
      </c>
      <c r="P18" s="51" t="n">
        <v>234</v>
      </c>
      <c r="Q18" s="51" t="n">
        <v>231</v>
      </c>
      <c r="R18" s="51" t="n">
        <v>199</v>
      </c>
      <c r="S18" s="51" t="n">
        <v>223</v>
      </c>
      <c r="T18" s="51" t="n">
        <v>212</v>
      </c>
      <c r="U18" s="51" t="n">
        <v>250</v>
      </c>
      <c r="V18" s="51" t="n">
        <v>731</v>
      </c>
      <c r="W18" s="51" t="n">
        <v>329</v>
      </c>
      <c r="X18" s="51" t="n">
        <v>362</v>
      </c>
      <c r="Y18" s="51" t="n">
        <v>415</v>
      </c>
      <c r="Z18" s="51" t="n">
        <v>492</v>
      </c>
      <c r="AB18" s="52">
        <f>H18</f>
        <v/>
      </c>
      <c r="AC18" s="52">
        <f>L18</f>
        <v/>
      </c>
      <c r="AD18" s="52">
        <f>P18</f>
        <v/>
      </c>
      <c r="AE18" s="52">
        <f>T18</f>
        <v/>
      </c>
      <c r="AF18" s="52">
        <f>X18</f>
        <v/>
      </c>
      <c r="AH18" s="49">
        <f>AF18-AE18</f>
        <v/>
      </c>
      <c r="AI18" s="62">
        <f>IFERROR(AH18/ABS(AE18),0)</f>
        <v/>
      </c>
    </row>
    <row r="19" ht="12.75" customHeight="1">
      <c r="C19" s="338" t="inlineStr">
        <is>
          <t>Total current assets</t>
        </is>
      </c>
      <c r="D19" s="339" t="n"/>
      <c r="E19" s="340">
        <f>SUM(E13:E18)</f>
        <v/>
      </c>
      <c r="F19" s="340">
        <f>SUM(F13:F18)</f>
        <v/>
      </c>
      <c r="G19" s="340">
        <f>SUM(G13:G18)</f>
        <v/>
      </c>
      <c r="H19" s="340">
        <f>SUM(H13:H18)</f>
        <v/>
      </c>
      <c r="I19" s="340">
        <f>SUM(I13:I18)</f>
        <v/>
      </c>
      <c r="J19" s="340">
        <f>SUM(J13:J18)</f>
        <v/>
      </c>
      <c r="K19" s="340">
        <f>SUM(K13:K18)</f>
        <v/>
      </c>
      <c r="L19" s="340">
        <f>SUM(L13:L18)</f>
        <v/>
      </c>
      <c r="M19" s="340">
        <f>SUM(M13:M18)</f>
        <v/>
      </c>
      <c r="N19" s="340">
        <f>SUM(N13:N18)</f>
        <v/>
      </c>
      <c r="O19" s="340">
        <f>SUM(O13:O18)</f>
        <v/>
      </c>
      <c r="P19" s="340">
        <f>SUM(P13:P18)</f>
        <v/>
      </c>
      <c r="Q19" s="340">
        <f>SUM(Q13:Q18)</f>
        <v/>
      </c>
      <c r="R19" s="340">
        <f>SUM(R13:R18)</f>
        <v/>
      </c>
      <c r="S19" s="340">
        <f>SUM(S13:S18)</f>
        <v/>
      </c>
      <c r="T19" s="340">
        <f>SUM(T13:T18)</f>
        <v/>
      </c>
      <c r="U19" s="340">
        <f>SUM(U13:U18)</f>
        <v/>
      </c>
      <c r="V19" s="340">
        <f>SUM(V13:V18)</f>
        <v/>
      </c>
      <c r="W19" s="340">
        <f>SUM(W13:W18)</f>
        <v/>
      </c>
      <c r="X19" s="340">
        <f>SUM(X13:X18)</f>
        <v/>
      </c>
      <c r="Y19" s="340">
        <f>SUM(Y13:Y18)</f>
        <v/>
      </c>
      <c r="Z19" s="340">
        <f>SUM(Z13:Z18)</f>
        <v/>
      </c>
      <c r="AA19" s="203" t="n"/>
      <c r="AB19" s="340">
        <f>SUM(AB13:AB18)</f>
        <v/>
      </c>
      <c r="AC19" s="340">
        <f>SUM(AC13:AC18)</f>
        <v/>
      </c>
      <c r="AD19" s="340">
        <f>SUM(AD13:AD18)</f>
        <v/>
      </c>
      <c r="AE19" s="340">
        <f>SUM(AE13:AE18)</f>
        <v/>
      </c>
      <c r="AF19" s="340">
        <f>SUM(AF13:AF18)</f>
        <v/>
      </c>
      <c r="AG19" s="203" t="n"/>
      <c r="AH19" s="340">
        <f>AF19-AE19</f>
        <v/>
      </c>
      <c r="AI19" s="341">
        <f>IFERROR(AH19/ABS(AE19),0)</f>
        <v/>
      </c>
    </row>
    <row r="20" hidden="1" ht="15" customHeight="1">
      <c r="C20" s="149" t="inlineStr">
        <is>
          <t>Total current assets</t>
        </is>
      </c>
      <c r="E20" s="64" t="n">
        <v>5420</v>
      </c>
      <c r="F20" s="64" t="n">
        <v>5175</v>
      </c>
      <c r="G20" s="64" t="n">
        <v>5236</v>
      </c>
      <c r="H20" s="64" t="n">
        <v>4701</v>
      </c>
      <c r="I20" s="64" t="n">
        <v>4566</v>
      </c>
      <c r="J20" s="64" t="n">
        <v>4102</v>
      </c>
      <c r="K20" s="64" t="n">
        <v>3895</v>
      </c>
      <c r="L20" s="64" t="n">
        <v>4107</v>
      </c>
      <c r="M20" s="64" t="n">
        <v>3640</v>
      </c>
      <c r="N20" s="64" t="n">
        <v>3390</v>
      </c>
      <c r="O20" s="64" t="n">
        <v>3354</v>
      </c>
      <c r="P20" s="64" t="n">
        <v>3177</v>
      </c>
      <c r="Q20" s="64" t="n">
        <v>3348</v>
      </c>
      <c r="R20" s="64" t="n">
        <v>3051</v>
      </c>
      <c r="S20" s="64" t="n">
        <v>3011</v>
      </c>
      <c r="T20" s="64" t="n">
        <v>2935</v>
      </c>
      <c r="U20" s="64" t="n">
        <v>2867</v>
      </c>
      <c r="V20" s="64" t="n">
        <v>3543</v>
      </c>
      <c r="W20" s="64" t="n">
        <v>3753</v>
      </c>
      <c r="X20" s="64" t="n">
        <v>3568</v>
      </c>
      <c r="Y20" s="64" t="n">
        <v>3780</v>
      </c>
      <c r="Z20" s="64" t="n">
        <v>3697</v>
      </c>
      <c r="AB20" s="52">
        <f>H20</f>
        <v/>
      </c>
      <c r="AC20" s="52">
        <f>L20</f>
        <v/>
      </c>
      <c r="AD20" s="52">
        <f>P20</f>
        <v/>
      </c>
      <c r="AE20" s="52">
        <f>T20</f>
        <v/>
      </c>
      <c r="AF20" s="52">
        <f>X20</f>
        <v/>
      </c>
    </row>
    <row r="21" hidden="1" ht="15" customHeight="1">
      <c r="C21" s="149" t="inlineStr">
        <is>
          <t>Check</t>
        </is>
      </c>
      <c r="E21" s="55">
        <f>E19-E20</f>
        <v/>
      </c>
      <c r="F21" s="55">
        <f>F19-F20</f>
        <v/>
      </c>
      <c r="G21" s="55">
        <f>G19-G20</f>
        <v/>
      </c>
      <c r="H21" s="55">
        <f>H19-H20</f>
        <v/>
      </c>
      <c r="I21" s="55">
        <f>I19-I20</f>
        <v/>
      </c>
      <c r="J21" s="55">
        <f>J19-J20</f>
        <v/>
      </c>
      <c r="K21" s="55">
        <f>K19-K20</f>
        <v/>
      </c>
      <c r="L21" s="55">
        <f>L19-L20</f>
        <v/>
      </c>
      <c r="M21" s="55">
        <f>M19-M20</f>
        <v/>
      </c>
      <c r="N21" s="55">
        <f>N19-N20</f>
        <v/>
      </c>
      <c r="O21" s="55">
        <f>O19-O20</f>
        <v/>
      </c>
      <c r="P21" s="55">
        <f>P19-P20</f>
        <v/>
      </c>
      <c r="Q21" s="55">
        <f>Q19-Q20</f>
        <v/>
      </c>
      <c r="R21" s="55">
        <f>R19-R20</f>
        <v/>
      </c>
      <c r="S21" s="55">
        <f>S19-S20</f>
        <v/>
      </c>
      <c r="T21" s="55">
        <f>T19-T20</f>
        <v/>
      </c>
      <c r="U21" s="55">
        <f>U19-U20</f>
        <v/>
      </c>
      <c r="V21" s="55">
        <f>V19-V20</f>
        <v/>
      </c>
      <c r="W21" s="55">
        <f>W19-W20</f>
        <v/>
      </c>
      <c r="X21" s="55">
        <f>X19-X20</f>
        <v/>
      </c>
      <c r="Y21" s="55">
        <f>Y19-Y20</f>
        <v/>
      </c>
      <c r="Z21" s="55">
        <f>Z19-Z20</f>
        <v/>
      </c>
      <c r="AB21" s="65">
        <f>AB19-AB20</f>
        <v/>
      </c>
      <c r="AC21" s="65">
        <f>AC19-AC20</f>
        <v/>
      </c>
      <c r="AD21" s="65">
        <f>AD19-AD20</f>
        <v/>
      </c>
      <c r="AE21" s="65">
        <f>AE19-AE20</f>
        <v/>
      </c>
      <c r="AF21" s="65">
        <f>AF19-AF20</f>
        <v/>
      </c>
    </row>
    <row r="22" ht="12.75" customHeight="1">
      <c r="C22" s="335" t="inlineStr">
        <is>
          <t>Finance receivables due after one year, net</t>
        </is>
      </c>
      <c r="D22" s="203" t="n"/>
      <c r="E22" s="336" t="n">
        <v>1920</v>
      </c>
      <c r="F22" s="336" t="n">
        <v>1971</v>
      </c>
      <c r="G22" s="336" t="n">
        <v>1936</v>
      </c>
      <c r="H22" s="336" t="n">
        <v>1934</v>
      </c>
      <c r="I22" s="336" t="n">
        <v>1893</v>
      </c>
      <c r="J22" s="336" t="n">
        <v>1845</v>
      </c>
      <c r="K22" s="336" t="n">
        <v>1814</v>
      </c>
      <c r="L22" s="336" t="n">
        <v>1948</v>
      </c>
      <c r="M22" s="336" t="n">
        <v>1864</v>
      </c>
      <c r="N22" s="336" t="n">
        <v>1697</v>
      </c>
      <c r="O22" s="336" t="n">
        <v>1605</v>
      </c>
      <c r="P22" s="336" t="n">
        <v>1597</v>
      </c>
      <c r="Q22" s="336" t="n">
        <v>1408</v>
      </c>
      <c r="R22" s="336" t="n">
        <v>1277</v>
      </c>
      <c r="S22" s="336" t="n">
        <v>1275</v>
      </c>
      <c r="T22" s="336" t="n">
        <v>1089</v>
      </c>
      <c r="U22" s="336" t="n">
        <v>1013</v>
      </c>
      <c r="V22" s="336" t="n">
        <v>990</v>
      </c>
      <c r="W22" s="336" t="n">
        <v>950</v>
      </c>
      <c r="X22" s="336" t="n">
        <v>846</v>
      </c>
      <c r="Y22" s="336" t="n">
        <v>797</v>
      </c>
      <c r="Z22" s="336" t="n">
        <v>732</v>
      </c>
      <c r="AA22" s="203" t="n"/>
      <c r="AB22" s="161">
        <f>H22</f>
        <v/>
      </c>
      <c r="AC22" s="161">
        <f>L22</f>
        <v/>
      </c>
      <c r="AD22" s="161">
        <f>P22</f>
        <v/>
      </c>
      <c r="AE22" s="161">
        <f>T22</f>
        <v/>
      </c>
      <c r="AF22" s="161">
        <f>X22</f>
        <v/>
      </c>
      <c r="AG22" s="203" t="n"/>
      <c r="AH22" s="161">
        <f>AF22-AE22</f>
        <v/>
      </c>
      <c r="AI22" s="337">
        <f>IFERROR(AH22/ABS(AE22),0)</f>
        <v/>
      </c>
    </row>
    <row r="23" ht="12.75" customHeight="1">
      <c r="C23" s="154" t="inlineStr">
        <is>
          <t>Equipment on operating leases, net</t>
        </is>
      </c>
      <c r="E23" s="51" t="n">
        <v>277</v>
      </c>
      <c r="F23" s="51" t="n">
        <v>271</v>
      </c>
      <c r="G23" s="51" t="n">
        <v>254</v>
      </c>
      <c r="H23" s="51" t="n">
        <v>253</v>
      </c>
      <c r="I23" s="51" t="n">
        <v>254</v>
      </c>
      <c r="J23" s="51" t="n">
        <v>226</v>
      </c>
      <c r="K23" s="51" t="n">
        <v>216</v>
      </c>
      <c r="L23" s="51" t="n">
        <v>235</v>
      </c>
      <c r="M23" s="51" t="n">
        <v>250</v>
      </c>
      <c r="N23" s="51" t="n">
        <v>259</v>
      </c>
      <c r="O23" s="51" t="n">
        <v>257</v>
      </c>
      <c r="P23" s="51" t="n">
        <v>265</v>
      </c>
      <c r="Q23" s="51" t="n">
        <v>257</v>
      </c>
      <c r="R23" s="51" t="n">
        <v>253</v>
      </c>
      <c r="S23" s="51" t="n">
        <v>255</v>
      </c>
      <c r="T23" s="51" t="n">
        <v>245</v>
      </c>
      <c r="U23" s="51" t="n">
        <v>248</v>
      </c>
      <c r="V23" s="51" t="n">
        <v>249</v>
      </c>
      <c r="W23" s="51" t="n">
        <v>300</v>
      </c>
      <c r="X23" s="51" t="n">
        <v>299</v>
      </c>
      <c r="Y23" s="51" t="n">
        <v>292</v>
      </c>
      <c r="Z23" s="51" t="n">
        <v>283</v>
      </c>
      <c r="AB23" s="52">
        <f>H23</f>
        <v/>
      </c>
      <c r="AC23" s="52">
        <f>L23</f>
        <v/>
      </c>
      <c r="AD23" s="52">
        <f>P23</f>
        <v/>
      </c>
      <c r="AE23" s="52">
        <f>T23</f>
        <v/>
      </c>
      <c r="AF23" s="52">
        <f>X23</f>
        <v/>
      </c>
      <c r="AH23" s="49">
        <f>AF23-AE23</f>
        <v/>
      </c>
      <c r="AI23" s="62">
        <f>IFERROR(AH23/ABS(AE23),0)</f>
        <v/>
      </c>
    </row>
    <row r="24" ht="12.75" customHeight="1">
      <c r="C24" s="154" t="inlineStr">
        <is>
          <t>Land, buildings and equipment, net</t>
        </is>
      </c>
      <c r="E24" s="51" t="n">
        <v>393</v>
      </c>
      <c r="F24" s="51" t="n">
        <v>372</v>
      </c>
      <c r="G24" s="51" t="n">
        <v>370</v>
      </c>
      <c r="H24" s="51" t="n">
        <v>358</v>
      </c>
      <c r="I24" s="51" t="n">
        <v>350</v>
      </c>
      <c r="J24" s="51" t="n">
        <v>334</v>
      </c>
      <c r="K24" s="51" t="n">
        <v>315</v>
      </c>
      <c r="L24" s="51" t="n">
        <v>320</v>
      </c>
      <c r="M24" s="51" t="n">
        <v>311</v>
      </c>
      <c r="N24" s="51" t="n">
        <v>281</v>
      </c>
      <c r="O24" s="51" t="n">
        <v>273</v>
      </c>
      <c r="P24" s="51" t="n">
        <v>266</v>
      </c>
      <c r="Q24" s="51" t="n">
        <v>245</v>
      </c>
      <c r="R24" s="51" t="n">
        <v>227</v>
      </c>
      <c r="S24" s="51" t="n">
        <v>225</v>
      </c>
      <c r="T24" s="51" t="n">
        <v>251</v>
      </c>
      <c r="U24" s="51" t="n">
        <v>195</v>
      </c>
      <c r="V24" s="51" t="n">
        <v>187</v>
      </c>
      <c r="W24" s="51" t="n">
        <v>427</v>
      </c>
      <c r="X24" s="51" t="n">
        <v>390</v>
      </c>
      <c r="Y24" s="51" t="n">
        <v>378</v>
      </c>
      <c r="Z24" s="51" t="n">
        <v>378</v>
      </c>
      <c r="AB24" s="52">
        <f>H24</f>
        <v/>
      </c>
      <c r="AC24" s="52">
        <f>L24</f>
        <v/>
      </c>
      <c r="AD24" s="52">
        <f>P24</f>
        <v/>
      </c>
      <c r="AE24" s="52">
        <f>T24</f>
        <v/>
      </c>
      <c r="AF24" s="52">
        <f>X24</f>
        <v/>
      </c>
      <c r="AH24" s="49">
        <f>AF24-AE24</f>
        <v/>
      </c>
      <c r="AI24" s="62">
        <f>IFERROR(AH24/ABS(AE24),0)</f>
        <v/>
      </c>
    </row>
    <row r="25" ht="12.75" customHeight="1">
      <c r="C25" s="154" t="inlineStr">
        <is>
          <t>Intangible assets, net</t>
        </is>
      </c>
      <c r="E25" s="51" t="n">
        <v>223</v>
      </c>
      <c r="F25" s="51" t="n">
        <v>230</v>
      </c>
      <c r="G25" s="51" t="n">
        <v>216</v>
      </c>
      <c r="H25" s="51" t="n">
        <v>211</v>
      </c>
      <c r="I25" s="51" t="n">
        <v>240</v>
      </c>
      <c r="J25" s="51" t="n">
        <v>223</v>
      </c>
      <c r="K25" s="51" t="n">
        <v>216</v>
      </c>
      <c r="L25" s="51" t="n">
        <v>208</v>
      </c>
      <c r="M25" s="51" t="n">
        <v>202</v>
      </c>
      <c r="N25" s="51" t="n">
        <v>194</v>
      </c>
      <c r="O25" s="51" t="n">
        <v>183</v>
      </c>
      <c r="P25" s="51" t="n">
        <v>177</v>
      </c>
      <c r="Q25" s="51" t="n">
        <v>165</v>
      </c>
      <c r="R25" s="51" t="n">
        <v>155</v>
      </c>
      <c r="S25" s="51" t="n">
        <v>149</v>
      </c>
      <c r="T25" s="51" t="n">
        <v>236</v>
      </c>
      <c r="U25" s="51" t="n">
        <v>228</v>
      </c>
      <c r="V25" s="51" t="n">
        <v>222</v>
      </c>
      <c r="W25" s="51" t="n">
        <v>954</v>
      </c>
      <c r="X25" s="51" t="n">
        <v>921</v>
      </c>
      <c r="Y25" s="51" t="n">
        <v>891</v>
      </c>
      <c r="Z25" s="51" t="n">
        <v>857</v>
      </c>
      <c r="AB25" s="52">
        <f>H25</f>
        <v/>
      </c>
      <c r="AC25" s="52">
        <f>L25</f>
        <v/>
      </c>
      <c r="AD25" s="52">
        <f>P25</f>
        <v/>
      </c>
      <c r="AE25" s="52">
        <f>T25</f>
        <v/>
      </c>
      <c r="AF25" s="52">
        <f>X25</f>
        <v/>
      </c>
      <c r="AH25" s="49">
        <f>AF25-AE25</f>
        <v/>
      </c>
      <c r="AI25" s="62">
        <f>IFERROR(AH25/ABS(AE25),0)</f>
        <v/>
      </c>
    </row>
    <row r="26" ht="12.75" customHeight="1">
      <c r="C26" s="154" t="inlineStr">
        <is>
          <t>Goodwill, net</t>
        </is>
      </c>
      <c r="E26" s="51" t="n">
        <v>4075</v>
      </c>
      <c r="F26" s="51" t="n">
        <v>4104</v>
      </c>
      <c r="G26" s="51" t="n">
        <v>4066</v>
      </c>
      <c r="H26" s="51" t="n">
        <v>3287</v>
      </c>
      <c r="I26" s="51" t="n">
        <v>3300</v>
      </c>
      <c r="J26" s="51" t="n">
        <v>3217</v>
      </c>
      <c r="K26" s="51" t="n">
        <v>2753</v>
      </c>
      <c r="L26" s="51" t="n">
        <v>2820</v>
      </c>
      <c r="M26" s="51" t="n">
        <v>2850</v>
      </c>
      <c r="N26" s="51" t="n">
        <v>2751</v>
      </c>
      <c r="O26" s="51" t="n">
        <v>2716</v>
      </c>
      <c r="P26" s="51" t="n">
        <v>2747</v>
      </c>
      <c r="Q26" s="51" t="n">
        <v>2720</v>
      </c>
      <c r="R26" s="51" t="n">
        <v>2719</v>
      </c>
      <c r="S26" s="51" t="n">
        <v>1709</v>
      </c>
      <c r="T26" s="51" t="n">
        <v>1937</v>
      </c>
      <c r="U26" s="51" t="n">
        <v>1954</v>
      </c>
      <c r="V26" s="51" t="n">
        <v>1984</v>
      </c>
      <c r="W26" s="51" t="n">
        <v>2182</v>
      </c>
      <c r="X26" s="51" t="n">
        <v>2222</v>
      </c>
      <c r="Y26" s="51" t="n">
        <v>2201</v>
      </c>
      <c r="Z26" s="51" t="n">
        <v>2234</v>
      </c>
      <c r="AB26" s="52">
        <f>H26</f>
        <v/>
      </c>
      <c r="AC26" s="52">
        <f>L26</f>
        <v/>
      </c>
      <c r="AD26" s="52">
        <f>P26</f>
        <v/>
      </c>
      <c r="AE26" s="52">
        <f>T26</f>
        <v/>
      </c>
      <c r="AF26" s="52">
        <f>X26</f>
        <v/>
      </c>
      <c r="AH26" s="49">
        <f>AF26-AE26</f>
        <v/>
      </c>
      <c r="AI26" s="62">
        <f>IFERROR(AH26/ABS(AE26),0)</f>
        <v/>
      </c>
    </row>
    <row r="27" ht="12.75" customHeight="1">
      <c r="C27" s="154" t="inlineStr">
        <is>
          <t>Deferred tax assets</t>
        </is>
      </c>
      <c r="E27" s="51" t="n">
        <v>510</v>
      </c>
      <c r="F27" s="51" t="n">
        <v>491</v>
      </c>
      <c r="G27" s="51" t="n">
        <v>511</v>
      </c>
      <c r="H27" s="51" t="n">
        <v>519</v>
      </c>
      <c r="I27" s="51" t="n">
        <v>528</v>
      </c>
      <c r="J27" s="51" t="n">
        <v>539</v>
      </c>
      <c r="K27" s="51" t="n">
        <v>496</v>
      </c>
      <c r="L27" s="51" t="n">
        <v>582</v>
      </c>
      <c r="M27" s="51" t="n">
        <v>598</v>
      </c>
      <c r="N27" s="51" t="n">
        <v>620</v>
      </c>
      <c r="O27" s="51" t="n">
        <v>701</v>
      </c>
      <c r="P27" s="51" t="n">
        <v>745</v>
      </c>
      <c r="Q27" s="51" t="n">
        <v>749</v>
      </c>
      <c r="R27" s="51" t="n">
        <v>760</v>
      </c>
      <c r="S27" s="51" t="n">
        <v>635</v>
      </c>
      <c r="T27" s="51" t="n">
        <v>615</v>
      </c>
      <c r="U27" s="51" t="n">
        <v>607</v>
      </c>
      <c r="V27" s="51" t="n">
        <v>551</v>
      </c>
      <c r="W27" s="51" t="n">
        <v>101</v>
      </c>
      <c r="X27" s="51" t="n">
        <v>98</v>
      </c>
      <c r="Y27" s="51" t="n">
        <v>96</v>
      </c>
      <c r="Z27" s="51" t="n">
        <v>86</v>
      </c>
      <c r="AB27" s="52">
        <f>H27</f>
        <v/>
      </c>
      <c r="AC27" s="52">
        <f>L27</f>
        <v/>
      </c>
      <c r="AD27" s="52">
        <f>P27</f>
        <v/>
      </c>
      <c r="AE27" s="52">
        <f>T27</f>
        <v/>
      </c>
      <c r="AF27" s="52">
        <f>X27</f>
        <v/>
      </c>
      <c r="AH27" s="49">
        <f>AF27-AE27</f>
        <v/>
      </c>
      <c r="AI27" s="62">
        <f>IFERROR(AH27/ABS(AE27),0)</f>
        <v/>
      </c>
    </row>
    <row r="28" ht="12.75" customHeight="1">
      <c r="C28" s="154" t="inlineStr">
        <is>
          <t>Other long-term assets</t>
        </is>
      </c>
      <c r="E28" s="51" t="n">
        <v>1454</v>
      </c>
      <c r="F28" s="51" t="n">
        <v>1496</v>
      </c>
      <c r="G28" s="51" t="n">
        <v>1492</v>
      </c>
      <c r="H28" s="51" t="n">
        <v>1960</v>
      </c>
      <c r="I28" s="51" t="n">
        <v>1951</v>
      </c>
      <c r="J28" s="51" t="n">
        <v>1784</v>
      </c>
      <c r="K28" s="51" t="n">
        <v>1715</v>
      </c>
      <c r="L28" s="51" t="n">
        <v>1323</v>
      </c>
      <c r="M28" s="51" t="n">
        <v>1331</v>
      </c>
      <c r="N28" s="51" t="n">
        <v>1377</v>
      </c>
      <c r="O28" s="51" t="n">
        <v>1355</v>
      </c>
      <c r="P28" s="51" t="n">
        <v>1034</v>
      </c>
      <c r="Q28" s="51" t="n">
        <v>1052</v>
      </c>
      <c r="R28" s="51" t="n">
        <v>1049</v>
      </c>
      <c r="S28" s="51" t="n">
        <v>1063</v>
      </c>
      <c r="T28" s="51" t="n">
        <v>1057</v>
      </c>
      <c r="U28" s="51" t="n">
        <v>1099</v>
      </c>
      <c r="V28" s="51" t="n">
        <v>1148</v>
      </c>
      <c r="W28" s="51" t="n">
        <v>1401</v>
      </c>
      <c r="X28" s="51" t="n">
        <v>1479</v>
      </c>
      <c r="Y28" s="51" t="n">
        <v>1467</v>
      </c>
      <c r="Z28" s="51" t="n">
        <v>1457</v>
      </c>
      <c r="AB28" s="52">
        <f>H28</f>
        <v/>
      </c>
      <c r="AC28" s="52">
        <f>L28</f>
        <v/>
      </c>
      <c r="AD28" s="52">
        <f>P28</f>
        <v/>
      </c>
      <c r="AE28" s="52">
        <f>T28</f>
        <v/>
      </c>
      <c r="AF28" s="52">
        <f>X28</f>
        <v/>
      </c>
      <c r="AH28" s="49">
        <f>AF28-AE28</f>
        <v/>
      </c>
      <c r="AI28" s="62">
        <f>IFERROR(AH28/ABS(AE28),0)</f>
        <v/>
      </c>
    </row>
    <row r="29" ht="12.75" customHeight="1" thickBot="1">
      <c r="C29" s="342" t="inlineStr">
        <is>
          <t>Total assets</t>
        </is>
      </c>
      <c r="D29" s="343" t="n"/>
      <c r="E29" s="344">
        <f>SUM(E22:E28)+E19</f>
        <v/>
      </c>
      <c r="F29" s="344">
        <f>SUM(F22:F28)+F19</f>
        <v/>
      </c>
      <c r="G29" s="344">
        <f>SUM(G22:G28)+G19</f>
        <v/>
      </c>
      <c r="H29" s="344">
        <f>SUM(H22:H28)+H19</f>
        <v/>
      </c>
      <c r="I29" s="344">
        <f>SUM(I22:I28)+I19</f>
        <v/>
      </c>
      <c r="J29" s="344">
        <f>SUM(J22:J28)+J19</f>
        <v/>
      </c>
      <c r="K29" s="344">
        <f>SUM(K22:K28)+K19</f>
        <v/>
      </c>
      <c r="L29" s="344">
        <f>SUM(L22:L28)+L19</f>
        <v/>
      </c>
      <c r="M29" s="344">
        <f>SUM(M22:M28)+M19</f>
        <v/>
      </c>
      <c r="N29" s="344">
        <f>SUM(N22:N28)+N19</f>
        <v/>
      </c>
      <c r="O29" s="344">
        <f>SUM(O22:O28)+O19</f>
        <v/>
      </c>
      <c r="P29" s="344">
        <f>SUM(P22:P28)+P19</f>
        <v/>
      </c>
      <c r="Q29" s="344">
        <f>SUM(Q22:Q28)+Q19</f>
        <v/>
      </c>
      <c r="R29" s="344">
        <f>SUM(R22:R28)+R19</f>
        <v/>
      </c>
      <c r="S29" s="344">
        <f>SUM(S22:S28)+S19</f>
        <v/>
      </c>
      <c r="T29" s="344">
        <f>SUM(T22:T28)+T19</f>
        <v/>
      </c>
      <c r="U29" s="344">
        <f>SUM(U22:U28)+U19</f>
        <v/>
      </c>
      <c r="V29" s="344">
        <f>SUM(V22:V28)+V19</f>
        <v/>
      </c>
      <c r="W29" s="344">
        <f>SUM(W22:W28)+W19</f>
        <v/>
      </c>
      <c r="X29" s="344">
        <f>SUM(X22:X28)+X19</f>
        <v/>
      </c>
      <c r="Y29" s="344">
        <f>SUM(Y22:Y28)+Y19</f>
        <v/>
      </c>
      <c r="Z29" s="344">
        <f>SUM(Z22:Z28)+Z19</f>
        <v/>
      </c>
      <c r="AB29" s="344">
        <f>SUM(AB22:AB28)+AB19</f>
        <v/>
      </c>
      <c r="AC29" s="344">
        <f>SUM(AC22:AC28)+AC19</f>
        <v/>
      </c>
      <c r="AD29" s="344">
        <f>SUM(AD22:AD28)+AD19</f>
        <v/>
      </c>
      <c r="AE29" s="344">
        <f>SUM(AE22:AE28)+AE19</f>
        <v/>
      </c>
      <c r="AF29" s="344">
        <f>SUM(AF22:AF28)+AF19</f>
        <v/>
      </c>
      <c r="AH29" s="345">
        <f>AF29-AE29</f>
        <v/>
      </c>
      <c r="AI29" s="346">
        <f>IFERROR(AH29/ABS(AE29),0)</f>
        <v/>
      </c>
    </row>
    <row r="30" hidden="1" ht="15" customHeight="1">
      <c r="C30" s="149" t="inlineStr">
        <is>
          <t>Total assets</t>
        </is>
      </c>
      <c r="E30" s="64" t="n">
        <v>14272</v>
      </c>
      <c r="F30" s="64" t="n">
        <v>14110</v>
      </c>
      <c r="G30" s="64" t="n">
        <v>14081</v>
      </c>
      <c r="H30" s="64" t="n">
        <v>13223</v>
      </c>
      <c r="I30" s="64" t="n">
        <v>13082</v>
      </c>
      <c r="J30" s="64" t="n">
        <v>12270</v>
      </c>
      <c r="K30" s="64" t="n">
        <v>11420</v>
      </c>
      <c r="L30" s="64" t="n">
        <v>11543</v>
      </c>
      <c r="M30" s="64" t="n">
        <v>11046</v>
      </c>
      <c r="N30" s="64" t="n">
        <v>10569</v>
      </c>
      <c r="O30" s="64" t="n">
        <v>10444</v>
      </c>
      <c r="P30" s="64" t="n">
        <v>10008</v>
      </c>
      <c r="Q30" s="64" t="n">
        <v>9944</v>
      </c>
      <c r="R30" s="64" t="n">
        <v>9491</v>
      </c>
      <c r="S30" s="64" t="n">
        <v>8322</v>
      </c>
      <c r="T30" s="64" t="n">
        <v>8365</v>
      </c>
      <c r="U30" s="64" t="n">
        <v>8211</v>
      </c>
      <c r="V30" s="64" t="n">
        <v>8874</v>
      </c>
      <c r="W30" s="64" t="n">
        <v>10068</v>
      </c>
      <c r="X30" s="64" t="n">
        <v>9823</v>
      </c>
      <c r="Y30" s="64" t="n">
        <v>9902</v>
      </c>
      <c r="Z30" s="64" t="n">
        <v>9724</v>
      </c>
      <c r="AB30" s="52">
        <f>H30</f>
        <v/>
      </c>
      <c r="AC30" s="52">
        <f>L30</f>
        <v/>
      </c>
      <c r="AD30" s="52">
        <f>P30</f>
        <v/>
      </c>
      <c r="AE30" s="52">
        <f>T30</f>
        <v/>
      </c>
      <c r="AF30" s="52">
        <f>X30</f>
        <v/>
      </c>
    </row>
    <row r="31" hidden="1" ht="15" customHeight="1">
      <c r="C31" s="149" t="inlineStr">
        <is>
          <t>Check</t>
        </is>
      </c>
      <c r="E31" s="56">
        <f>E29-E30</f>
        <v/>
      </c>
      <c r="F31" s="56">
        <f>F29-F30</f>
        <v/>
      </c>
      <c r="G31" s="56">
        <f>G29-G30</f>
        <v/>
      </c>
      <c r="H31" s="56">
        <f>H29-H30</f>
        <v/>
      </c>
      <c r="I31" s="56">
        <f>I29-I30</f>
        <v/>
      </c>
      <c r="J31" s="56">
        <f>J29-J30</f>
        <v/>
      </c>
      <c r="K31" s="56">
        <f>K29-K30</f>
        <v/>
      </c>
      <c r="L31" s="56">
        <f>L29-L30</f>
        <v/>
      </c>
      <c r="M31" s="56">
        <f>M29-M30</f>
        <v/>
      </c>
      <c r="N31" s="56">
        <f>N29-N30</f>
        <v/>
      </c>
      <c r="O31" s="56">
        <f>O29-O30</f>
        <v/>
      </c>
      <c r="P31" s="56">
        <f>P29-P30</f>
        <v/>
      </c>
      <c r="Q31" s="56">
        <f>Q29-Q30</f>
        <v/>
      </c>
      <c r="R31" s="56">
        <f>R29-R30</f>
        <v/>
      </c>
      <c r="S31" s="56">
        <f>S29-S30</f>
        <v/>
      </c>
      <c r="T31" s="56">
        <f>T29-T30</f>
        <v/>
      </c>
      <c r="U31" s="56">
        <f>U29-U30</f>
        <v/>
      </c>
      <c r="V31" s="56">
        <f>V29-V30</f>
        <v/>
      </c>
      <c r="W31" s="56">
        <f>W29-W30</f>
        <v/>
      </c>
      <c r="X31" s="56">
        <f>X29-X30</f>
        <v/>
      </c>
      <c r="Y31" s="56">
        <f>Y29-Y30</f>
        <v/>
      </c>
      <c r="Z31" s="56">
        <f>Z29-Z30</f>
        <v/>
      </c>
      <c r="AB31" s="66">
        <f>AB29-AB30</f>
        <v/>
      </c>
      <c r="AC31" s="66">
        <f>AC29-AC30</f>
        <v/>
      </c>
      <c r="AD31" s="66">
        <f>AD29-AD30</f>
        <v/>
      </c>
      <c r="AE31" s="66">
        <f>AE29-AE30</f>
        <v/>
      </c>
      <c r="AF31" s="66">
        <f>AF29-AF30</f>
        <v/>
      </c>
    </row>
    <row r="32" ht="4.5" customHeight="1"/>
    <row r="33" ht="12.75" customHeight="1">
      <c r="C33" s="100" t="inlineStr">
        <is>
          <t>Liabilities and Equity:</t>
        </is>
      </c>
    </row>
    <row r="34" ht="12.75" customHeight="1">
      <c r="C34" s="100" t="inlineStr">
        <is>
          <t>Current liabilities:</t>
        </is>
      </c>
    </row>
    <row r="35" ht="12.75" customHeight="1">
      <c r="C35" s="154" t="inlineStr">
        <is>
          <t>Short-term debt and current portion of long-term debt</t>
        </is>
      </c>
      <c r="E35" s="50" t="n">
        <v>678</v>
      </c>
      <c r="F35" s="50" t="n">
        <v>642</v>
      </c>
      <c r="G35" s="50" t="n">
        <v>646</v>
      </c>
      <c r="H35" s="50" t="n">
        <v>650</v>
      </c>
      <c r="I35" s="50" t="n">
        <v>1450</v>
      </c>
      <c r="J35" s="50" t="n">
        <v>1108</v>
      </c>
      <c r="K35" s="50" t="n">
        <v>1070</v>
      </c>
      <c r="L35" s="50" t="n">
        <v>860</v>
      </c>
      <c r="M35" s="50" t="n">
        <v>553</v>
      </c>
      <c r="N35" s="50" t="n">
        <v>891</v>
      </c>
      <c r="O35" s="50" t="n">
        <v>870</v>
      </c>
      <c r="P35" s="50" t="n">
        <v>567</v>
      </c>
      <c r="Q35" s="50" t="n">
        <v>405</v>
      </c>
      <c r="R35" s="50" t="n">
        <v>129</v>
      </c>
      <c r="S35" s="50" t="n">
        <v>519</v>
      </c>
      <c r="T35" s="50" t="n">
        <v>585</v>
      </c>
      <c r="U35" s="50" t="n">
        <v>599</v>
      </c>
      <c r="V35" s="50" t="n">
        <v>458</v>
      </c>
      <c r="W35" s="50" t="n">
        <v>354</v>
      </c>
      <c r="X35" s="50" t="n">
        <v>231</v>
      </c>
      <c r="Y35" s="50" t="n">
        <v>165</v>
      </c>
      <c r="Z35" s="50" t="n">
        <v>70</v>
      </c>
      <c r="AB35" s="49">
        <f>H35</f>
        <v/>
      </c>
      <c r="AC35" s="49">
        <f>L35</f>
        <v/>
      </c>
      <c r="AD35" s="49">
        <f>P35</f>
        <v/>
      </c>
      <c r="AE35" s="49">
        <f>T35</f>
        <v/>
      </c>
      <c r="AF35" s="49">
        <f>X35</f>
        <v/>
      </c>
      <c r="AH35" s="49">
        <f>AF35-AE35</f>
        <v/>
      </c>
      <c r="AI35" s="62">
        <f>IFERROR(AH35/ABS(AE35),0)</f>
        <v/>
      </c>
    </row>
    <row r="36" ht="12.75" customHeight="1">
      <c r="C36" s="154" t="inlineStr">
        <is>
          <t>Financing liability, tariff receivables monetization</t>
        </is>
      </c>
      <c r="E36" s="51" t="n">
        <v>0</v>
      </c>
      <c r="F36" s="51" t="n">
        <v>0</v>
      </c>
      <c r="G36" s="51" t="n">
        <v>0</v>
      </c>
      <c r="H36" s="51" t="n">
        <v>0</v>
      </c>
      <c r="I36" s="51" t="n">
        <v>0</v>
      </c>
      <c r="J36" s="51" t="n">
        <v>0</v>
      </c>
      <c r="K36" s="51" t="n">
        <v>0</v>
      </c>
      <c r="L36" s="51" t="n">
        <v>0</v>
      </c>
      <c r="M36" s="51" t="n">
        <v>0</v>
      </c>
      <c r="N36" s="51" t="n">
        <v>0</v>
      </c>
      <c r="O36" s="51" t="n">
        <v>0</v>
      </c>
      <c r="P36" s="51" t="n">
        <v>0</v>
      </c>
      <c r="Q36" s="51" t="n">
        <v>0</v>
      </c>
      <c r="R36" s="51" t="n">
        <v>0</v>
      </c>
      <c r="S36" s="51" t="n">
        <v>0</v>
      </c>
      <c r="T36" s="51" t="n">
        <v>0</v>
      </c>
      <c r="U36" s="51" t="n">
        <v>0</v>
      </c>
      <c r="V36" s="51" t="n">
        <v>0</v>
      </c>
      <c r="W36" s="51" t="n">
        <v>0</v>
      </c>
      <c r="X36" s="51" t="n">
        <v>0</v>
      </c>
      <c r="Y36" s="51" t="n">
        <v>0</v>
      </c>
      <c r="Z36" s="51" t="n">
        <v>90</v>
      </c>
      <c r="AB36" s="52">
        <f>H36</f>
        <v/>
      </c>
      <c r="AC36" s="52">
        <f>L36</f>
        <v/>
      </c>
      <c r="AD36" s="52">
        <f>P36</f>
        <v/>
      </c>
      <c r="AE36" s="52">
        <f>T36</f>
        <v/>
      </c>
      <c r="AF36" s="52">
        <f>X36</f>
        <v/>
      </c>
      <c r="AH36" s="49">
        <f>AF36-AE36</f>
        <v/>
      </c>
      <c r="AI36" s="62">
        <f>IFERROR(AH36/ABS(AE36),0)</f>
        <v/>
      </c>
    </row>
    <row r="37" ht="12.75" customHeight="1">
      <c r="C37" s="154" t="inlineStr">
        <is>
          <t>Accounts payable</t>
        </is>
      </c>
      <c r="E37" s="51" t="n">
        <v>932</v>
      </c>
      <c r="F37" s="51" t="n">
        <v>935</v>
      </c>
      <c r="G37" s="51" t="n">
        <v>1032</v>
      </c>
      <c r="H37" s="51" t="n">
        <v>1069</v>
      </c>
      <c r="I37" s="51" t="n">
        <v>1183</v>
      </c>
      <c r="J37" s="51" t="n">
        <v>1207</v>
      </c>
      <c r="K37" s="51" t="n">
        <v>1213</v>
      </c>
      <c r="L37" s="51" t="n">
        <v>1331</v>
      </c>
      <c r="M37" s="51" t="n">
        <v>1301</v>
      </c>
      <c r="N37" s="51" t="n">
        <v>1041</v>
      </c>
      <c r="O37" s="51" t="n">
        <v>1031</v>
      </c>
      <c r="P37" s="51" t="n">
        <v>1044</v>
      </c>
      <c r="Q37" s="51" t="n">
        <v>1046</v>
      </c>
      <c r="R37" s="51" t="n">
        <v>936</v>
      </c>
      <c r="S37" s="51" t="n">
        <v>895</v>
      </c>
      <c r="T37" s="51" t="n">
        <v>1023</v>
      </c>
      <c r="U37" s="51" t="n">
        <v>1120</v>
      </c>
      <c r="V37" s="51" t="n">
        <v>1080</v>
      </c>
      <c r="W37" s="51" t="n">
        <v>1481</v>
      </c>
      <c r="X37" s="51" t="n">
        <v>1498</v>
      </c>
      <c r="Y37" s="51" t="n">
        <v>1548</v>
      </c>
      <c r="Z37" s="51" t="n">
        <v>1456</v>
      </c>
      <c r="AB37" s="52">
        <f>H37</f>
        <v/>
      </c>
      <c r="AC37" s="52">
        <f>L37</f>
        <v/>
      </c>
      <c r="AD37" s="52">
        <f>P37</f>
        <v/>
      </c>
      <c r="AE37" s="52">
        <f>T37</f>
        <v/>
      </c>
      <c r="AF37" s="52">
        <f>X37</f>
        <v/>
      </c>
      <c r="AH37" s="49">
        <f>AF37-AE37</f>
        <v/>
      </c>
      <c r="AI37" s="62">
        <f>IFERROR(AH37/ABS(AE37),0)</f>
        <v/>
      </c>
    </row>
    <row r="38" ht="12.75" customHeight="1">
      <c r="C38" s="154" t="inlineStr">
        <is>
          <t>Accrued compensation and benefits costs</t>
        </is>
      </c>
      <c r="E38" s="51" t="n">
        <v>241</v>
      </c>
      <c r="F38" s="51" t="n">
        <v>263</v>
      </c>
      <c r="G38" s="51" t="n">
        <v>262</v>
      </c>
      <c r="H38" s="51" t="n">
        <v>239</v>
      </c>
      <c r="I38" s="51" t="n">
        <v>258</v>
      </c>
      <c r="J38" s="51" t="n">
        <v>233</v>
      </c>
      <c r="K38" s="51" t="n">
        <v>250</v>
      </c>
      <c r="L38" s="51" t="n">
        <v>258</v>
      </c>
      <c r="M38" s="51" t="n">
        <v>243</v>
      </c>
      <c r="N38" s="51" t="n">
        <v>251</v>
      </c>
      <c r="O38" s="51" t="n">
        <v>276</v>
      </c>
      <c r="P38" s="51" t="n">
        <v>306</v>
      </c>
      <c r="Q38" s="51" t="n">
        <v>213</v>
      </c>
      <c r="R38" s="51" t="n">
        <v>205</v>
      </c>
      <c r="S38" s="51" t="n">
        <v>227</v>
      </c>
      <c r="T38" s="51" t="n">
        <v>227</v>
      </c>
      <c r="U38" s="51" t="n">
        <v>199</v>
      </c>
      <c r="V38" s="51" t="n">
        <v>182</v>
      </c>
      <c r="W38" s="51" t="n">
        <v>247</v>
      </c>
      <c r="X38" s="51" t="n">
        <v>235</v>
      </c>
      <c r="Y38" s="51" t="n">
        <v>223</v>
      </c>
      <c r="Z38" s="51" t="n">
        <v>246</v>
      </c>
      <c r="AB38" s="52">
        <f>H38</f>
        <v/>
      </c>
      <c r="AC38" s="52">
        <f>L38</f>
        <v/>
      </c>
      <c r="AD38" s="52">
        <f>P38</f>
        <v/>
      </c>
      <c r="AE38" s="52">
        <f>T38</f>
        <v/>
      </c>
      <c r="AF38" s="52">
        <f>X38</f>
        <v/>
      </c>
      <c r="AH38" s="49">
        <f>AF38-AE38</f>
        <v/>
      </c>
      <c r="AI38" s="62">
        <f>IFERROR(AH38/ABS(AE38),0)</f>
        <v/>
      </c>
    </row>
    <row r="39" ht="12.75" customHeight="1">
      <c r="C39" s="154" t="inlineStr">
        <is>
          <t>Accrued expenses and other current liabilities</t>
        </is>
      </c>
      <c r="E39" s="51" t="n">
        <v>794</v>
      </c>
      <c r="F39" s="51" t="n">
        <v>851</v>
      </c>
      <c r="G39" s="51" t="n">
        <v>844</v>
      </c>
      <c r="H39" s="51" t="n">
        <v>871</v>
      </c>
      <c r="I39" s="51" t="n">
        <v>878</v>
      </c>
      <c r="J39" s="51" t="n">
        <v>867</v>
      </c>
      <c r="K39" s="51" t="n">
        <v>810</v>
      </c>
      <c r="L39" s="51" t="n">
        <v>881</v>
      </c>
      <c r="M39" s="51" t="n">
        <v>782</v>
      </c>
      <c r="N39" s="51" t="n">
        <v>766</v>
      </c>
      <c r="O39" s="51" t="n">
        <v>829</v>
      </c>
      <c r="P39" s="51" t="n">
        <v>862</v>
      </c>
      <c r="Q39" s="51" t="n">
        <v>774</v>
      </c>
      <c r="R39" s="51" t="n">
        <v>776</v>
      </c>
      <c r="S39" s="51" t="n">
        <v>752</v>
      </c>
      <c r="T39" s="51" t="n">
        <v>784</v>
      </c>
      <c r="U39" s="51" t="n">
        <v>721</v>
      </c>
      <c r="V39" s="51" t="n">
        <v>706</v>
      </c>
      <c r="W39" s="51" t="n">
        <v>1317</v>
      </c>
      <c r="X39" s="51" t="n">
        <v>1258</v>
      </c>
      <c r="Y39" s="51" t="n">
        <v>1266</v>
      </c>
      <c r="Z39" s="51" t="n">
        <v>1264</v>
      </c>
      <c r="AB39" s="52">
        <f>H39</f>
        <v/>
      </c>
      <c r="AC39" s="52">
        <f>L39</f>
        <v/>
      </c>
      <c r="AD39" s="52">
        <f>P39</f>
        <v/>
      </c>
      <c r="AE39" s="52">
        <f>T39</f>
        <v/>
      </c>
      <c r="AF39" s="52">
        <f>X39</f>
        <v/>
      </c>
      <c r="AH39" s="49">
        <f>AF39-AE39</f>
        <v/>
      </c>
      <c r="AI39" s="62">
        <f>IFERROR(AH39/ABS(AE39),0)</f>
        <v/>
      </c>
    </row>
    <row r="40" ht="12.75" customHeight="1">
      <c r="C40" s="338" t="inlineStr">
        <is>
          <t>Total current liabilities</t>
        </is>
      </c>
      <c r="D40" s="339" t="n"/>
      <c r="E40" s="340">
        <f>SUM(E35:E39)</f>
        <v/>
      </c>
      <c r="F40" s="340">
        <f>SUM(F35:F39)</f>
        <v/>
      </c>
      <c r="G40" s="340">
        <f>SUM(G35:G39)</f>
        <v/>
      </c>
      <c r="H40" s="340">
        <f>SUM(H35:H39)</f>
        <v/>
      </c>
      <c r="I40" s="340">
        <f>SUM(I35:I39)</f>
        <v/>
      </c>
      <c r="J40" s="340">
        <f>SUM(J35:J39)</f>
        <v/>
      </c>
      <c r="K40" s="340">
        <f>SUM(K35:K39)</f>
        <v/>
      </c>
      <c r="L40" s="340">
        <f>SUM(L35:L39)</f>
        <v/>
      </c>
      <c r="M40" s="340">
        <f>SUM(M35:M39)</f>
        <v/>
      </c>
      <c r="N40" s="340">
        <f>SUM(N35:N39)</f>
        <v/>
      </c>
      <c r="O40" s="340">
        <f>SUM(O35:O39)</f>
        <v/>
      </c>
      <c r="P40" s="340">
        <f>SUM(P35:P39)</f>
        <v/>
      </c>
      <c r="Q40" s="340">
        <f>SUM(Q35:Q39)</f>
        <v/>
      </c>
      <c r="R40" s="340">
        <f>SUM(R35:R39)</f>
        <v/>
      </c>
      <c r="S40" s="340">
        <f>SUM(S35:S39)</f>
        <v/>
      </c>
      <c r="T40" s="340">
        <f>SUM(T35:T39)</f>
        <v/>
      </c>
      <c r="U40" s="340">
        <f>SUM(U35:U39)</f>
        <v/>
      </c>
      <c r="V40" s="340">
        <f>SUM(V35:V39)</f>
        <v/>
      </c>
      <c r="W40" s="340">
        <f>SUM(W35:W39)</f>
        <v/>
      </c>
      <c r="X40" s="340">
        <f>SUM(X35:X39)</f>
        <v/>
      </c>
      <c r="Y40" s="340">
        <f>SUM(Y35:Y39)</f>
        <v/>
      </c>
      <c r="Z40" s="340">
        <f>SUM(Z35:Z39)</f>
        <v/>
      </c>
      <c r="AB40" s="340">
        <f>SUM(AB35:AB39)</f>
        <v/>
      </c>
      <c r="AC40" s="340">
        <f>SUM(AC35:AC39)</f>
        <v/>
      </c>
      <c r="AD40" s="340">
        <f>SUM(AD35:AD39)</f>
        <v/>
      </c>
      <c r="AE40" s="340">
        <f>SUM(AE35:AE39)</f>
        <v/>
      </c>
      <c r="AF40" s="340">
        <f>SUM(AF35:AF39)</f>
        <v/>
      </c>
      <c r="AH40" s="340">
        <f>AF40-AE40</f>
        <v/>
      </c>
      <c r="AI40" s="341">
        <f>IFERROR(AH40/ABS(AE40),0)</f>
        <v/>
      </c>
    </row>
    <row r="41" hidden="1" ht="15" customHeight="1">
      <c r="C41" s="149" t="inlineStr">
        <is>
          <t>Total current liabilities</t>
        </is>
      </c>
      <c r="E41" s="64" t="n">
        <v>2645</v>
      </c>
      <c r="F41" s="64" t="n">
        <v>2691</v>
      </c>
      <c r="G41" s="64" t="n">
        <v>2784</v>
      </c>
      <c r="H41" s="64" t="n">
        <v>2829</v>
      </c>
      <c r="I41" s="64" t="n">
        <v>3769</v>
      </c>
      <c r="J41" s="64" t="n">
        <v>3415</v>
      </c>
      <c r="K41" s="64" t="n">
        <v>3343</v>
      </c>
      <c r="L41" s="64" t="n">
        <v>3330</v>
      </c>
      <c r="M41" s="64" t="n">
        <v>2879</v>
      </c>
      <c r="N41" s="64" t="n">
        <v>2949</v>
      </c>
      <c r="O41" s="64" t="n">
        <v>3006</v>
      </c>
      <c r="P41" s="64" t="n">
        <v>2779</v>
      </c>
      <c r="Q41" s="64" t="n">
        <v>2438</v>
      </c>
      <c r="R41" s="64" t="n">
        <v>2046</v>
      </c>
      <c r="S41" s="64" t="n">
        <v>2393</v>
      </c>
      <c r="T41" s="64" t="n">
        <v>2619</v>
      </c>
      <c r="U41" s="64" t="n">
        <v>2639</v>
      </c>
      <c r="V41" s="64" t="n">
        <v>2426</v>
      </c>
      <c r="W41" s="64" t="n">
        <v>3399</v>
      </c>
      <c r="X41" s="64" t="n">
        <v>3222</v>
      </c>
      <c r="Y41" s="64" t="n">
        <v>3202</v>
      </c>
      <c r="Z41" s="64" t="n">
        <v>3126</v>
      </c>
      <c r="AB41" s="52">
        <f>H41</f>
        <v/>
      </c>
      <c r="AC41" s="52">
        <f>L41</f>
        <v/>
      </c>
      <c r="AD41" s="52">
        <f>P41</f>
        <v/>
      </c>
      <c r="AE41" s="52">
        <f>T41</f>
        <v/>
      </c>
      <c r="AF41" s="52">
        <f>X41</f>
        <v/>
      </c>
    </row>
    <row r="42" hidden="1" ht="15" customHeight="1">
      <c r="C42" s="149" t="inlineStr">
        <is>
          <t>Check</t>
        </is>
      </c>
      <c r="E42" s="55">
        <f>E40-E41</f>
        <v/>
      </c>
      <c r="F42" s="55">
        <f>F40-F41</f>
        <v/>
      </c>
      <c r="G42" s="55">
        <f>G40-G41</f>
        <v/>
      </c>
      <c r="H42" s="55">
        <f>H40-H41</f>
        <v/>
      </c>
      <c r="I42" s="55">
        <f>I40-I41</f>
        <v/>
      </c>
      <c r="J42" s="55">
        <f>J40-J41</f>
        <v/>
      </c>
      <c r="K42" s="55">
        <f>K40-K41</f>
        <v/>
      </c>
      <c r="L42" s="55">
        <f>L40-L41</f>
        <v/>
      </c>
      <c r="M42" s="55">
        <f>M40-M41</f>
        <v/>
      </c>
      <c r="N42" s="55">
        <f>N40-N41</f>
        <v/>
      </c>
      <c r="O42" s="55">
        <f>O40-O41</f>
        <v/>
      </c>
      <c r="P42" s="55">
        <f>P40-P41</f>
        <v/>
      </c>
      <c r="Q42" s="55">
        <f>Q40-Q41</f>
        <v/>
      </c>
      <c r="R42" s="55">
        <f>R40-R41</f>
        <v/>
      </c>
      <c r="S42" s="55">
        <f>S40-S41</f>
        <v/>
      </c>
      <c r="T42" s="55">
        <f>T40-T41</f>
        <v/>
      </c>
      <c r="U42" s="55">
        <f>U40-U41</f>
        <v/>
      </c>
      <c r="V42" s="55">
        <f>V40-V41</f>
        <v/>
      </c>
      <c r="W42" s="55">
        <f>W40-W41</f>
        <v/>
      </c>
      <c r="X42" s="55">
        <f>X40-X41</f>
        <v/>
      </c>
      <c r="Y42" s="55">
        <f>Y40-Y41</f>
        <v/>
      </c>
      <c r="Z42" s="55">
        <f>Z40-Z41</f>
        <v/>
      </c>
      <c r="AB42" s="65">
        <f>AB40-AB41</f>
        <v/>
      </c>
      <c r="AC42" s="65">
        <f>AC40-AC41</f>
        <v/>
      </c>
      <c r="AD42" s="65">
        <f>AD40-AD41</f>
        <v/>
      </c>
      <c r="AE42" s="65">
        <f>AE40-AE41</f>
        <v/>
      </c>
      <c r="AF42" s="65">
        <f>AF40-AF41</f>
        <v/>
      </c>
    </row>
    <row r="43" ht="12.75" customHeight="1">
      <c r="C43" s="154" t="inlineStr">
        <is>
          <t>Long-term debt</t>
        </is>
      </c>
      <c r="E43" s="50" t="n">
        <v>3674</v>
      </c>
      <c r="F43" s="50" t="n">
        <v>3597</v>
      </c>
      <c r="G43" s="50" t="n">
        <v>3673</v>
      </c>
      <c r="H43" s="50" t="n">
        <v>3596</v>
      </c>
      <c r="I43" s="50" t="n">
        <v>2821</v>
      </c>
      <c r="J43" s="50" t="n">
        <v>2764</v>
      </c>
      <c r="K43" s="50" t="n">
        <v>2676</v>
      </c>
      <c r="L43" s="50" t="n">
        <v>2866</v>
      </c>
      <c r="M43" s="50" t="n">
        <v>2726</v>
      </c>
      <c r="N43" s="50" t="n">
        <v>2225</v>
      </c>
      <c r="O43" s="50" t="n">
        <v>2739</v>
      </c>
      <c r="P43" s="50" t="n">
        <v>2710</v>
      </c>
      <c r="Q43" s="50" t="n">
        <v>3199</v>
      </c>
      <c r="R43" s="50" t="n">
        <v>3174</v>
      </c>
      <c r="S43" s="50" t="n">
        <v>2752</v>
      </c>
      <c r="T43" s="50" t="n">
        <v>2814</v>
      </c>
      <c r="U43" s="50" t="n">
        <v>2699</v>
      </c>
      <c r="V43" s="50" t="n">
        <v>3484</v>
      </c>
      <c r="W43" s="50" t="n">
        <v>4052</v>
      </c>
      <c r="X43" s="50" t="n">
        <v>4016</v>
      </c>
      <c r="Y43" s="50" t="n">
        <v>4281</v>
      </c>
      <c r="Z43" s="50" t="n">
        <v>4153</v>
      </c>
      <c r="AB43" s="49">
        <f>H43</f>
        <v/>
      </c>
      <c r="AC43" s="49">
        <f>L43</f>
        <v/>
      </c>
      <c r="AD43" s="49">
        <f>P43</f>
        <v/>
      </c>
      <c r="AE43" s="49">
        <f>T43</f>
        <v/>
      </c>
      <c r="AF43" s="49">
        <f>X43</f>
        <v/>
      </c>
      <c r="AH43" s="49">
        <f>AF43-AE43</f>
        <v/>
      </c>
      <c r="AI43" s="62">
        <f>IFERROR(AH43/ABS(AE43),0)</f>
        <v/>
      </c>
    </row>
    <row r="44" ht="12.75" customHeight="1">
      <c r="C44" s="154" t="inlineStr">
        <is>
          <t>Pension and other benefit liabilities</t>
        </is>
      </c>
      <c r="E44" s="51" t="n">
        <v>1473</v>
      </c>
      <c r="F44" s="51" t="n">
        <v>1436</v>
      </c>
      <c r="G44" s="51" t="n">
        <v>1381</v>
      </c>
      <c r="H44" s="51" t="n">
        <v>1373</v>
      </c>
      <c r="I44" s="51" t="n">
        <v>1359</v>
      </c>
      <c r="J44" s="51" t="n">
        <v>1310</v>
      </c>
      <c r="K44" s="51" t="n">
        <v>1298</v>
      </c>
      <c r="L44" s="51" t="n">
        <v>1175</v>
      </c>
      <c r="M44" s="51" t="n">
        <v>1168</v>
      </c>
      <c r="N44" s="51" t="n">
        <v>1206</v>
      </c>
      <c r="O44" s="51" t="n">
        <v>1131</v>
      </c>
      <c r="P44" s="51" t="n">
        <v>1216</v>
      </c>
      <c r="Q44" s="51" t="n">
        <v>1183</v>
      </c>
      <c r="R44" s="51" t="n">
        <v>1180</v>
      </c>
      <c r="S44" s="51" t="n">
        <v>1126</v>
      </c>
      <c r="T44" s="51" t="n">
        <v>1088</v>
      </c>
      <c r="U44" s="51" t="n">
        <v>1077</v>
      </c>
      <c r="V44" s="51" t="n">
        <v>1083</v>
      </c>
      <c r="W44" s="51" t="n">
        <v>1150</v>
      </c>
      <c r="X44" s="51" t="n">
        <v>1068</v>
      </c>
      <c r="Y44" s="51" t="n">
        <v>1037</v>
      </c>
      <c r="Z44" s="51" t="n">
        <v>1027</v>
      </c>
      <c r="AB44" s="52">
        <f>H44</f>
        <v/>
      </c>
      <c r="AC44" s="52">
        <f>L44</f>
        <v/>
      </c>
      <c r="AD44" s="52">
        <f>P44</f>
        <v/>
      </c>
      <c r="AE44" s="52">
        <f>T44</f>
        <v/>
      </c>
      <c r="AF44" s="52">
        <f>X44</f>
        <v/>
      </c>
      <c r="AH44" s="49">
        <f>AF44-AE44</f>
        <v/>
      </c>
      <c r="AI44" s="62">
        <f>IFERROR(AH44/ABS(AE44),0)</f>
        <v/>
      </c>
    </row>
    <row r="45" ht="12.75" customHeight="1">
      <c r="C45" s="154" t="inlineStr">
        <is>
          <t>Post-retirement medical benefits</t>
        </is>
      </c>
      <c r="E45" s="51" t="n">
        <v>339</v>
      </c>
      <c r="F45" s="51" t="n">
        <v>340</v>
      </c>
      <c r="G45" s="51" t="n">
        <v>333</v>
      </c>
      <c r="H45" s="51" t="n">
        <v>277</v>
      </c>
      <c r="I45" s="51" t="n">
        <v>247</v>
      </c>
      <c r="J45" s="51" t="n">
        <v>242</v>
      </c>
      <c r="K45" s="51" t="n">
        <v>209</v>
      </c>
      <c r="L45" s="51" t="n">
        <v>184</v>
      </c>
      <c r="M45" s="51" t="n">
        <v>182</v>
      </c>
      <c r="N45" s="51" t="n">
        <v>179</v>
      </c>
      <c r="O45" s="51" t="n">
        <v>175</v>
      </c>
      <c r="P45" s="51" t="n">
        <v>171</v>
      </c>
      <c r="Q45" s="51" t="n">
        <v>167</v>
      </c>
      <c r="R45" s="51" t="n">
        <v>164</v>
      </c>
      <c r="S45" s="51" t="n">
        <v>166</v>
      </c>
      <c r="T45" s="51" t="n">
        <v>154</v>
      </c>
      <c r="U45" s="51" t="n">
        <v>152</v>
      </c>
      <c r="V45" s="51" t="n">
        <v>153</v>
      </c>
      <c r="W45" s="51" t="n">
        <v>168</v>
      </c>
      <c r="X45" s="51" t="n">
        <v>159</v>
      </c>
      <c r="Y45" s="51" t="n">
        <v>156</v>
      </c>
      <c r="Z45" s="51" t="n">
        <v>148</v>
      </c>
      <c r="AB45" s="52">
        <f>H45</f>
        <v/>
      </c>
      <c r="AC45" s="52">
        <f>L45</f>
        <v/>
      </c>
      <c r="AD45" s="52">
        <f>P45</f>
        <v/>
      </c>
      <c r="AE45" s="52">
        <f>T45</f>
        <v/>
      </c>
      <c r="AF45" s="52">
        <f>X45</f>
        <v/>
      </c>
      <c r="AH45" s="49">
        <f>AF45-AE45</f>
        <v/>
      </c>
      <c r="AI45" s="62">
        <f>IFERROR(AH45/ABS(AE45),0)</f>
        <v/>
      </c>
    </row>
    <row r="46" ht="12.75" customHeight="1">
      <c r="C46" s="154" t="inlineStr">
        <is>
          <t>Other long-term liabilities</t>
        </is>
      </c>
      <c r="E46" s="51" t="n">
        <v>498</v>
      </c>
      <c r="F46" s="51" t="n">
        <v>537</v>
      </c>
      <c r="G46" s="51" t="n">
        <v>491</v>
      </c>
      <c r="H46" s="51" t="n">
        <v>481</v>
      </c>
      <c r="I46" s="51" t="n">
        <v>473</v>
      </c>
      <c r="J46" s="51" t="n">
        <v>433</v>
      </c>
      <c r="K46" s="51" t="n">
        <v>416</v>
      </c>
      <c r="L46" s="51" t="n">
        <v>411</v>
      </c>
      <c r="M46" s="51" t="n">
        <v>400</v>
      </c>
      <c r="N46" s="51" t="n">
        <v>394</v>
      </c>
      <c r="O46" s="51" t="n">
        <v>371</v>
      </c>
      <c r="P46" s="51" t="n">
        <v>360</v>
      </c>
      <c r="Q46" s="51" t="n">
        <v>352</v>
      </c>
      <c r="R46" s="51" t="n">
        <v>338</v>
      </c>
      <c r="S46" s="51" t="n">
        <v>354</v>
      </c>
      <c r="T46" s="51" t="n">
        <v>386</v>
      </c>
      <c r="U46" s="51" t="n">
        <v>363</v>
      </c>
      <c r="V46" s="51" t="n">
        <v>377</v>
      </c>
      <c r="W46" s="51" t="n">
        <v>705</v>
      </c>
      <c r="X46" s="51" t="n">
        <v>685</v>
      </c>
      <c r="Y46" s="51" t="n">
        <v>697</v>
      </c>
      <c r="Z46" s="51" t="n">
        <v>716</v>
      </c>
      <c r="AB46" s="52">
        <f>H46</f>
        <v/>
      </c>
      <c r="AC46" s="52">
        <f>L46</f>
        <v/>
      </c>
      <c r="AD46" s="52">
        <f>P46</f>
        <v/>
      </c>
      <c r="AE46" s="52">
        <f>T46</f>
        <v/>
      </c>
      <c r="AF46" s="52">
        <f>X46</f>
        <v/>
      </c>
      <c r="AH46" s="49">
        <f>AF46-AE46</f>
        <v/>
      </c>
      <c r="AI46" s="62">
        <f>IFERROR(AH46/ABS(AE46),0)</f>
        <v/>
      </c>
    </row>
    <row r="47" ht="12.75" customHeight="1" thickBot="1">
      <c r="C47" s="342" t="inlineStr">
        <is>
          <t>Total liabilities</t>
        </is>
      </c>
      <c r="D47" s="343" t="n"/>
      <c r="E47" s="344">
        <f>SUM(E43:E46)+E40</f>
        <v/>
      </c>
      <c r="F47" s="344">
        <f>SUM(F43:F46)+F40</f>
        <v/>
      </c>
      <c r="G47" s="344">
        <f>SUM(G43:G46)+G40</f>
        <v/>
      </c>
      <c r="H47" s="344">
        <f>SUM(H43:H46)+H40</f>
        <v/>
      </c>
      <c r="I47" s="344">
        <f>SUM(I43:I46)+I40</f>
        <v/>
      </c>
      <c r="J47" s="344">
        <f>SUM(J43:J46)+J40</f>
        <v/>
      </c>
      <c r="K47" s="344">
        <f>SUM(K43:K46)+K40</f>
        <v/>
      </c>
      <c r="L47" s="344">
        <f>SUM(L43:L46)+L40</f>
        <v/>
      </c>
      <c r="M47" s="344">
        <f>SUM(M43:M46)+M40</f>
        <v/>
      </c>
      <c r="N47" s="344">
        <f>SUM(N43:N46)+N40</f>
        <v/>
      </c>
      <c r="O47" s="344">
        <f>SUM(O43:O46)+O40</f>
        <v/>
      </c>
      <c r="P47" s="344">
        <f>SUM(P43:P46)+P40</f>
        <v/>
      </c>
      <c r="Q47" s="344">
        <f>SUM(Q43:Q46)+Q40</f>
        <v/>
      </c>
      <c r="R47" s="344">
        <f>SUM(R43:R46)+R40</f>
        <v/>
      </c>
      <c r="S47" s="344">
        <f>SUM(S43:S46)+S40</f>
        <v/>
      </c>
      <c r="T47" s="344">
        <f>SUM(T43:T46)+T40</f>
        <v/>
      </c>
      <c r="U47" s="344">
        <f>SUM(U43:U46)+U40</f>
        <v/>
      </c>
      <c r="V47" s="344">
        <f>SUM(V43:V46)+V40</f>
        <v/>
      </c>
      <c r="W47" s="344">
        <f>SUM(W43:W46)+W40</f>
        <v/>
      </c>
      <c r="X47" s="344">
        <f>SUM(X43:X46)+X40</f>
        <v/>
      </c>
      <c r="Y47" s="344">
        <f>SUM(Y43:Y46)+Y40</f>
        <v/>
      </c>
      <c r="Z47" s="344">
        <f>SUM(Z43:Z46)+Z40</f>
        <v/>
      </c>
      <c r="AB47" s="344">
        <f>SUM(AB43:AB46)+AB40</f>
        <v/>
      </c>
      <c r="AC47" s="344">
        <f>SUM(AC43:AC46)+AC40</f>
        <v/>
      </c>
      <c r="AD47" s="344">
        <f>SUM(AD43:AD46)+AD40</f>
        <v/>
      </c>
      <c r="AE47" s="344">
        <f>SUM(AE43:AE46)+AE40</f>
        <v/>
      </c>
      <c r="AF47" s="344">
        <f>SUM(AF43:AF46)+AF40</f>
        <v/>
      </c>
      <c r="AH47" s="345">
        <f>AF47-AE47</f>
        <v/>
      </c>
      <c r="AI47" s="346">
        <f>IFERROR(AH47/ABS(AE47),0)</f>
        <v/>
      </c>
    </row>
    <row r="48" hidden="1" ht="15" customHeight="1">
      <c r="C48" s="149" t="inlineStr">
        <is>
          <t>Total liabilities</t>
        </is>
      </c>
      <c r="E48" s="64" t="n">
        <v>8629</v>
      </c>
      <c r="F48" s="64" t="n">
        <v>8601</v>
      </c>
      <c r="G48" s="64" t="n">
        <v>8662</v>
      </c>
      <c r="H48" s="64" t="n">
        <v>8556</v>
      </c>
      <c r="I48" s="64" t="n">
        <v>8669</v>
      </c>
      <c r="J48" s="64" t="n">
        <v>8164</v>
      </c>
      <c r="K48" s="64" t="n">
        <v>7942</v>
      </c>
      <c r="L48" s="64" t="n">
        <v>7966</v>
      </c>
      <c r="M48" s="64" t="n">
        <v>7355</v>
      </c>
      <c r="N48" s="64" t="n">
        <v>6953</v>
      </c>
      <c r="O48" s="64" t="n">
        <v>7422</v>
      </c>
      <c r="P48" s="64" t="n">
        <v>7236</v>
      </c>
      <c r="Q48" s="64" t="n">
        <v>7339</v>
      </c>
      <c r="R48" s="64" t="n">
        <v>6902</v>
      </c>
      <c r="S48" s="64" t="n">
        <v>6791</v>
      </c>
      <c r="T48" s="64" t="n">
        <v>7061</v>
      </c>
      <c r="U48" s="64" t="n">
        <v>6930</v>
      </c>
      <c r="V48" s="64" t="n">
        <v>7523</v>
      </c>
      <c r="W48" s="64" t="n">
        <v>9474</v>
      </c>
      <c r="X48" s="64" t="n">
        <v>9150</v>
      </c>
      <c r="Y48" s="64" t="n">
        <v>9373</v>
      </c>
      <c r="Z48" s="64" t="n">
        <v>9170</v>
      </c>
      <c r="AB48" s="52">
        <f>H48</f>
        <v/>
      </c>
      <c r="AC48" s="52">
        <f>L48</f>
        <v/>
      </c>
      <c r="AD48" s="52">
        <f>P48</f>
        <v/>
      </c>
      <c r="AE48" s="52">
        <f>T48</f>
        <v/>
      </c>
      <c r="AF48" s="52">
        <f>X48</f>
        <v/>
      </c>
    </row>
    <row r="49" hidden="1" ht="15" customHeight="1">
      <c r="C49" s="149" t="inlineStr">
        <is>
          <t>Check</t>
        </is>
      </c>
      <c r="E49" s="55">
        <f>E47-E48</f>
        <v/>
      </c>
      <c r="F49" s="55">
        <f>F47-F48</f>
        <v/>
      </c>
      <c r="G49" s="55">
        <f>G47-G48</f>
        <v/>
      </c>
      <c r="H49" s="55">
        <f>H47-H48</f>
        <v/>
      </c>
      <c r="I49" s="55">
        <f>I47-I48</f>
        <v/>
      </c>
      <c r="J49" s="55">
        <f>J47-J48</f>
        <v/>
      </c>
      <c r="K49" s="55">
        <f>K47-K48</f>
        <v/>
      </c>
      <c r="L49" s="55">
        <f>L47-L48</f>
        <v/>
      </c>
      <c r="M49" s="55">
        <f>M47-M48</f>
        <v/>
      </c>
      <c r="N49" s="55">
        <f>N47-N48</f>
        <v/>
      </c>
      <c r="O49" s="55">
        <f>O47-O48</f>
        <v/>
      </c>
      <c r="P49" s="55">
        <f>P47-P48</f>
        <v/>
      </c>
      <c r="Q49" s="55">
        <f>Q47-Q48</f>
        <v/>
      </c>
      <c r="R49" s="55">
        <f>R47-R48</f>
        <v/>
      </c>
      <c r="S49" s="55">
        <f>S47-S48</f>
        <v/>
      </c>
      <c r="T49" s="55">
        <f>T47-T48</f>
        <v/>
      </c>
      <c r="U49" s="55">
        <f>U47-U48</f>
        <v/>
      </c>
      <c r="V49" s="55">
        <f>V47-V48</f>
        <v/>
      </c>
      <c r="W49" s="55">
        <f>W47-W48</f>
        <v/>
      </c>
      <c r="X49" s="55">
        <f>X47-X48</f>
        <v/>
      </c>
      <c r="Y49" s="55">
        <f>Y47-Y48</f>
        <v/>
      </c>
      <c r="Z49" s="55">
        <f>Z47-Z48</f>
        <v/>
      </c>
      <c r="AB49" s="65">
        <f>AB47-AB48</f>
        <v/>
      </c>
      <c r="AC49" s="65">
        <f>AC47-AC48</f>
        <v/>
      </c>
      <c r="AD49" s="65">
        <f>AD47-AD48</f>
        <v/>
      </c>
      <c r="AE49" s="65">
        <f>AE47-AE48</f>
        <v/>
      </c>
      <c r="AF49" s="65">
        <f>AF47-AF48</f>
        <v/>
      </c>
    </row>
    <row r="50" ht="4.5" customHeight="1"/>
    <row r="51" ht="12.75" customHeight="1">
      <c r="C51" s="100" t="inlineStr">
        <is>
          <t>Temporary equity:</t>
        </is>
      </c>
    </row>
    <row r="52" ht="12.75" customHeight="1">
      <c r="C52" s="154" t="inlineStr">
        <is>
          <t>Noncontrolling interests (temporary equity)</t>
        </is>
      </c>
      <c r="E52" s="50" t="n">
        <v>0</v>
      </c>
      <c r="F52" s="50" t="n">
        <v>0</v>
      </c>
      <c r="G52" s="50" t="n">
        <v>10</v>
      </c>
      <c r="H52" s="50" t="n">
        <v>10</v>
      </c>
      <c r="I52" s="50" t="n">
        <v>10</v>
      </c>
      <c r="J52" s="50" t="n">
        <v>10</v>
      </c>
      <c r="K52" s="50" t="n">
        <v>10</v>
      </c>
      <c r="L52" s="50" t="n">
        <v>10</v>
      </c>
      <c r="M52" s="50" t="n">
        <v>10</v>
      </c>
      <c r="N52" s="50" t="n">
        <v>10</v>
      </c>
      <c r="O52" s="50" t="n">
        <v>10</v>
      </c>
      <c r="P52" s="50" t="n">
        <v>10</v>
      </c>
      <c r="Q52" s="50" t="n">
        <v>10</v>
      </c>
      <c r="R52" s="50" t="n">
        <v>10</v>
      </c>
      <c r="S52" s="50" t="n">
        <v>10</v>
      </c>
      <c r="T52" s="50" t="n">
        <v>10</v>
      </c>
      <c r="U52" s="50" t="n">
        <v>10</v>
      </c>
      <c r="V52" s="50" t="n">
        <v>10</v>
      </c>
      <c r="W52" s="50" t="n">
        <v>10</v>
      </c>
      <c r="X52" s="50" t="n">
        <v>10</v>
      </c>
      <c r="Y52" s="50" t="n">
        <v>10</v>
      </c>
      <c r="Z52" s="50" t="n">
        <v>10</v>
      </c>
      <c r="AB52" s="49">
        <f>H52</f>
        <v/>
      </c>
      <c r="AC52" s="49">
        <f>L52</f>
        <v/>
      </c>
      <c r="AD52" s="49">
        <f>P52</f>
        <v/>
      </c>
      <c r="AE52" s="49">
        <f>T52</f>
        <v/>
      </c>
      <c r="AF52" s="49">
        <f>X52</f>
        <v/>
      </c>
      <c r="AH52" s="49">
        <f>AF52-AE52</f>
        <v/>
      </c>
      <c r="AI52" s="62">
        <f>IFERROR(AH52/ABS(AE52),0)</f>
        <v/>
      </c>
    </row>
    <row r="53" ht="12.75" customHeight="1">
      <c r="C53" s="154" t="inlineStr">
        <is>
          <t>Convertible preferred stock</t>
        </is>
      </c>
      <c r="E53" s="51" t="n">
        <v>214</v>
      </c>
      <c r="F53" s="51" t="n">
        <v>214</v>
      </c>
      <c r="G53" s="51" t="n">
        <v>214</v>
      </c>
      <c r="H53" s="51" t="n">
        <v>214</v>
      </c>
      <c r="I53" s="51" t="n">
        <v>214</v>
      </c>
      <c r="J53" s="51" t="n">
        <v>214</v>
      </c>
      <c r="K53" s="51" t="n">
        <v>214</v>
      </c>
      <c r="L53" s="51" t="n">
        <v>214</v>
      </c>
      <c r="M53" s="51" t="n">
        <v>214</v>
      </c>
      <c r="N53" s="51" t="n">
        <v>214</v>
      </c>
      <c r="O53" s="51" t="n">
        <v>214</v>
      </c>
      <c r="P53" s="51" t="n">
        <v>214</v>
      </c>
      <c r="Q53" s="51" t="n">
        <v>214</v>
      </c>
      <c r="R53" s="51" t="n">
        <v>214</v>
      </c>
      <c r="S53" s="51" t="n">
        <v>214</v>
      </c>
      <c r="T53" s="51" t="n">
        <v>214</v>
      </c>
      <c r="U53" s="51" t="n">
        <v>214</v>
      </c>
      <c r="V53" s="51" t="n">
        <v>214</v>
      </c>
      <c r="W53" s="51" t="n">
        <v>214</v>
      </c>
      <c r="X53" s="51" t="n">
        <v>214</v>
      </c>
      <c r="Y53" s="51" t="n">
        <v>214</v>
      </c>
      <c r="Z53" s="51" t="n">
        <v>214</v>
      </c>
      <c r="AB53" s="52">
        <f>H53</f>
        <v/>
      </c>
      <c r="AC53" s="52">
        <f>L53</f>
        <v/>
      </c>
      <c r="AD53" s="52">
        <f>P53</f>
        <v/>
      </c>
      <c r="AE53" s="52">
        <f>T53</f>
        <v/>
      </c>
      <c r="AF53" s="52">
        <f>X53</f>
        <v/>
      </c>
      <c r="AH53" s="49">
        <f>AF53-AE53</f>
        <v/>
      </c>
      <c r="AI53" s="62">
        <f>IFERROR(AH53/ABS(AE53),0)</f>
        <v/>
      </c>
    </row>
    <row r="54" ht="12.75" customHeight="1">
      <c r="C54" s="100" t="inlineStr">
        <is>
          <t>Shareholders' equity:</t>
        </is>
      </c>
    </row>
    <row r="55" ht="12.75" customHeight="1">
      <c r="C55" s="154" t="inlineStr">
        <is>
          <t>Common stock</t>
        </is>
      </c>
      <c r="E55" s="50" t="n">
        <v>199</v>
      </c>
      <c r="F55" s="50" t="n">
        <v>189</v>
      </c>
      <c r="G55" s="50" t="n">
        <v>182</v>
      </c>
      <c r="H55" s="50" t="n">
        <v>168</v>
      </c>
      <c r="I55" s="50" t="n">
        <v>156</v>
      </c>
      <c r="J55" s="50" t="n">
        <v>155</v>
      </c>
      <c r="K55" s="50" t="n">
        <v>156</v>
      </c>
      <c r="L55" s="50" t="n">
        <v>156</v>
      </c>
      <c r="M55" s="50" t="n">
        <v>157</v>
      </c>
      <c r="N55" s="50" t="n">
        <v>157</v>
      </c>
      <c r="O55" s="50" t="n">
        <v>157</v>
      </c>
      <c r="P55" s="50" t="n">
        <v>123</v>
      </c>
      <c r="Q55" s="50" t="n">
        <v>124</v>
      </c>
      <c r="R55" s="50" t="n">
        <v>124</v>
      </c>
      <c r="S55" s="50" t="n">
        <v>124</v>
      </c>
      <c r="T55" s="50" t="n">
        <v>124</v>
      </c>
      <c r="U55" s="50" t="n">
        <v>126</v>
      </c>
      <c r="V55" s="50" t="n">
        <v>126</v>
      </c>
      <c r="W55" s="50" t="n">
        <v>128</v>
      </c>
      <c r="X55" s="50" t="n">
        <v>128</v>
      </c>
      <c r="Y55" s="50" t="n">
        <v>131</v>
      </c>
      <c r="Z55" s="50" t="n">
        <v>131</v>
      </c>
      <c r="AB55" s="49">
        <f>H55</f>
        <v/>
      </c>
      <c r="AC55" s="49">
        <f>L55</f>
        <v/>
      </c>
      <c r="AD55" s="49">
        <f>P55</f>
        <v/>
      </c>
      <c r="AE55" s="49">
        <f>T55</f>
        <v/>
      </c>
      <c r="AF55" s="49">
        <f>X55</f>
        <v/>
      </c>
      <c r="AH55" s="49">
        <f>AF55-AE55</f>
        <v/>
      </c>
      <c r="AI55" s="62">
        <f>IFERROR(AH55/ABS(AE55),0)</f>
        <v/>
      </c>
    </row>
    <row r="56" ht="12.75" customHeight="1">
      <c r="C56" s="154" t="inlineStr">
        <is>
          <t>Additional paid-in capital</t>
        </is>
      </c>
      <c r="E56" s="51" t="n">
        <v>2456</v>
      </c>
      <c r="F56" s="51" t="n">
        <v>2214</v>
      </c>
      <c r="G56" s="51" t="n">
        <v>2080</v>
      </c>
      <c r="H56" s="51" t="n">
        <v>1802</v>
      </c>
      <c r="I56" s="51" t="n">
        <v>1560</v>
      </c>
      <c r="J56" s="51" t="n">
        <v>1564</v>
      </c>
      <c r="K56" s="51" t="n">
        <v>1577</v>
      </c>
      <c r="L56" s="51" t="n">
        <v>1588</v>
      </c>
      <c r="M56" s="51" t="n">
        <v>1594</v>
      </c>
      <c r="N56" s="51" t="n">
        <v>1607</v>
      </c>
      <c r="O56" s="51" t="n">
        <v>1619</v>
      </c>
      <c r="P56" s="51" t="n">
        <v>1114</v>
      </c>
      <c r="Q56" s="51" t="n">
        <v>1099</v>
      </c>
      <c r="R56" s="51" t="n">
        <v>1114</v>
      </c>
      <c r="S56" s="51" t="n">
        <v>1123</v>
      </c>
      <c r="T56" s="51" t="n">
        <v>1137</v>
      </c>
      <c r="U56" s="51" t="n">
        <v>1141</v>
      </c>
      <c r="V56" s="51" t="n">
        <v>1154</v>
      </c>
      <c r="W56" s="51" t="n">
        <v>1171</v>
      </c>
      <c r="X56" s="51" t="n">
        <v>1183</v>
      </c>
      <c r="Y56" s="51" t="n">
        <v>1192</v>
      </c>
      <c r="Z56" s="51" t="n">
        <v>1200</v>
      </c>
      <c r="AB56" s="52">
        <f>H56</f>
        <v/>
      </c>
      <c r="AC56" s="52">
        <f>L56</f>
        <v/>
      </c>
      <c r="AD56" s="52">
        <f>P56</f>
        <v/>
      </c>
      <c r="AE56" s="52">
        <f>T56</f>
        <v/>
      </c>
      <c r="AF56" s="52">
        <f>X56</f>
        <v/>
      </c>
      <c r="AH56" s="49">
        <f>AF56-AE56</f>
        <v/>
      </c>
      <c r="AI56" s="62">
        <f>IFERROR(AH56/ABS(AE56),0)</f>
        <v/>
      </c>
    </row>
    <row r="57" ht="12.75" customHeight="1">
      <c r="C57" s="154" t="inlineStr">
        <is>
          <t>Treasury stock, at cost</t>
        </is>
      </c>
      <c r="E57" s="51" t="n">
        <v>-162</v>
      </c>
      <c r="F57" s="51" t="n">
        <v>-159</v>
      </c>
      <c r="G57" s="51" t="n">
        <v>-87</v>
      </c>
      <c r="H57" s="51" t="n">
        <v>-177</v>
      </c>
      <c r="I57" s="51" t="n">
        <v>-32</v>
      </c>
      <c r="J57" s="51" t="n">
        <v>0</v>
      </c>
      <c r="K57" s="51" t="n">
        <v>0</v>
      </c>
      <c r="L57" s="51" t="n">
        <v>0</v>
      </c>
      <c r="M57" s="51" t="n">
        <v>0</v>
      </c>
      <c r="N57" s="51" t="n">
        <v>0</v>
      </c>
      <c r="O57" s="51" t="n">
        <v>-553</v>
      </c>
      <c r="P57" s="51" t="n">
        <v>0</v>
      </c>
      <c r="Q57" s="51" t="n">
        <v>0</v>
      </c>
      <c r="R57" s="51" t="n">
        <v>0</v>
      </c>
      <c r="S57" s="51" t="n">
        <v>0</v>
      </c>
      <c r="T57" s="51" t="n">
        <v>0</v>
      </c>
      <c r="U57" s="51" t="n">
        <v>0</v>
      </c>
      <c r="V57" s="51" t="n">
        <v>0</v>
      </c>
      <c r="W57" s="51" t="n">
        <v>0</v>
      </c>
      <c r="X57" s="51" t="n">
        <v>0</v>
      </c>
      <c r="Y57" s="51" t="n">
        <v>0</v>
      </c>
      <c r="Z57" s="51" t="n">
        <v>0</v>
      </c>
      <c r="AB57" s="52">
        <f>H57</f>
        <v/>
      </c>
      <c r="AC57" s="52">
        <f>L57</f>
        <v/>
      </c>
      <c r="AD57" s="52">
        <f>P57</f>
        <v/>
      </c>
      <c r="AE57" s="52">
        <f>T57</f>
        <v/>
      </c>
      <c r="AF57" s="52">
        <f>X57</f>
        <v/>
      </c>
      <c r="AH57" s="49">
        <f>AF57-AE57</f>
        <v/>
      </c>
      <c r="AI57" s="62">
        <f>IFERROR(AH57/ABS(AE57),0)</f>
        <v/>
      </c>
    </row>
    <row r="58" ht="12.75" customHeight="1">
      <c r="C58" s="154" t="inlineStr">
        <is>
          <t>Retained earnings</t>
        </is>
      </c>
      <c r="E58" s="51" t="n">
        <v>6267</v>
      </c>
      <c r="F58" s="51" t="n">
        <v>6308</v>
      </c>
      <c r="G58" s="51" t="n">
        <v>6348</v>
      </c>
      <c r="H58" s="51" t="n">
        <v>5631</v>
      </c>
      <c r="I58" s="51" t="n">
        <v>5532</v>
      </c>
      <c r="J58" s="51" t="n">
        <v>5484</v>
      </c>
      <c r="K58" s="51" t="n">
        <v>5057</v>
      </c>
      <c r="L58" s="51" t="n">
        <v>5136</v>
      </c>
      <c r="M58" s="51" t="n">
        <v>5162</v>
      </c>
      <c r="N58" s="51" t="n">
        <v>5057</v>
      </c>
      <c r="O58" s="51" t="n">
        <v>5070</v>
      </c>
      <c r="P58" s="51" t="n">
        <v>4977</v>
      </c>
      <c r="Q58" s="51" t="n">
        <v>4828</v>
      </c>
      <c r="R58" s="51" t="n">
        <v>4810</v>
      </c>
      <c r="S58" s="51" t="n">
        <v>3570</v>
      </c>
      <c r="T58" s="51" t="n">
        <v>3514</v>
      </c>
      <c r="U58" s="51" t="n">
        <v>3403</v>
      </c>
      <c r="V58" s="51" t="n">
        <v>3290</v>
      </c>
      <c r="W58" s="51" t="n">
        <v>2523</v>
      </c>
      <c r="X58" s="51" t="n">
        <v>2444</v>
      </c>
      <c r="Y58" s="51" t="n">
        <v>2320</v>
      </c>
      <c r="Z58" s="51" t="n">
        <v>2326</v>
      </c>
      <c r="AB58" s="52">
        <f>H58</f>
        <v/>
      </c>
      <c r="AC58" s="52">
        <f>L58</f>
        <v/>
      </c>
      <c r="AD58" s="52">
        <f>P58</f>
        <v/>
      </c>
      <c r="AE58" s="52">
        <f>T58</f>
        <v/>
      </c>
      <c r="AF58" s="52">
        <f>X58</f>
        <v/>
      </c>
      <c r="AH58" s="49">
        <f>AF58-AE58</f>
        <v/>
      </c>
      <c r="AI58" s="62">
        <f>IFERROR(AH58/ABS(AE58),0)</f>
        <v/>
      </c>
    </row>
    <row r="59" ht="12.75" customHeight="1">
      <c r="C59" s="154" t="inlineStr">
        <is>
          <t>Accumulated other comprehensive loss</t>
        </is>
      </c>
      <c r="E59" s="51" t="n">
        <v>-3335</v>
      </c>
      <c r="F59" s="51" t="n">
        <v>-3265</v>
      </c>
      <c r="G59" s="51" t="n">
        <v>-3335</v>
      </c>
      <c r="H59" s="51" t="n">
        <v>-2988</v>
      </c>
      <c r="I59" s="51" t="n">
        <v>-3032</v>
      </c>
      <c r="J59" s="51" t="n">
        <v>-3330</v>
      </c>
      <c r="K59" s="51" t="n">
        <v>-3547</v>
      </c>
      <c r="L59" s="51" t="n">
        <v>-3537</v>
      </c>
      <c r="M59" s="51" t="n">
        <v>-3454</v>
      </c>
      <c r="N59" s="51" t="n">
        <v>-3437</v>
      </c>
      <c r="O59" s="51" t="n">
        <v>-3504</v>
      </c>
      <c r="P59" s="51" t="n">
        <v>-3676</v>
      </c>
      <c r="Q59" s="51" t="n">
        <v>-3673</v>
      </c>
      <c r="R59" s="51" t="n">
        <v>-3687</v>
      </c>
      <c r="S59" s="51" t="n">
        <v>-3514</v>
      </c>
      <c r="T59" s="51" t="n">
        <v>-3699</v>
      </c>
      <c r="U59" s="51" t="n">
        <v>-3617</v>
      </c>
      <c r="V59" s="51" t="n">
        <v>-3448</v>
      </c>
      <c r="W59" s="51" t="n">
        <v>-3457</v>
      </c>
      <c r="X59" s="51" t="n">
        <v>-3311</v>
      </c>
      <c r="Y59" s="51" t="n">
        <v>-3344</v>
      </c>
      <c r="Z59" s="51" t="n">
        <v>-3334</v>
      </c>
      <c r="AB59" s="52">
        <f>H59</f>
        <v/>
      </c>
      <c r="AC59" s="52">
        <f>L59</f>
        <v/>
      </c>
      <c r="AD59" s="52">
        <f>P59</f>
        <v/>
      </c>
      <c r="AE59" s="52">
        <f>T59</f>
        <v/>
      </c>
      <c r="AF59" s="52">
        <f>X59</f>
        <v/>
      </c>
      <c r="AH59" s="49">
        <f>AF59-AE59</f>
        <v/>
      </c>
      <c r="AI59" s="62">
        <f>IFERROR(AH59/ABS(AE59),0)</f>
        <v/>
      </c>
    </row>
    <row r="60" ht="12.75" customHeight="1" thickBot="1">
      <c r="C60" s="296" t="inlineStr">
        <is>
          <t>Xerox Holdings shareholders' equity</t>
        </is>
      </c>
      <c r="D60" s="343" t="n"/>
      <c r="E60" s="344">
        <f>SUM(E55:E59)</f>
        <v/>
      </c>
      <c r="F60" s="344">
        <f>SUM(F55:F59)</f>
        <v/>
      </c>
      <c r="G60" s="344">
        <f>SUM(G55:G59)</f>
        <v/>
      </c>
      <c r="H60" s="344">
        <f>SUM(H55:H59)</f>
        <v/>
      </c>
      <c r="I60" s="344">
        <f>SUM(I55:I59)</f>
        <v/>
      </c>
      <c r="J60" s="344">
        <f>SUM(J55:J59)</f>
        <v/>
      </c>
      <c r="K60" s="344">
        <f>SUM(K55:K59)</f>
        <v/>
      </c>
      <c r="L60" s="344">
        <f>SUM(L55:L59)</f>
        <v/>
      </c>
      <c r="M60" s="344">
        <f>SUM(M55:M59)</f>
        <v/>
      </c>
      <c r="N60" s="344">
        <f>SUM(N55:N59)</f>
        <v/>
      </c>
      <c r="O60" s="344">
        <f>SUM(O55:O59)</f>
        <v/>
      </c>
      <c r="P60" s="344">
        <f>SUM(P55:P59)</f>
        <v/>
      </c>
      <c r="Q60" s="344">
        <f>SUM(Q55:Q59)</f>
        <v/>
      </c>
      <c r="R60" s="344">
        <f>SUM(R55:R59)</f>
        <v/>
      </c>
      <c r="S60" s="344">
        <f>SUM(S55:S59)</f>
        <v/>
      </c>
      <c r="T60" s="344">
        <f>SUM(T55:T59)</f>
        <v/>
      </c>
      <c r="U60" s="344">
        <f>SUM(U55:U59)</f>
        <v/>
      </c>
      <c r="V60" s="344">
        <f>SUM(V55:V59)</f>
        <v/>
      </c>
      <c r="W60" s="344">
        <f>SUM(W55:W59)</f>
        <v/>
      </c>
      <c r="X60" s="344">
        <f>SUM(X55:X59)</f>
        <v/>
      </c>
      <c r="Y60" s="344">
        <f>SUM(Y55:Y59)</f>
        <v/>
      </c>
      <c r="Z60" s="344">
        <f>SUM(Z55:Z59)</f>
        <v/>
      </c>
      <c r="AB60" s="344">
        <f>SUM(AB55:AB59)</f>
        <v/>
      </c>
      <c r="AC60" s="344">
        <f>SUM(AC55:AC59)</f>
        <v/>
      </c>
      <c r="AD60" s="344">
        <f>SUM(AD55:AD59)</f>
        <v/>
      </c>
      <c r="AE60" s="344">
        <f>SUM(AE55:AE59)</f>
        <v/>
      </c>
      <c r="AF60" s="344">
        <f>SUM(AF55:AF59)</f>
        <v/>
      </c>
      <c r="AH60" s="345">
        <f>AF60-AE60</f>
        <v/>
      </c>
      <c r="AI60" s="346">
        <f>IFERROR(AH60/ABS(AE60),0)</f>
        <v/>
      </c>
    </row>
    <row r="61" hidden="1" ht="15" customHeight="1">
      <c r="C61" s="149" t="inlineStr">
        <is>
          <t>Xerox Holdings shareholders' equity</t>
        </is>
      </c>
      <c r="E61" s="64" t="n">
        <v>5425</v>
      </c>
      <c r="F61" s="64" t="n">
        <v>5287</v>
      </c>
      <c r="G61" s="64" t="n">
        <v>5188</v>
      </c>
      <c r="H61" s="64" t="n">
        <v>4436</v>
      </c>
      <c r="I61" s="64" t="n">
        <v>4184</v>
      </c>
      <c r="J61" s="64" t="n">
        <v>3873</v>
      </c>
      <c r="K61" s="64" t="n">
        <v>3243</v>
      </c>
      <c r="L61" s="64" t="n">
        <v>3343</v>
      </c>
      <c r="M61" s="64" t="n">
        <v>3459</v>
      </c>
      <c r="N61" s="64" t="n">
        <v>3384</v>
      </c>
      <c r="O61" s="64" t="n">
        <v>2789</v>
      </c>
      <c r="P61" s="64" t="n">
        <v>2538</v>
      </c>
      <c r="Q61" s="64" t="n">
        <v>2378</v>
      </c>
      <c r="R61" s="64" t="n">
        <v>2361</v>
      </c>
      <c r="S61" s="64" t="n">
        <v>1303</v>
      </c>
      <c r="T61" s="64" t="n">
        <v>1076</v>
      </c>
      <c r="U61" s="64" t="n">
        <v>1053</v>
      </c>
      <c r="V61" s="64" t="n">
        <v>1122</v>
      </c>
      <c r="W61" s="64" t="n">
        <v>365</v>
      </c>
      <c r="X61" s="64" t="n">
        <v>444</v>
      </c>
      <c r="Y61" s="64" t="n">
        <v>299</v>
      </c>
      <c r="Z61" s="64" t="n">
        <v>323</v>
      </c>
      <c r="AB61" s="52">
        <f>H61</f>
        <v/>
      </c>
      <c r="AC61" s="52">
        <f>L61</f>
        <v/>
      </c>
      <c r="AD61" s="52">
        <f>P61</f>
        <v/>
      </c>
      <c r="AE61" s="52">
        <f>T61</f>
        <v/>
      </c>
      <c r="AF61" s="52">
        <f>X61</f>
        <v/>
      </c>
    </row>
    <row r="62" hidden="1" ht="15" customHeight="1">
      <c r="C62" s="149" t="inlineStr">
        <is>
          <t>Check</t>
        </is>
      </c>
      <c r="E62" s="55">
        <f>E60-E61</f>
        <v/>
      </c>
      <c r="F62" s="55">
        <f>F60-F61</f>
        <v/>
      </c>
      <c r="G62" s="55">
        <f>G60-G61</f>
        <v/>
      </c>
      <c r="H62" s="55">
        <f>H60-H61</f>
        <v/>
      </c>
      <c r="I62" s="55">
        <f>I60-I61</f>
        <v/>
      </c>
      <c r="J62" s="55">
        <f>J60-J61</f>
        <v/>
      </c>
      <c r="K62" s="55">
        <f>K60-K61</f>
        <v/>
      </c>
      <c r="L62" s="55">
        <f>L60-L61</f>
        <v/>
      </c>
      <c r="M62" s="55">
        <f>M60-M61</f>
        <v/>
      </c>
      <c r="N62" s="55">
        <f>N60-N61</f>
        <v/>
      </c>
      <c r="O62" s="55">
        <f>O60-O61</f>
        <v/>
      </c>
      <c r="P62" s="55">
        <f>P60-P61</f>
        <v/>
      </c>
      <c r="Q62" s="55">
        <f>Q60-Q61</f>
        <v/>
      </c>
      <c r="R62" s="55">
        <f>R60-R61</f>
        <v/>
      </c>
      <c r="S62" s="55">
        <f>S60-S61</f>
        <v/>
      </c>
      <c r="T62" s="55">
        <f>T60-T61</f>
        <v/>
      </c>
      <c r="U62" s="55">
        <f>U60-U61</f>
        <v/>
      </c>
      <c r="V62" s="55">
        <f>V60-V61</f>
        <v/>
      </c>
      <c r="W62" s="55">
        <f>W60-W61</f>
        <v/>
      </c>
      <c r="X62" s="55">
        <f>X60-X61</f>
        <v/>
      </c>
      <c r="Y62" s="55">
        <f>Y60-Y61</f>
        <v/>
      </c>
      <c r="Z62" s="55">
        <f>Z60-Z61</f>
        <v/>
      </c>
      <c r="AB62" s="65">
        <f>AB60-AB61</f>
        <v/>
      </c>
      <c r="AC62" s="65">
        <f>AC60-AC61</f>
        <v/>
      </c>
      <c r="AD62" s="65">
        <f>AD60-AD61</f>
        <v/>
      </c>
      <c r="AE62" s="65">
        <f>AE60-AE61</f>
        <v/>
      </c>
      <c r="AF62" s="65">
        <f>AF60-AF61</f>
        <v/>
      </c>
    </row>
    <row r="63" ht="12.75" customHeight="1">
      <c r="C63" s="154" t="inlineStr">
        <is>
          <t>Noncontrolling interests</t>
        </is>
      </c>
      <c r="E63" s="51" t="n">
        <v>4</v>
      </c>
      <c r="F63" s="51" t="n">
        <v>8</v>
      </c>
      <c r="G63" s="51" t="n">
        <v>7</v>
      </c>
      <c r="H63" s="51" t="n">
        <v>7</v>
      </c>
      <c r="I63" s="51" t="n">
        <v>5</v>
      </c>
      <c r="J63" s="51" t="n">
        <v>9</v>
      </c>
      <c r="K63" s="51" t="n">
        <v>11</v>
      </c>
      <c r="L63" s="51" t="n">
        <v>10</v>
      </c>
      <c r="M63" s="51" t="n">
        <v>8</v>
      </c>
      <c r="N63" s="51" t="n">
        <v>8</v>
      </c>
      <c r="O63" s="51" t="n">
        <v>9</v>
      </c>
      <c r="P63" s="51" t="n">
        <v>10</v>
      </c>
      <c r="Q63" s="51" t="n">
        <v>3</v>
      </c>
      <c r="R63" s="51" t="n">
        <v>4</v>
      </c>
      <c r="S63" s="51" t="n">
        <v>4</v>
      </c>
      <c r="T63" s="51" t="n">
        <v>4</v>
      </c>
      <c r="U63" s="51" t="n">
        <v>4</v>
      </c>
      <c r="V63" s="51" t="n">
        <v>5</v>
      </c>
      <c r="W63" s="51" t="n">
        <v>5</v>
      </c>
      <c r="X63" s="51" t="n">
        <v>5</v>
      </c>
      <c r="Y63" s="51" t="n">
        <v>6</v>
      </c>
      <c r="Z63" s="51" t="n">
        <v>7</v>
      </c>
      <c r="AB63" s="52">
        <f>H63</f>
        <v/>
      </c>
      <c r="AC63" s="52">
        <f>L63</f>
        <v/>
      </c>
      <c r="AD63" s="52">
        <f>P63</f>
        <v/>
      </c>
      <c r="AE63" s="52">
        <f>T63</f>
        <v/>
      </c>
      <c r="AF63" s="52">
        <f>X63</f>
        <v/>
      </c>
      <c r="AH63" s="49">
        <f>AF63-AE63</f>
        <v/>
      </c>
      <c r="AI63" s="62">
        <f>IFERROR(AH63/ABS(AE63),0)</f>
        <v/>
      </c>
    </row>
    <row r="64" ht="12.75" customHeight="1">
      <c r="C64" s="167" t="inlineStr">
        <is>
          <t>Total equity</t>
        </is>
      </c>
      <c r="D64" s="54" t="n"/>
      <c r="E64" s="63">
        <f>E60+E63</f>
        <v/>
      </c>
      <c r="F64" s="63">
        <f>F60+F63</f>
        <v/>
      </c>
      <c r="G64" s="63">
        <f>G60+G63</f>
        <v/>
      </c>
      <c r="H64" s="63">
        <f>H60+H63</f>
        <v/>
      </c>
      <c r="I64" s="63">
        <f>I60+I63</f>
        <v/>
      </c>
      <c r="J64" s="63">
        <f>J60+J63</f>
        <v/>
      </c>
      <c r="K64" s="63">
        <f>K60+K63</f>
        <v/>
      </c>
      <c r="L64" s="63">
        <f>L60+L63</f>
        <v/>
      </c>
      <c r="M64" s="63">
        <f>M60+M63</f>
        <v/>
      </c>
      <c r="N64" s="63">
        <f>N60+N63</f>
        <v/>
      </c>
      <c r="O64" s="63">
        <f>O60+O63</f>
        <v/>
      </c>
      <c r="P64" s="63">
        <f>P60+P63</f>
        <v/>
      </c>
      <c r="Q64" s="63">
        <f>Q60+Q63</f>
        <v/>
      </c>
      <c r="R64" s="63">
        <f>R60+R63</f>
        <v/>
      </c>
      <c r="S64" s="63">
        <f>S60+S63</f>
        <v/>
      </c>
      <c r="T64" s="63">
        <f>T60+T63</f>
        <v/>
      </c>
      <c r="U64" s="63">
        <f>U60+U63</f>
        <v/>
      </c>
      <c r="V64" s="63">
        <f>V60+V63</f>
        <v/>
      </c>
      <c r="W64" s="63">
        <f>W60+W63</f>
        <v/>
      </c>
      <c r="X64" s="63">
        <f>X60+X63</f>
        <v/>
      </c>
      <c r="Y64" s="63">
        <f>Y60+Y63</f>
        <v/>
      </c>
      <c r="Z64" s="168">
        <f>Z60+Z63</f>
        <v/>
      </c>
      <c r="AB64" s="168">
        <f>AB60+AB63</f>
        <v/>
      </c>
      <c r="AC64" s="63">
        <f>AC60+AC63</f>
        <v/>
      </c>
      <c r="AD64" s="63">
        <f>AD60+AD63</f>
        <v/>
      </c>
      <c r="AE64" s="63">
        <f>AE60+AE63</f>
        <v/>
      </c>
      <c r="AF64" s="168">
        <f>AF60+AF63</f>
        <v/>
      </c>
      <c r="AH64" s="352">
        <f>AF64-AE64</f>
        <v/>
      </c>
      <c r="AI64" s="353">
        <f>IFERROR(AH64/ABS(AE64),0)</f>
        <v/>
      </c>
    </row>
    <row r="65" hidden="1" ht="15" customHeight="1">
      <c r="C65" s="149" t="inlineStr">
        <is>
          <t>Total equity</t>
        </is>
      </c>
      <c r="E65" s="64" t="n">
        <v>5429</v>
      </c>
      <c r="F65" s="64" t="n">
        <v>5295</v>
      </c>
      <c r="G65" s="64" t="n">
        <v>5195</v>
      </c>
      <c r="H65" s="64" t="n">
        <v>4443</v>
      </c>
      <c r="I65" s="64" t="n">
        <v>4189</v>
      </c>
      <c r="J65" s="64" t="n">
        <v>3882</v>
      </c>
      <c r="K65" s="64" t="n">
        <v>3254</v>
      </c>
      <c r="L65" s="64" t="n">
        <v>3353</v>
      </c>
      <c r="M65" s="64" t="n">
        <v>3467</v>
      </c>
      <c r="N65" s="64" t="n">
        <v>3392</v>
      </c>
      <c r="O65" s="64" t="n">
        <v>2798</v>
      </c>
      <c r="P65" s="64" t="n">
        <v>2548</v>
      </c>
      <c r="Q65" s="64" t="n">
        <v>2381</v>
      </c>
      <c r="R65" s="64" t="n">
        <v>2365</v>
      </c>
      <c r="S65" s="64" t="n">
        <v>1307</v>
      </c>
      <c r="T65" s="64" t="n">
        <v>1080</v>
      </c>
      <c r="U65" s="64" t="n">
        <v>1057</v>
      </c>
      <c r="V65" s="64" t="n">
        <v>1127</v>
      </c>
      <c r="W65" s="64" t="n">
        <v>370</v>
      </c>
      <c r="X65" s="64" t="n">
        <v>449</v>
      </c>
      <c r="Y65" s="64" t="n">
        <v>305</v>
      </c>
      <c r="Z65" s="64" t="n">
        <v>330</v>
      </c>
      <c r="AB65" s="52">
        <f>H65</f>
        <v/>
      </c>
      <c r="AC65" s="52">
        <f>L65</f>
        <v/>
      </c>
      <c r="AD65" s="52">
        <f>P65</f>
        <v/>
      </c>
      <c r="AE65" s="52">
        <f>T65</f>
        <v/>
      </c>
      <c r="AF65" s="52">
        <f>X65</f>
        <v/>
      </c>
    </row>
    <row r="66" hidden="1" ht="11.25" customHeight="1">
      <c r="C66" s="149" t="inlineStr">
        <is>
          <t>Check</t>
        </is>
      </c>
      <c r="E66" s="55">
        <f>E64-E65</f>
        <v/>
      </c>
      <c r="F66" s="55">
        <f>F64-F65</f>
        <v/>
      </c>
      <c r="G66" s="55">
        <f>G64-G65</f>
        <v/>
      </c>
      <c r="H66" s="55">
        <f>H64-H65</f>
        <v/>
      </c>
      <c r="I66" s="55">
        <f>I64-I65</f>
        <v/>
      </c>
      <c r="J66" s="55">
        <f>J64-J65</f>
        <v/>
      </c>
      <c r="K66" s="55">
        <f>K64-K65</f>
        <v/>
      </c>
      <c r="L66" s="55">
        <f>L64-L65</f>
        <v/>
      </c>
      <c r="M66" s="55">
        <f>M64-M65</f>
        <v/>
      </c>
      <c r="N66" s="55">
        <f>N64-N65</f>
        <v/>
      </c>
      <c r="O66" s="55">
        <f>O64-O65</f>
        <v/>
      </c>
      <c r="P66" s="55">
        <f>P64-P65</f>
        <v/>
      </c>
      <c r="Q66" s="55">
        <f>Q64-Q65</f>
        <v/>
      </c>
      <c r="R66" s="55">
        <f>R64-R65</f>
        <v/>
      </c>
      <c r="S66" s="55">
        <f>S64-S65</f>
        <v/>
      </c>
      <c r="T66" s="55">
        <f>T64-T65</f>
        <v/>
      </c>
      <c r="U66" s="55">
        <f>U64-U65</f>
        <v/>
      </c>
      <c r="V66" s="55">
        <f>V64-V65</f>
        <v/>
      </c>
      <c r="W66" s="55">
        <f>W64-W65</f>
        <v/>
      </c>
      <c r="X66" s="55">
        <f>X64-X65</f>
        <v/>
      </c>
      <c r="Y66" s="55">
        <f>Y64-Y65</f>
        <v/>
      </c>
      <c r="Z66" s="55">
        <f>Z64-Z65</f>
        <v/>
      </c>
      <c r="AB66" s="65">
        <f>AB64-AB65</f>
        <v/>
      </c>
      <c r="AC66" s="65">
        <f>AC64-AC65</f>
        <v/>
      </c>
      <c r="AD66" s="65">
        <f>AD64-AD65</f>
        <v/>
      </c>
      <c r="AE66" s="65">
        <f>AE64-AE65</f>
        <v/>
      </c>
      <c r="AF66" s="65">
        <f>AF64-AF65</f>
        <v/>
      </c>
    </row>
    <row r="67" ht="12.75" customHeight="1" thickBot="1">
      <c r="C67" s="347" t="inlineStr">
        <is>
          <t>Total liabilities and equity</t>
        </is>
      </c>
      <c r="D67" s="348" t="n"/>
      <c r="E67" s="349">
        <f>E47+E52+E53+E64</f>
        <v/>
      </c>
      <c r="F67" s="349">
        <f>F47+F52+F53+F64</f>
        <v/>
      </c>
      <c r="G67" s="349">
        <f>G47+G52+G53+G64</f>
        <v/>
      </c>
      <c r="H67" s="349">
        <f>H47+H52+H53+H64</f>
        <v/>
      </c>
      <c r="I67" s="349">
        <f>I47+I52+I53+I64</f>
        <v/>
      </c>
      <c r="J67" s="349">
        <f>J47+J52+J53+J64</f>
        <v/>
      </c>
      <c r="K67" s="349">
        <f>K47+K52+K53+K64</f>
        <v/>
      </c>
      <c r="L67" s="349">
        <f>L47+L52+L53+L64</f>
        <v/>
      </c>
      <c r="M67" s="349">
        <f>M47+M52+M53+M64</f>
        <v/>
      </c>
      <c r="N67" s="349">
        <f>N47+N52+N53+N64</f>
        <v/>
      </c>
      <c r="O67" s="349">
        <f>O47+O52+O53+O64</f>
        <v/>
      </c>
      <c r="P67" s="349">
        <f>P47+P52+P53+P64</f>
        <v/>
      </c>
      <c r="Q67" s="349">
        <f>Q47+Q52+Q53+Q64</f>
        <v/>
      </c>
      <c r="R67" s="349">
        <f>R47+R52+R53+R64</f>
        <v/>
      </c>
      <c r="S67" s="349">
        <f>S47+S52+S53+S64</f>
        <v/>
      </c>
      <c r="T67" s="349">
        <f>T47+T52+T53+T64</f>
        <v/>
      </c>
      <c r="U67" s="349">
        <f>U47+U52+U53+U64</f>
        <v/>
      </c>
      <c r="V67" s="349">
        <f>V47+V52+V53+V64</f>
        <v/>
      </c>
      <c r="W67" s="349">
        <f>W47+W52+W53+W64</f>
        <v/>
      </c>
      <c r="X67" s="349">
        <f>X47+X52+X53+X64</f>
        <v/>
      </c>
      <c r="Y67" s="349">
        <f>Y47+Y52+Y53+Y64</f>
        <v/>
      </c>
      <c r="Z67" s="349">
        <f>Z47+Z52+Z53+Z64</f>
        <v/>
      </c>
      <c r="AB67" s="349">
        <f>AB47+AB52+AB53+AB64</f>
        <v/>
      </c>
      <c r="AC67" s="349">
        <f>AC47+AC52+AC53+AC64</f>
        <v/>
      </c>
      <c r="AD67" s="349">
        <f>AD47+AD52+AD53+AD64</f>
        <v/>
      </c>
      <c r="AE67" s="349">
        <f>AE47+AE52+AE53+AE64</f>
        <v/>
      </c>
      <c r="AF67" s="349">
        <f>AF47+AF52+AF53+AF64</f>
        <v/>
      </c>
      <c r="AH67" s="350">
        <f>AF67-AE67</f>
        <v/>
      </c>
      <c r="AI67" s="351">
        <f>IFERROR(AH67/ABS(AE67),0)</f>
        <v/>
      </c>
    </row>
    <row r="68" hidden="1" ht="15" customHeight="1">
      <c r="C68" s="149" t="inlineStr">
        <is>
          <t>Total liabilities and equity</t>
        </is>
      </c>
      <c r="E68" s="64" t="n">
        <v>14272</v>
      </c>
      <c r="F68" s="64" t="n">
        <v>14110</v>
      </c>
      <c r="G68" s="64" t="n">
        <v>14081</v>
      </c>
      <c r="H68" s="64" t="n">
        <v>13223</v>
      </c>
      <c r="I68" s="64" t="n">
        <v>13082</v>
      </c>
      <c r="J68" s="64" t="n">
        <v>12270</v>
      </c>
      <c r="K68" s="64" t="n">
        <v>11420</v>
      </c>
      <c r="L68" s="64" t="n">
        <v>11543</v>
      </c>
      <c r="M68" s="64" t="n">
        <v>11046</v>
      </c>
      <c r="N68" s="64" t="n">
        <v>10569</v>
      </c>
      <c r="O68" s="64" t="n">
        <v>10444</v>
      </c>
      <c r="P68" s="64" t="n">
        <v>10008</v>
      </c>
      <c r="Q68" s="64" t="n">
        <v>9944</v>
      </c>
      <c r="R68" s="64" t="n">
        <v>9491</v>
      </c>
      <c r="S68" s="64" t="n">
        <v>8322</v>
      </c>
      <c r="T68" s="64" t="n">
        <v>8365</v>
      </c>
      <c r="U68" s="64" t="n">
        <v>8211</v>
      </c>
      <c r="V68" s="64" t="n">
        <v>8874</v>
      </c>
      <c r="W68" s="64" t="n">
        <v>10068</v>
      </c>
      <c r="X68" s="64" t="n">
        <v>9823</v>
      </c>
      <c r="Y68" s="64" t="n">
        <v>9902</v>
      </c>
      <c r="Z68" s="64" t="n">
        <v>9724</v>
      </c>
      <c r="AB68" s="52" t="n"/>
      <c r="AC68" s="52" t="n"/>
      <c r="AD68" s="52" t="n"/>
      <c r="AE68" s="52" t="n"/>
      <c r="AF68" s="52" t="n"/>
    </row>
    <row r="69" hidden="1" ht="12" customHeight="1" thickTop="1">
      <c r="C69" s="149" t="inlineStr">
        <is>
          <t>Check</t>
        </is>
      </c>
      <c r="E69" s="56">
        <f>E67-E68</f>
        <v/>
      </c>
      <c r="F69" s="56">
        <f>F67-F68</f>
        <v/>
      </c>
      <c r="G69" s="56">
        <f>G67-G68</f>
        <v/>
      </c>
      <c r="H69" s="56">
        <f>H67-H68</f>
        <v/>
      </c>
      <c r="I69" s="56">
        <f>I67-I68</f>
        <v/>
      </c>
      <c r="J69" s="56">
        <f>J67-J68</f>
        <v/>
      </c>
      <c r="K69" s="56">
        <f>K67-K68</f>
        <v/>
      </c>
      <c r="L69" s="56">
        <f>L67-L68</f>
        <v/>
      </c>
      <c r="M69" s="56">
        <f>M67-M68</f>
        <v/>
      </c>
      <c r="N69" s="56">
        <f>N67-N68</f>
        <v/>
      </c>
      <c r="O69" s="56">
        <f>O67-O68</f>
        <v/>
      </c>
      <c r="P69" s="56">
        <f>P67-P68</f>
        <v/>
      </c>
      <c r="Q69" s="56">
        <f>Q67-Q68</f>
        <v/>
      </c>
      <c r="R69" s="56">
        <f>R67-R68</f>
        <v/>
      </c>
      <c r="S69" s="56">
        <f>S67-S68</f>
        <v/>
      </c>
      <c r="T69" s="56">
        <f>T67-T68</f>
        <v/>
      </c>
      <c r="U69" s="56">
        <f>U67-U68</f>
        <v/>
      </c>
      <c r="V69" s="56">
        <f>V67-V68</f>
        <v/>
      </c>
      <c r="W69" s="56">
        <f>W67-W68</f>
        <v/>
      </c>
      <c r="X69" s="56">
        <f>X67-X68</f>
        <v/>
      </c>
      <c r="Y69" s="56">
        <f>Y67-Y68</f>
        <v/>
      </c>
      <c r="Z69" s="56">
        <f>Z67-Z68</f>
        <v/>
      </c>
      <c r="AB69" s="57" t="n"/>
      <c r="AC69" s="57" t="n"/>
      <c r="AD69" s="57" t="n"/>
      <c r="AE69" s="57" t="n"/>
      <c r="AF69" s="57" t="n"/>
    </row>
    <row r="70" hidden="1" ht="15.75" customHeight="1" thickTop="1">
      <c r="C70" s="149" t="inlineStr">
        <is>
          <t>A=L+SE Check</t>
        </is>
      </c>
      <c r="E70" s="56">
        <f>E29-E67</f>
        <v/>
      </c>
      <c r="F70" s="56">
        <f>F29-F67</f>
        <v/>
      </c>
      <c r="G70" s="56">
        <f>G29-G67</f>
        <v/>
      </c>
      <c r="H70" s="56">
        <f>H29-H67</f>
        <v/>
      </c>
      <c r="I70" s="56">
        <f>I29-I67</f>
        <v/>
      </c>
      <c r="J70" s="56">
        <f>J29-J67</f>
        <v/>
      </c>
      <c r="K70" s="56">
        <f>K29-K67</f>
        <v/>
      </c>
      <c r="L70" s="56">
        <f>L29-L67</f>
        <v/>
      </c>
      <c r="M70" s="56">
        <f>M29-M67</f>
        <v/>
      </c>
      <c r="N70" s="56">
        <f>N29-N67</f>
        <v/>
      </c>
      <c r="O70" s="56">
        <f>O29-O67</f>
        <v/>
      </c>
      <c r="P70" s="56">
        <f>P29-P67</f>
        <v/>
      </c>
      <c r="Q70" s="56">
        <f>Q29-Q67</f>
        <v/>
      </c>
      <c r="R70" s="56">
        <f>R29-R67</f>
        <v/>
      </c>
      <c r="S70" s="56">
        <f>S29-S67</f>
        <v/>
      </c>
      <c r="T70" s="56">
        <f>T29-T67</f>
        <v/>
      </c>
      <c r="U70" s="56">
        <f>U29-U67</f>
        <v/>
      </c>
      <c r="V70" s="56">
        <f>V29-V67</f>
        <v/>
      </c>
      <c r="W70" s="56">
        <f>W29-W67</f>
        <v/>
      </c>
      <c r="X70" s="56">
        <f>X29-X67</f>
        <v/>
      </c>
      <c r="Y70" s="56">
        <f>Y29-Y67</f>
        <v/>
      </c>
      <c r="Z70" s="56">
        <f>Z29-Z67</f>
        <v/>
      </c>
      <c r="AB70" s="56">
        <f>AB29-AB67</f>
        <v/>
      </c>
      <c r="AC70" s="56">
        <f>AC29-AC67</f>
        <v/>
      </c>
      <c r="AD70" s="56">
        <f>AD29-AD67</f>
        <v/>
      </c>
      <c r="AE70" s="56">
        <f>AE29-AE67</f>
        <v/>
      </c>
      <c r="AF70" s="56">
        <f>AF29-AF67</f>
        <v/>
      </c>
    </row>
    <row r="71" ht="4.5" customHeight="1" thickTop="1"/>
    <row r="72" ht="10" customFormat="1" customHeight="1" s="203"/>
    <row r="73" ht="12.75" customHeight="1">
      <c r="C73" s="110" t="inlineStr">
        <is>
          <t>Memo</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c r="W73" s="150" t="n"/>
      <c r="X73" s="150" t="n"/>
      <c r="Y73" s="150" t="n"/>
      <c r="Z73" s="150" t="n"/>
      <c r="AA73" s="150" t="n"/>
      <c r="AB73" s="150" t="n"/>
      <c r="AC73" s="150" t="n"/>
      <c r="AD73" s="150" t="n"/>
      <c r="AE73" s="150" t="n"/>
      <c r="AF73" s="150" t="n"/>
      <c r="AG73" s="150" t="n"/>
      <c r="AH73" s="150" t="n"/>
      <c r="AI73" s="150" t="n"/>
    </row>
    <row r="74" ht="12.75" customHeight="1">
      <c r="C74" s="112" t="inlineStr">
        <is>
          <t>Total debt</t>
        </is>
      </c>
      <c r="D74" s="169" t="n"/>
      <c r="E74" s="170">
        <f>E35+E43</f>
        <v/>
      </c>
      <c r="F74" s="170">
        <f>F35+F43</f>
        <v/>
      </c>
      <c r="G74" s="170">
        <f>G35+G43</f>
        <v/>
      </c>
      <c r="H74" s="170">
        <f>H35+H43</f>
        <v/>
      </c>
      <c r="I74" s="170">
        <f>I35+I43</f>
        <v/>
      </c>
      <c r="J74" s="170">
        <f>J35+J43</f>
        <v/>
      </c>
      <c r="K74" s="170">
        <f>K35+K43</f>
        <v/>
      </c>
      <c r="L74" s="170">
        <f>L35+L43</f>
        <v/>
      </c>
      <c r="M74" s="170">
        <f>M35+M43</f>
        <v/>
      </c>
      <c r="N74" s="170">
        <f>N35+N43</f>
        <v/>
      </c>
      <c r="O74" s="170">
        <f>O35+O43</f>
        <v/>
      </c>
      <c r="P74" s="170">
        <f>P35+P43</f>
        <v/>
      </c>
      <c r="Q74" s="170">
        <f>Q35+Q43</f>
        <v/>
      </c>
      <c r="R74" s="170">
        <f>R35+R43</f>
        <v/>
      </c>
      <c r="S74" s="170">
        <f>S35+S43</f>
        <v/>
      </c>
      <c r="T74" s="170">
        <f>T35+T43</f>
        <v/>
      </c>
      <c r="U74" s="170">
        <f>U35+U43</f>
        <v/>
      </c>
      <c r="V74" s="170">
        <f>V35+V43</f>
        <v/>
      </c>
      <c r="W74" s="170">
        <f>W35+W43</f>
        <v/>
      </c>
      <c r="X74" s="170">
        <f>X35+X43</f>
        <v/>
      </c>
      <c r="Y74" s="170">
        <f>Y35+Y43</f>
        <v/>
      </c>
      <c r="Z74" s="170">
        <f>Z35+Z43</f>
        <v/>
      </c>
      <c r="AA74" s="169" t="n"/>
      <c r="AB74" s="170">
        <f>AB35+AB43</f>
        <v/>
      </c>
      <c r="AC74" s="170">
        <f>AC35+AC43</f>
        <v/>
      </c>
      <c r="AD74" s="170">
        <f>AD35+AD43</f>
        <v/>
      </c>
      <c r="AE74" s="170">
        <f>AE35+AE43</f>
        <v/>
      </c>
      <c r="AF74" s="170">
        <f>AF35+AF43</f>
        <v/>
      </c>
      <c r="AG74" s="169" t="n"/>
      <c r="AH74" s="170">
        <f>AF74-AE74</f>
        <v/>
      </c>
      <c r="AI74" s="114">
        <f>IFERROR(AH74/ABS(AE74),0)</f>
        <v/>
      </c>
    </row>
    <row r="75" ht="12.75" customHeight="1">
      <c r="C75" s="112" t="inlineStr">
        <is>
          <t>Net debt</t>
        </is>
      </c>
      <c r="D75" s="169" t="n"/>
      <c r="E75" s="171">
        <f>E74-E13</f>
        <v/>
      </c>
      <c r="F75" s="171">
        <f>F74-F13</f>
        <v/>
      </c>
      <c r="G75" s="171">
        <f>G74-G13</f>
        <v/>
      </c>
      <c r="H75" s="171">
        <f>H74-H13</f>
        <v/>
      </c>
      <c r="I75" s="171">
        <f>I74-I13</f>
        <v/>
      </c>
      <c r="J75" s="171">
        <f>J74-J13</f>
        <v/>
      </c>
      <c r="K75" s="171">
        <f>K74-K13</f>
        <v/>
      </c>
      <c r="L75" s="171">
        <f>L74-L13</f>
        <v/>
      </c>
      <c r="M75" s="171">
        <f>M74-M13</f>
        <v/>
      </c>
      <c r="N75" s="171">
        <f>N74-N13</f>
        <v/>
      </c>
      <c r="O75" s="171">
        <f>O74-O13</f>
        <v/>
      </c>
      <c r="P75" s="171">
        <f>P74-P13</f>
        <v/>
      </c>
      <c r="Q75" s="171">
        <f>Q74-Q13</f>
        <v/>
      </c>
      <c r="R75" s="171">
        <f>R74-R13</f>
        <v/>
      </c>
      <c r="S75" s="171">
        <f>S74-S13</f>
        <v/>
      </c>
      <c r="T75" s="171">
        <f>T74-T13</f>
        <v/>
      </c>
      <c r="U75" s="171">
        <f>U74-U13</f>
        <v/>
      </c>
      <c r="V75" s="171">
        <f>V74-V13</f>
        <v/>
      </c>
      <c r="W75" s="171">
        <f>W74-W13</f>
        <v/>
      </c>
      <c r="X75" s="171">
        <f>X74-X13</f>
        <v/>
      </c>
      <c r="Y75" s="171">
        <f>Y74-Y13</f>
        <v/>
      </c>
      <c r="Z75" s="171">
        <f>Z74-Z13</f>
        <v/>
      </c>
      <c r="AA75" s="169" t="n"/>
      <c r="AB75" s="171">
        <f>AB74-AB13</f>
        <v/>
      </c>
      <c r="AC75" s="171">
        <f>AC74-AC13</f>
        <v/>
      </c>
      <c r="AD75" s="171">
        <f>AD74-AD13</f>
        <v/>
      </c>
      <c r="AE75" s="171">
        <f>AE74-AE13</f>
        <v/>
      </c>
      <c r="AF75" s="171">
        <f>AF74-AF13</f>
        <v/>
      </c>
      <c r="AG75" s="169" t="n"/>
      <c r="AH75" s="170">
        <f>AF75-AE75</f>
        <v/>
      </c>
      <c r="AI75" s="114">
        <f>IFERROR(AH75/ABS(AE75),0)</f>
        <v/>
      </c>
    </row>
    <row r="76" ht="12.75" customHeight="1">
      <c r="C76" s="112" t="inlineStr">
        <is>
          <t>Cash, cash equivalents and restricted cash</t>
        </is>
      </c>
      <c r="D76" s="169" t="n"/>
      <c r="E76" s="172">
        <f>'Cash Flow Statement'!E74</f>
        <v/>
      </c>
      <c r="F76" s="172">
        <f>'Cash Flow Statement'!F74</f>
        <v/>
      </c>
      <c r="G76" s="172">
        <f>'Cash Flow Statement'!G74</f>
        <v/>
      </c>
      <c r="H76" s="172">
        <f>'Cash Flow Statement'!H74</f>
        <v/>
      </c>
      <c r="I76" s="172">
        <f>'Cash Flow Statement'!I74</f>
        <v/>
      </c>
      <c r="J76" s="172">
        <f>'Cash Flow Statement'!J74</f>
        <v/>
      </c>
      <c r="K76" s="172">
        <f>'Cash Flow Statement'!K74</f>
        <v/>
      </c>
      <c r="L76" s="172">
        <f>'Cash Flow Statement'!L74</f>
        <v/>
      </c>
      <c r="M76" s="172">
        <f>'Cash Flow Statement'!M74</f>
        <v/>
      </c>
      <c r="N76" s="172">
        <f>'Cash Flow Statement'!N74</f>
        <v/>
      </c>
      <c r="O76" s="172">
        <f>'Cash Flow Statement'!O74</f>
        <v/>
      </c>
      <c r="P76" s="172">
        <f>'Cash Flow Statement'!P74</f>
        <v/>
      </c>
      <c r="Q76" s="172">
        <f>'Cash Flow Statement'!Q74</f>
        <v/>
      </c>
      <c r="R76" s="172">
        <f>'Cash Flow Statement'!R74</f>
        <v/>
      </c>
      <c r="S76" s="172">
        <f>'Cash Flow Statement'!S74</f>
        <v/>
      </c>
      <c r="T76" s="172">
        <f>'Cash Flow Statement'!T74</f>
        <v/>
      </c>
      <c r="U76" s="172">
        <f>'Cash Flow Statement'!U74</f>
        <v/>
      </c>
      <c r="V76" s="172">
        <f>'Cash Flow Statement'!V74</f>
        <v/>
      </c>
      <c r="W76" s="172">
        <f>'Cash Flow Statement'!W74</f>
        <v/>
      </c>
      <c r="X76" s="172">
        <f>'Cash Flow Statement'!X74</f>
        <v/>
      </c>
      <c r="Y76" s="172">
        <f>'Cash Flow Statement'!Y74</f>
        <v/>
      </c>
      <c r="Z76" s="172">
        <f>'Cash Flow Statement'!Z74</f>
        <v/>
      </c>
      <c r="AA76" s="169" t="n"/>
      <c r="AB76" s="172">
        <f>'Cash Flow Statement'!AB74</f>
        <v/>
      </c>
      <c r="AC76" s="172">
        <f>'Cash Flow Statement'!AC74</f>
        <v/>
      </c>
      <c r="AD76" s="172">
        <f>'Cash Flow Statement'!AD74</f>
        <v/>
      </c>
      <c r="AE76" s="172">
        <f>'Cash Flow Statement'!AE74</f>
        <v/>
      </c>
      <c r="AF76" s="172">
        <f>'Cash Flow Statement'!AF74</f>
        <v/>
      </c>
      <c r="AG76" s="169" t="n"/>
      <c r="AH76" s="170">
        <f>AF76-AE76</f>
        <v/>
      </c>
      <c r="AI76" s="114">
        <f>IFERROR(AH76/ABS(AE76),0)</f>
        <v/>
      </c>
    </row>
    <row r="77" ht="12.75" customHeight="1">
      <c r="C77" s="112" t="inlineStr">
        <is>
          <t>Restricted cash</t>
        </is>
      </c>
      <c r="D77" s="169" t="n"/>
      <c r="E77" s="170">
        <f>E76-E13</f>
        <v/>
      </c>
      <c r="F77" s="170">
        <f>F76-F13</f>
        <v/>
      </c>
      <c r="G77" s="170">
        <f>G76-G13</f>
        <v/>
      </c>
      <c r="H77" s="170">
        <f>H76-H13</f>
        <v/>
      </c>
      <c r="I77" s="170">
        <f>I76-I13</f>
        <v/>
      </c>
      <c r="J77" s="170">
        <f>J76-J13</f>
        <v/>
      </c>
      <c r="K77" s="170">
        <f>K76-K13</f>
        <v/>
      </c>
      <c r="L77" s="170">
        <f>L76-L13</f>
        <v/>
      </c>
      <c r="M77" s="170">
        <f>M76-M13</f>
        <v/>
      </c>
      <c r="N77" s="170">
        <f>N76-N13</f>
        <v/>
      </c>
      <c r="O77" s="170">
        <f>O76-O13</f>
        <v/>
      </c>
      <c r="P77" s="170">
        <f>P76-P13</f>
        <v/>
      </c>
      <c r="Q77" s="170">
        <f>Q76-Q13</f>
        <v/>
      </c>
      <c r="R77" s="170">
        <f>R76-R13</f>
        <v/>
      </c>
      <c r="S77" s="170">
        <f>S76-S13</f>
        <v/>
      </c>
      <c r="T77" s="170">
        <f>T76-T13</f>
        <v/>
      </c>
      <c r="U77" s="170">
        <f>U76-U13</f>
        <v/>
      </c>
      <c r="V77" s="170">
        <f>V76-V13</f>
        <v/>
      </c>
      <c r="W77" s="170">
        <f>W76-W13</f>
        <v/>
      </c>
      <c r="X77" s="170">
        <f>X76-X13</f>
        <v/>
      </c>
      <c r="Y77" s="170">
        <f>Y76-Y13</f>
        <v/>
      </c>
      <c r="Z77" s="170">
        <f>Z76-Z13</f>
        <v/>
      </c>
      <c r="AA77" s="333" t="n"/>
      <c r="AB77" s="170">
        <f>AB76-AB13</f>
        <v/>
      </c>
      <c r="AC77" s="170">
        <f>AC76-AC13</f>
        <v/>
      </c>
      <c r="AD77" s="170">
        <f>AD76-AD13</f>
        <v/>
      </c>
      <c r="AE77" s="170">
        <f>AE76-AE13</f>
        <v/>
      </c>
      <c r="AF77" s="170">
        <f>AF76-AF13</f>
        <v/>
      </c>
      <c r="AG77" s="169" t="n"/>
      <c r="AH77" s="170">
        <f>AF77-AE77</f>
        <v/>
      </c>
      <c r="AI77" s="114">
        <f>IFERROR(AH77/ABS(AE77),0)</f>
        <v/>
      </c>
    </row>
    <row r="78" ht="12.75" customHeight="1">
      <c r="C78" s="112" t="inlineStr">
        <is>
          <t>Total finance receivables</t>
        </is>
      </c>
      <c r="D78" s="169" t="n"/>
      <c r="E78" s="170">
        <f>E15+E16+E22</f>
        <v/>
      </c>
      <c r="F78" s="170">
        <f>F15+F16+F22</f>
        <v/>
      </c>
      <c r="G78" s="170">
        <f>G15+G16+G22</f>
        <v/>
      </c>
      <c r="H78" s="170">
        <f>H15+H16+H22</f>
        <v/>
      </c>
      <c r="I78" s="170">
        <f>I15+I16+I22</f>
        <v/>
      </c>
      <c r="J78" s="170">
        <f>J15+J16+J22</f>
        <v/>
      </c>
      <c r="K78" s="170">
        <f>K15+K16+K22</f>
        <v/>
      </c>
      <c r="L78" s="170">
        <f>L15+L16+L22</f>
        <v/>
      </c>
      <c r="M78" s="170">
        <f>M15+M16+M22</f>
        <v/>
      </c>
      <c r="N78" s="170">
        <f>N15+N16+N22</f>
        <v/>
      </c>
      <c r="O78" s="170">
        <f>O15+O16+O22</f>
        <v/>
      </c>
      <c r="P78" s="170">
        <f>P15+P16+P22</f>
        <v/>
      </c>
      <c r="Q78" s="170">
        <f>Q15+Q16+Q22</f>
        <v/>
      </c>
      <c r="R78" s="170">
        <f>R15+R16+R22</f>
        <v/>
      </c>
      <c r="S78" s="170">
        <f>S15+S16+S22</f>
        <v/>
      </c>
      <c r="T78" s="170">
        <f>T15+T16+T22</f>
        <v/>
      </c>
      <c r="U78" s="170">
        <f>U15+U16+U22</f>
        <v/>
      </c>
      <c r="V78" s="170">
        <f>V15+V16+V22</f>
        <v/>
      </c>
      <c r="W78" s="170">
        <f>W15+W16+W22</f>
        <v/>
      </c>
      <c r="X78" s="170">
        <f>X15+X16+X22</f>
        <v/>
      </c>
      <c r="Y78" s="170">
        <f>Y15+Y16+Y22</f>
        <v/>
      </c>
      <c r="Z78" s="170">
        <f>Z15+Z16+Z22</f>
        <v/>
      </c>
      <c r="AA78" s="333" t="n"/>
      <c r="AB78" s="170">
        <f>AB15+AB16+AB22</f>
        <v/>
      </c>
      <c r="AC78" s="170">
        <f>AC15+AC16+AC22</f>
        <v/>
      </c>
      <c r="AD78" s="170">
        <f>AD15+AD16+AD22</f>
        <v/>
      </c>
      <c r="AE78" s="170">
        <f>AE15+AE16+AE22</f>
        <v/>
      </c>
      <c r="AF78" s="170">
        <f>AF15+AF16+AF22</f>
        <v/>
      </c>
      <c r="AG78" s="169" t="n"/>
      <c r="AH78" s="170">
        <f>AF78-AE78</f>
        <v/>
      </c>
      <c r="AI78" s="114">
        <f>IFERROR(AH78/ABS(AE78),0)</f>
        <v/>
      </c>
    </row>
    <row r="79" ht="12.75" customHeight="1">
      <c r="A79" s="94" t="inlineStr">
        <is>
          <t>x</t>
        </is>
      </c>
      <c r="B79" s="94" t="inlineStr">
        <is>
          <t>x</t>
        </is>
      </c>
      <c r="C79" s="115" t="inlineStr">
        <is>
          <t>Net working capital</t>
        </is>
      </c>
      <c r="D79" s="173" t="n"/>
      <c r="E79" s="174">
        <f>E14+E17+E18-E37-E38-E39</f>
        <v/>
      </c>
      <c r="F79" s="174">
        <f>F14+F17+F18-F37-F38-F39</f>
        <v/>
      </c>
      <c r="G79" s="174">
        <f>G14+G17+G18-G37-G38-G39</f>
        <v/>
      </c>
      <c r="H79" s="174">
        <f>H14+H17+H18-H37-H38-H39</f>
        <v/>
      </c>
      <c r="I79" s="174">
        <f>I14+I17+I18-I37-I38-I39</f>
        <v/>
      </c>
      <c r="J79" s="174">
        <f>J14+J17+J18-J37-J38-J39</f>
        <v/>
      </c>
      <c r="K79" s="174">
        <f>K14+K17+K18-K37-K38-K39</f>
        <v/>
      </c>
      <c r="L79" s="174">
        <f>L14+L17+L18-L37-L38-L39</f>
        <v/>
      </c>
      <c r="M79" s="174">
        <f>M14+M17+M18-M37-M38-M39</f>
        <v/>
      </c>
      <c r="N79" s="174">
        <f>N14+N17+N18-N37-N38-N39</f>
        <v/>
      </c>
      <c r="O79" s="174">
        <f>O14+O17+O18-O37-O38-O39</f>
        <v/>
      </c>
      <c r="P79" s="174">
        <f>P14+P17+P18-P37-P38-P39</f>
        <v/>
      </c>
      <c r="Q79" s="174">
        <f>Q14+Q17+Q18-Q37-Q38-Q39</f>
        <v/>
      </c>
      <c r="R79" s="174">
        <f>R14+R17+R18-R37-R38-R39</f>
        <v/>
      </c>
      <c r="S79" s="174">
        <f>S14+S17+S18-S37-S38-S39</f>
        <v/>
      </c>
      <c r="T79" s="174">
        <f>T14+T17+T18-T37-T38-T39</f>
        <v/>
      </c>
      <c r="U79" s="174">
        <f>U14+U17+U18-U37-U38-U39</f>
        <v/>
      </c>
      <c r="V79" s="174">
        <f>V14+V17+V18-V37-V38-V39</f>
        <v/>
      </c>
      <c r="W79" s="174">
        <f>W14+W17+W18-W37-W38-W39</f>
        <v/>
      </c>
      <c r="X79" s="174">
        <f>X14+X17+X18-X37-X38-X39</f>
        <v/>
      </c>
      <c r="Y79" s="174">
        <f>Y14+Y17+Y18-Y37-Y38-Y39</f>
        <v/>
      </c>
      <c r="Z79" s="174">
        <f>Z14+Z17+Z18-Z37-Z38-Z39</f>
        <v/>
      </c>
      <c r="AA79" s="334" t="n"/>
      <c r="AB79" s="174">
        <f>AB14+AB17+AB18-AB37-AB38-AB39</f>
        <v/>
      </c>
      <c r="AC79" s="174">
        <f>AC14+AC17+AC18-AC37-AC38-AC39</f>
        <v/>
      </c>
      <c r="AD79" s="174">
        <f>AD14+AD17+AD18-AD37-AD38-AD39</f>
        <v/>
      </c>
      <c r="AE79" s="174">
        <f>AE14+AE17+AE18-AE37-AE38-AE39</f>
        <v/>
      </c>
      <c r="AF79" s="174">
        <f>AF14+AF17+AF18-AF37-AF38-AF39</f>
        <v/>
      </c>
      <c r="AG79" s="173" t="n"/>
      <c r="AH79" s="174">
        <f>AF79-AE79</f>
        <v/>
      </c>
      <c r="AI79" s="116">
        <f>IFERROR(AH79/ABS(AE79),0)</f>
        <v/>
      </c>
    </row>
    <row r="80" ht="12.75" customHeight="1">
      <c r="A80" s="94" t="inlineStr">
        <is>
          <t>End</t>
        </is>
      </c>
      <c r="C80" s="331" t="n"/>
    </row>
    <row r="81" ht="12.75" customHeight="1">
      <c r="C81" s="47" t="n"/>
    </row>
    <row r="82" ht="12.75" customHeight="1"/>
  </sheetData>
  <hyperlinks>
    <hyperlink ref="B1" location="'Cover Page'!A1" display="Return to Cover"/>
  </hyperlinks>
  <pageMargins left="0.75" right="0.75" top="1" bottom="1" header="0.511811023622047" footer="0.511811023622047"/>
  <pageSetup orientation="landscape" scale="32" fitToHeight="0" horizontalDpi="300" verticalDpi="300"/>
</worksheet>
</file>

<file path=xl/worksheets/sheet5.xml><?xml version="1.0" encoding="utf-8"?>
<worksheet xmlns="http://schemas.openxmlformats.org/spreadsheetml/2006/main">
  <sheetPr>
    <tabColor theme="3"/>
    <outlinePr summaryBelow="1" summaryRight="1"/>
    <pageSetUpPr fitToPage="1"/>
  </sheetPr>
  <dimension ref="A1:AJ77"/>
  <sheetViews>
    <sheetView showGridLines="0" tabSelected="0" view="pageBreakPreview" zoomScaleNormal="81" zoomScaleSheetLayoutView="100" workbookViewId="0">
      <selection activeCell="C46" sqref="C46:K46"/>
    </sheetView>
  </sheetViews>
  <sheetFormatPr baseColWidth="8" defaultColWidth="8.7265625" defaultRowHeight="13"/>
  <cols>
    <col width="1.7265625" customWidth="1" style="273" min="1" max="2"/>
    <col width="66" customWidth="1" style="273" min="3" max="3"/>
    <col width="1.54296875" customWidth="1" style="273" min="4" max="4"/>
    <col width="12.1796875" customWidth="1" style="273" min="5" max="5"/>
    <col width="10.453125" customWidth="1" style="273" min="6" max="26"/>
    <col width="1.54296875" customWidth="1" style="273" min="27" max="27"/>
    <col width="12.1796875" customWidth="1" style="273" min="28" max="28"/>
    <col width="10.453125" customWidth="1" style="273" min="29" max="32"/>
    <col width="1.54296875" customWidth="1" style="273" min="33" max="33"/>
    <col width="12.54296875" customWidth="1" style="273" min="34" max="35"/>
    <col width="1.7265625" customWidth="1" style="273" min="36" max="36"/>
    <col width="8.7265625" customWidth="1" style="273" min="37" max="37"/>
    <col width="8.7265625" customWidth="1" style="273" min="38" max="16384"/>
  </cols>
  <sheetData>
    <row r="1" ht="12.75" customHeight="1">
      <c r="A1" s="232">
        <f>C3</f>
        <v/>
      </c>
      <c r="B1" s="272">
        <f>'Cover Page'!A1</f>
        <v/>
      </c>
    </row>
    <row r="2" ht="12.75" customHeight="1"/>
    <row r="3" ht="14.25" customHeight="1">
      <c r="A3" s="233" t="n"/>
      <c r="B3" s="233" t="n"/>
      <c r="C3" s="234" t="inlineStr">
        <is>
          <t>Statement of Cash Flows</t>
        </is>
      </c>
      <c r="D3" s="235" t="n"/>
      <c r="E3" s="235" t="n"/>
      <c r="F3" s="235" t="n"/>
      <c r="G3" s="235" t="n"/>
      <c r="H3" s="235" t="n"/>
      <c r="I3" s="235" t="n"/>
      <c r="J3" s="235" t="n"/>
      <c r="K3" s="235" t="n"/>
      <c r="L3" s="235" t="n"/>
      <c r="M3" s="235" t="n"/>
      <c r="N3" s="235" t="n"/>
      <c r="O3" s="235" t="n"/>
      <c r="P3" s="235" t="n"/>
      <c r="Q3" s="235" t="n"/>
      <c r="R3" s="235" t="n"/>
      <c r="S3" s="235" t="n"/>
      <c r="T3" s="235" t="n"/>
      <c r="U3" s="235" t="n"/>
      <c r="V3" s="235" t="n"/>
      <c r="W3" s="235" t="n"/>
      <c r="X3" s="235" t="n"/>
      <c r="Y3" s="235" t="n"/>
      <c r="Z3" s="235" t="n"/>
      <c r="AA3" s="235" t="n"/>
      <c r="AB3" s="235" t="n"/>
      <c r="AC3" s="235" t="n"/>
      <c r="AD3" s="235" t="n"/>
      <c r="AE3" s="235" t="n"/>
      <c r="AF3" s="235" t="n"/>
      <c r="AG3" s="235" t="n"/>
      <c r="AH3" s="235" t="n"/>
      <c r="AI3" s="236" t="inlineStr">
        <is>
          <t>Xerox Holdings Corporation</t>
        </is>
      </c>
    </row>
    <row r="4" ht="12.75" customHeight="1">
      <c r="A4" s="233" t="n"/>
      <c r="B4" s="233" t="n"/>
      <c r="C4" s="237" t="inlineStr">
        <is>
          <t>All values in $ millions (USD)</t>
        </is>
      </c>
      <c r="D4" s="238" t="n"/>
      <c r="E4" s="238" t="n"/>
      <c r="F4" s="238" t="n"/>
      <c r="G4" s="238" t="n"/>
      <c r="H4" s="238" t="n"/>
      <c r="I4" s="238" t="n"/>
      <c r="J4" s="238" t="n"/>
      <c r="K4" s="238" t="n"/>
      <c r="L4" s="238" t="n"/>
      <c r="M4" s="238" t="n"/>
      <c r="N4" s="238" t="n"/>
      <c r="O4" s="238" t="n"/>
      <c r="P4" s="238" t="n"/>
      <c r="Q4" s="238" t="n"/>
      <c r="R4" s="238" t="n"/>
      <c r="S4" s="238" t="n"/>
      <c r="T4" s="238" t="n"/>
      <c r="U4" s="238" t="n"/>
      <c r="V4" s="238" t="n"/>
      <c r="W4" s="238" t="n"/>
      <c r="X4" s="238" t="n"/>
      <c r="Y4" s="238" t="n"/>
      <c r="Z4" s="238" t="n"/>
      <c r="AA4" s="238" t="n"/>
      <c r="AB4" s="238" t="n"/>
      <c r="AC4" s="238" t="n"/>
      <c r="AD4" s="238" t="n"/>
      <c r="AE4" s="238" t="n"/>
      <c r="AF4" s="238" t="n"/>
      <c r="AG4" s="238" t="n"/>
      <c r="AH4" s="238" t="n"/>
      <c r="AI4" s="239" t="n"/>
    </row>
    <row r="5" ht="12.75" customHeight="1">
      <c r="A5" s="240" t="n"/>
      <c r="B5" s="240" t="n"/>
      <c r="C5" s="240" t="n"/>
      <c r="D5" s="240" t="n"/>
      <c r="E5" s="240" t="n"/>
      <c r="F5" s="240" t="n"/>
      <c r="G5" s="240" t="n"/>
      <c r="H5" s="240" t="n"/>
      <c r="I5" s="240" t="n"/>
      <c r="J5" s="240" t="n"/>
      <c r="K5" s="240" t="n"/>
      <c r="L5" s="240" t="n"/>
      <c r="M5" s="240" t="n"/>
      <c r="N5" s="240" t="n"/>
      <c r="O5" s="240" t="n"/>
      <c r="P5" s="240" t="n"/>
      <c r="Q5" s="240" t="n"/>
      <c r="R5" s="240" t="n"/>
      <c r="S5" s="240" t="n"/>
      <c r="T5" s="240" t="n"/>
      <c r="U5" s="240" t="n"/>
      <c r="V5" s="240" t="n"/>
      <c r="W5" s="240" t="n"/>
      <c r="X5" s="240" t="n"/>
      <c r="Y5" s="240" t="n"/>
      <c r="Z5" s="240" t="n"/>
      <c r="AA5" s="240" t="n"/>
      <c r="AB5" s="240" t="n"/>
      <c r="AC5" s="240" t="n"/>
      <c r="AD5" s="240" t="n"/>
      <c r="AE5" s="240" t="n"/>
      <c r="AF5" s="240" t="n"/>
      <c r="AG5" s="240" t="n"/>
      <c r="AH5" s="240" t="n"/>
      <c r="AI5" s="240" t="n"/>
      <c r="AJ5" s="274" t="n"/>
    </row>
    <row r="6" hidden="1" ht="15" customHeight="1">
      <c r="A6" s="240" t="n"/>
      <c r="B6" s="240" t="n"/>
      <c r="C6" s="241" t="n"/>
      <c r="D6" s="242" t="n"/>
      <c r="E6" s="243" t="n"/>
      <c r="F6" s="243" t="n"/>
      <c r="G6" s="243" t="n"/>
      <c r="H6" s="243" t="n"/>
      <c r="I6" s="243" t="n"/>
      <c r="J6" s="243" t="n"/>
      <c r="K6" s="243" t="n"/>
      <c r="L6" s="243" t="n"/>
      <c r="M6" s="243" t="n"/>
      <c r="N6" s="243" t="n"/>
      <c r="O6" s="243" t="n"/>
      <c r="P6" s="243" t="n"/>
      <c r="Q6" s="243" t="n"/>
      <c r="R6" s="243" t="n"/>
      <c r="S6" s="243" t="n"/>
      <c r="T6" s="243" t="n"/>
      <c r="U6" s="243" t="n"/>
      <c r="V6" s="243" t="n"/>
      <c r="W6" s="243" t="n"/>
      <c r="X6" s="243" t="n"/>
      <c r="Y6" s="243" t="n"/>
      <c r="Z6" s="243" t="n"/>
      <c r="AA6" s="242" t="n"/>
      <c r="AB6" s="243" t="n"/>
      <c r="AC6" s="243" t="n"/>
      <c r="AD6" s="243" t="n"/>
      <c r="AE6" s="243" t="n"/>
      <c r="AF6" s="243" t="n"/>
      <c r="AG6" s="242" t="n"/>
      <c r="AH6" s="243" t="n"/>
      <c r="AI6" s="243" t="n"/>
      <c r="AJ6" s="274" t="n"/>
    </row>
    <row r="7" hidden="1" ht="15" customHeight="1">
      <c r="A7" s="240" t="n"/>
      <c r="B7" s="240" t="n"/>
      <c r="C7" s="244" t="n"/>
      <c r="D7" s="244" t="n"/>
      <c r="E7" s="245" t="n">
        <v>1</v>
      </c>
      <c r="F7" s="245" t="n">
        <v>2</v>
      </c>
      <c r="G7" s="245" t="n">
        <v>3</v>
      </c>
      <c r="H7" s="245" t="n">
        <v>4</v>
      </c>
      <c r="I7" s="245" t="n">
        <v>1</v>
      </c>
      <c r="J7" s="245" t="n">
        <v>2</v>
      </c>
      <c r="K7" s="245" t="n">
        <v>3</v>
      </c>
      <c r="L7" s="245" t="n">
        <v>4</v>
      </c>
      <c r="M7" s="245" t="n">
        <v>1</v>
      </c>
      <c r="N7" s="245" t="n">
        <v>2</v>
      </c>
      <c r="O7" s="245" t="n">
        <v>3</v>
      </c>
      <c r="P7" s="245" t="n">
        <v>4</v>
      </c>
      <c r="Q7" s="245" t="n">
        <v>1</v>
      </c>
      <c r="R7" s="245" t="n">
        <v>2</v>
      </c>
      <c r="S7" s="245" t="n">
        <v>3</v>
      </c>
      <c r="T7" s="245" t="n">
        <v>4</v>
      </c>
      <c r="U7" s="245" t="n">
        <v>1</v>
      </c>
      <c r="V7" s="245" t="n">
        <v>2</v>
      </c>
      <c r="W7" s="245" t="n">
        <v>3</v>
      </c>
      <c r="X7" s="245" t="n">
        <v>4</v>
      </c>
      <c r="Y7" s="245" t="n">
        <v>1</v>
      </c>
      <c r="Z7" s="245" t="n">
        <v>2</v>
      </c>
      <c r="AA7" s="244" t="n"/>
      <c r="AB7" s="245" t="n"/>
      <c r="AC7" s="245" t="n"/>
      <c r="AD7" s="245" t="n"/>
      <c r="AE7" s="245" t="n"/>
      <c r="AF7" s="245" t="n"/>
      <c r="AG7" s="244" t="n"/>
      <c r="AH7" s="245" t="n"/>
      <c r="AI7" s="245" t="n"/>
      <c r="AJ7" s="274" t="n"/>
    </row>
    <row r="8" hidden="1" ht="15" customHeight="1">
      <c r="A8" s="240" t="n"/>
      <c r="B8" s="240" t="n"/>
      <c r="C8" s="244" t="n"/>
      <c r="D8" s="244" t="n"/>
      <c r="E8" s="245" t="n">
        <v>2021</v>
      </c>
      <c r="F8" s="245" t="n">
        <v>2021</v>
      </c>
      <c r="G8" s="245" t="n">
        <v>2021</v>
      </c>
      <c r="H8" s="245" t="n">
        <v>2021</v>
      </c>
      <c r="I8" s="245" t="n">
        <v>2022</v>
      </c>
      <c r="J8" s="245" t="n">
        <v>2022</v>
      </c>
      <c r="K8" s="245" t="n">
        <v>2022</v>
      </c>
      <c r="L8" s="245" t="n">
        <v>2022</v>
      </c>
      <c r="M8" s="245" t="n">
        <v>2023</v>
      </c>
      <c r="N8" s="245" t="n">
        <v>2023</v>
      </c>
      <c r="O8" s="245" t="n">
        <v>2023</v>
      </c>
      <c r="P8" s="245" t="n">
        <v>2023</v>
      </c>
      <c r="Q8" s="245" t="n">
        <v>2024</v>
      </c>
      <c r="R8" s="245" t="n">
        <v>2024</v>
      </c>
      <c r="S8" s="245" t="n">
        <v>2024</v>
      </c>
      <c r="T8" s="245" t="n">
        <v>2024</v>
      </c>
      <c r="U8" s="245" t="n">
        <v>2025</v>
      </c>
      <c r="V8" s="245" t="n">
        <v>2025</v>
      </c>
      <c r="W8" s="245" t="n">
        <v>2025</v>
      </c>
      <c r="X8" s="245" t="n">
        <v>2025</v>
      </c>
      <c r="Y8" s="245" t="n">
        <v>2026</v>
      </c>
      <c r="Z8" s="245" t="n">
        <v>2026</v>
      </c>
      <c r="AA8" s="244" t="n"/>
      <c r="AB8" s="245" t="n">
        <v>2021</v>
      </c>
      <c r="AC8" s="245" t="n">
        <v>2022</v>
      </c>
      <c r="AD8" s="245" t="n">
        <v>2023</v>
      </c>
      <c r="AE8" s="245" t="n">
        <v>2024</v>
      </c>
      <c r="AF8" s="245" t="n">
        <v>2025</v>
      </c>
      <c r="AG8" s="244" t="n"/>
      <c r="AH8" s="245" t="n"/>
      <c r="AI8" s="245" t="n"/>
      <c r="AJ8" s="274" t="n"/>
    </row>
    <row r="9" hidden="1" ht="15" customHeight="1">
      <c r="A9" s="240" t="n"/>
      <c r="B9" s="240" t="n"/>
      <c r="C9" s="244" t="n"/>
      <c r="D9" s="244" t="n"/>
      <c r="E9" s="246" t="n">
        <v>44286</v>
      </c>
      <c r="F9" s="246" t="n">
        <v>44377</v>
      </c>
      <c r="G9" s="246" t="n">
        <v>44469</v>
      </c>
      <c r="H9" s="246" t="n">
        <v>44561</v>
      </c>
      <c r="I9" s="246" t="n">
        <v>44651</v>
      </c>
      <c r="J9" s="246" t="n">
        <v>44742</v>
      </c>
      <c r="K9" s="246" t="n">
        <v>44834</v>
      </c>
      <c r="L9" s="246" t="n">
        <v>44926</v>
      </c>
      <c r="M9" s="246" t="n">
        <v>45016</v>
      </c>
      <c r="N9" s="246" t="n">
        <v>45107</v>
      </c>
      <c r="O9" s="246" t="n">
        <v>45199</v>
      </c>
      <c r="P9" s="246" t="n">
        <v>45291</v>
      </c>
      <c r="Q9" s="246" t="n">
        <v>45382</v>
      </c>
      <c r="R9" s="246" t="n">
        <v>45473</v>
      </c>
      <c r="S9" s="246" t="n">
        <v>45565</v>
      </c>
      <c r="T9" s="246" t="n">
        <v>45657</v>
      </c>
      <c r="U9" s="246" t="n">
        <v>45747</v>
      </c>
      <c r="V9" s="246" t="n">
        <v>45838</v>
      </c>
      <c r="W9" s="246" t="n">
        <v>45930</v>
      </c>
      <c r="X9" s="246" t="n">
        <v>46022</v>
      </c>
      <c r="Y9" s="246" t="n">
        <v>46112</v>
      </c>
      <c r="Z9" s="246" t="n">
        <v>46203</v>
      </c>
      <c r="AA9" s="244" t="n"/>
      <c r="AB9" s="246" t="n">
        <v>44561</v>
      </c>
      <c r="AC9" s="246" t="n">
        <v>44926</v>
      </c>
      <c r="AD9" s="246" t="n">
        <v>45291</v>
      </c>
      <c r="AE9" s="246" t="n">
        <v>45657</v>
      </c>
      <c r="AF9" s="246" t="n">
        <v>46022</v>
      </c>
      <c r="AG9" s="244" t="n"/>
      <c r="AH9" s="245" t="n"/>
      <c r="AI9" s="245" t="n"/>
      <c r="AJ9" s="274" t="n"/>
    </row>
    <row r="10" ht="12.75" customHeight="1">
      <c r="A10" s="247" t="inlineStr">
        <is>
          <t>x</t>
        </is>
      </c>
      <c r="B10" s="247" t="inlineStr">
        <is>
          <t>x</t>
        </is>
      </c>
      <c r="C10" s="248" t="inlineStr">
        <is>
          <t>Cash Flow Statement</t>
        </is>
      </c>
      <c r="D10" s="249" t="n"/>
      <c r="E10" s="249" t="inlineStr">
        <is>
          <t>Quarter Ended</t>
        </is>
      </c>
      <c r="F10" s="249" t="n"/>
      <c r="G10" s="249" t="n"/>
      <c r="H10" s="249" t="n"/>
      <c r="I10" s="249" t="n"/>
      <c r="J10" s="249" t="n"/>
      <c r="K10" s="249" t="n"/>
      <c r="L10" s="249" t="n"/>
      <c r="M10" s="249" t="n"/>
      <c r="N10" s="249" t="n"/>
      <c r="O10" s="249" t="n"/>
      <c r="P10" s="249" t="n"/>
      <c r="Q10" s="249" t="n"/>
      <c r="R10" s="249" t="n"/>
      <c r="S10" s="249" t="n"/>
      <c r="T10" s="249" t="n"/>
      <c r="U10" s="249" t="n"/>
      <c r="V10" s="249" t="n"/>
      <c r="W10" s="249" t="n"/>
      <c r="X10" s="249" t="n"/>
      <c r="Y10" s="249" t="n"/>
      <c r="Z10" s="249" t="n"/>
      <c r="AA10" s="250" t="n"/>
      <c r="AB10" s="251" t="inlineStr">
        <is>
          <t>Fiscal Year Ended December 31,</t>
        </is>
      </c>
      <c r="AC10" s="251" t="n"/>
      <c r="AD10" s="251" t="n"/>
      <c r="AE10" s="251" t="n"/>
      <c r="AF10" s="251" t="n"/>
      <c r="AG10" s="250" t="n"/>
      <c r="AH10" s="252" t="inlineStr">
        <is>
          <t>LTM</t>
        </is>
      </c>
      <c r="AI10" s="252" t="n"/>
    </row>
    <row r="11" ht="12.75" customHeight="1">
      <c r="A11" s="233" t="n"/>
      <c r="B11" s="233" t="n"/>
      <c r="C11" s="253" t="n"/>
      <c r="D11" s="254" t="n"/>
      <c r="E11" s="254">
        <f>E7&amp;"Q'"&amp;RIGHT(E8,2)</f>
        <v/>
      </c>
      <c r="F11" s="254">
        <f>F7&amp;"Q'"&amp;RIGHT(F8,2)</f>
        <v/>
      </c>
      <c r="G11" s="254">
        <f>G7&amp;"Q'"&amp;RIGHT(G8,2)</f>
        <v/>
      </c>
      <c r="H11" s="254">
        <f>H7&amp;"Q'"&amp;RIGHT(H8,2)</f>
        <v/>
      </c>
      <c r="I11" s="254">
        <f>I7&amp;"Q'"&amp;RIGHT(I8,2)</f>
        <v/>
      </c>
      <c r="J11" s="254">
        <f>J7&amp;"Q'"&amp;RIGHT(J8,2)</f>
        <v/>
      </c>
      <c r="K11" s="254">
        <f>K7&amp;"Q'"&amp;RIGHT(K8,2)</f>
        <v/>
      </c>
      <c r="L11" s="254">
        <f>L7&amp;"Q'"&amp;RIGHT(L8,2)</f>
        <v/>
      </c>
      <c r="M11" s="254">
        <f>M7&amp;"Q'"&amp;RIGHT(M8,2)</f>
        <v/>
      </c>
      <c r="N11" s="254">
        <f>N7&amp;"Q'"&amp;RIGHT(N8,2)</f>
        <v/>
      </c>
      <c r="O11" s="254">
        <f>O7&amp;"Q'"&amp;RIGHT(O8,2)</f>
        <v/>
      </c>
      <c r="P11" s="254">
        <f>P7&amp;"Q'"&amp;RIGHT(P8,2)</f>
        <v/>
      </c>
      <c r="Q11" s="254">
        <f>Q7&amp;"Q'"&amp;RIGHT(Q8,2)</f>
        <v/>
      </c>
      <c r="R11" s="254">
        <f>R7&amp;"Q'"&amp;RIGHT(R8,2)</f>
        <v/>
      </c>
      <c r="S11" s="254">
        <f>S7&amp;"Q'"&amp;RIGHT(S8,2)</f>
        <v/>
      </c>
      <c r="T11" s="254">
        <f>T7&amp;"Q'"&amp;RIGHT(T8,2)</f>
        <v/>
      </c>
      <c r="U11" s="254">
        <f>U7&amp;"Q'"&amp;RIGHT(U8,2)</f>
        <v/>
      </c>
      <c r="V11" s="254">
        <f>V7&amp;"Q'"&amp;RIGHT(V8,2)</f>
        <v/>
      </c>
      <c r="W11" s="254">
        <f>W7&amp;"Q'"&amp;RIGHT(W8,2)</f>
        <v/>
      </c>
      <c r="X11" s="254">
        <f>X7&amp;"Q'"&amp;RIGHT(X8,2)</f>
        <v/>
      </c>
      <c r="Y11" s="254">
        <f>Y7&amp;"Q'"&amp;RIGHT(Y8,2)</f>
        <v/>
      </c>
      <c r="Z11" s="254">
        <f>Z7&amp;"Q'"&amp;RIGHT(Z8,2)</f>
        <v/>
      </c>
      <c r="AA11" s="255" t="n"/>
      <c r="AB11" s="254" t="n">
        <v>2021</v>
      </c>
      <c r="AC11" s="254" t="n">
        <v>2022</v>
      </c>
      <c r="AD11" s="254" t="n">
        <v>2023</v>
      </c>
      <c r="AE11" s="254" t="n">
        <v>2024</v>
      </c>
      <c r="AF11" s="254" t="n">
        <v>2025</v>
      </c>
      <c r="AG11" s="255" t="n"/>
      <c r="AH11" s="254" t="inlineStr">
        <is>
          <t>LTM 2Q'25</t>
        </is>
      </c>
      <c r="AI11" s="254" t="inlineStr">
        <is>
          <t>LTM 2Q'26</t>
        </is>
      </c>
    </row>
    <row r="12" ht="3" customHeight="1"/>
    <row r="13" ht="12.75" customHeight="1">
      <c r="C13" s="255" t="inlineStr">
        <is>
          <t>Operating Activities:</t>
        </is>
      </c>
    </row>
    <row r="14" ht="12.75" customHeight="1">
      <c r="C14" s="256" t="inlineStr">
        <is>
          <t>Net (loss) income</t>
        </is>
      </c>
      <c r="E14" s="257">
        <f>'Income Statement'!D32</f>
        <v/>
      </c>
      <c r="F14" s="257">
        <f>'Income Statement'!E32</f>
        <v/>
      </c>
      <c r="G14" s="257">
        <f>'Income Statement'!F32</f>
        <v/>
      </c>
      <c r="H14" s="257">
        <f>'Income Statement'!G32</f>
        <v/>
      </c>
      <c r="I14" s="257">
        <f>'Income Statement'!H32</f>
        <v/>
      </c>
      <c r="J14" s="257">
        <f>'Income Statement'!I32</f>
        <v/>
      </c>
      <c r="K14" s="257">
        <f>'Income Statement'!J32</f>
        <v/>
      </c>
      <c r="L14" s="257">
        <f>'Income Statement'!K32</f>
        <v/>
      </c>
      <c r="M14" s="257">
        <f>'Income Statement'!L32</f>
        <v/>
      </c>
      <c r="N14" s="257">
        <f>'Income Statement'!M32</f>
        <v/>
      </c>
      <c r="O14" s="257">
        <f>'Income Statement'!N32</f>
        <v/>
      </c>
      <c r="P14" s="257">
        <f>'Income Statement'!O32</f>
        <v/>
      </c>
      <c r="Q14" s="257">
        <f>'Income Statement'!P32</f>
        <v/>
      </c>
      <c r="R14" s="257">
        <f>'Income Statement'!Q32</f>
        <v/>
      </c>
      <c r="S14" s="257">
        <f>'Income Statement'!R32</f>
        <v/>
      </c>
      <c r="T14" s="257">
        <f>'Income Statement'!S32</f>
        <v/>
      </c>
      <c r="U14" s="257">
        <f>'Income Statement'!T32</f>
        <v/>
      </c>
      <c r="V14" s="257">
        <f>'Income Statement'!U32</f>
        <v/>
      </c>
      <c r="W14" s="257">
        <f>'Income Statement'!V32</f>
        <v/>
      </c>
      <c r="X14" s="257">
        <f>'Income Statement'!W32</f>
        <v/>
      </c>
      <c r="Y14" s="257">
        <f>'Income Statement'!X32</f>
        <v/>
      </c>
      <c r="Z14" s="257">
        <f>'Income Statement'!Y32</f>
        <v/>
      </c>
      <c r="AB14" s="257">
        <f>'Income Statement'!AA32</f>
        <v/>
      </c>
      <c r="AC14" s="257">
        <f>'Income Statement'!AB32</f>
        <v/>
      </c>
      <c r="AD14" s="257">
        <f>'Income Statement'!AC32</f>
        <v/>
      </c>
      <c r="AE14" s="257">
        <f>'Income Statement'!AD32</f>
        <v/>
      </c>
      <c r="AF14" s="257">
        <f>'Income Statement'!AE32</f>
        <v/>
      </c>
      <c r="AH14" s="258">
        <f>SUM(S14:V14)</f>
        <v/>
      </c>
      <c r="AI14" s="258">
        <f>SUM(W14:Z14)</f>
        <v/>
      </c>
    </row>
    <row r="15" ht="12.75" customHeight="1">
      <c r="C15" s="255" t="inlineStr">
        <is>
          <t>Adjustments required to reconcile net (loss) income to cash flows from operating activities:</t>
        </is>
      </c>
    </row>
    <row r="16" ht="12.75" customHeight="1">
      <c r="C16" s="256" t="inlineStr">
        <is>
          <t>Depreciation and amortization</t>
        </is>
      </c>
      <c r="E16" s="259" t="n">
        <v>86</v>
      </c>
      <c r="F16" s="259">
        <f>170-E16</f>
        <v/>
      </c>
      <c r="G16" s="259">
        <f>249-SUM(E16:F16)</f>
        <v/>
      </c>
      <c r="H16" s="258">
        <f>AB16-SUM(E16:G16)</f>
        <v/>
      </c>
      <c r="I16" s="259" t="n">
        <v>72</v>
      </c>
      <c r="J16" s="259">
        <f>140-I16</f>
        <v/>
      </c>
      <c r="K16" s="259">
        <f>205-SUM(I16:J16)</f>
        <v/>
      </c>
      <c r="L16" s="258">
        <f>AC16-SUM(I16:K16)</f>
        <v/>
      </c>
      <c r="M16" s="259" t="n">
        <v>64</v>
      </c>
      <c r="N16" s="259">
        <f>126-M16</f>
        <v/>
      </c>
      <c r="O16" s="259">
        <f>189-SUM(M16:N16)</f>
        <v/>
      </c>
      <c r="P16" s="258">
        <f>AD16-SUM(M16:O16)</f>
        <v/>
      </c>
      <c r="Q16" s="259" t="n">
        <v>59</v>
      </c>
      <c r="R16" s="259">
        <f>118-Q16</f>
        <v/>
      </c>
      <c r="S16" s="259">
        <f>177-SUM(Q16:R16)</f>
        <v/>
      </c>
      <c r="T16" s="258">
        <f>AE16-SUM(Q16:S16)</f>
        <v/>
      </c>
      <c r="U16" s="259" t="n">
        <v>60</v>
      </c>
      <c r="V16" s="259">
        <f>117-U16</f>
        <v/>
      </c>
      <c r="W16" s="259">
        <f>224-SUM(U16:V16)</f>
        <v/>
      </c>
      <c r="X16" s="258">
        <f>AF16-SUM(U16:W16)</f>
        <v/>
      </c>
      <c r="Y16" s="259" t="n">
        <v>100</v>
      </c>
      <c r="Z16" s="259">
        <f>201-Y16</f>
        <v/>
      </c>
      <c r="AB16" s="259" t="n">
        <v>327</v>
      </c>
      <c r="AC16" s="259" t="n">
        <v>270</v>
      </c>
      <c r="AD16" s="259" t="n">
        <v>251</v>
      </c>
      <c r="AE16" s="259" t="n">
        <v>274</v>
      </c>
      <c r="AF16" s="259" t="n">
        <v>331</v>
      </c>
      <c r="AH16" s="258">
        <f>SUM(S16:V16)</f>
        <v/>
      </c>
      <c r="AI16" s="258">
        <f>SUM(W16:Z16)</f>
        <v/>
      </c>
    </row>
    <row r="17" ht="12.75" customHeight="1">
      <c r="C17" s="256" t="inlineStr">
        <is>
          <t>Provisions</t>
        </is>
      </c>
      <c r="E17" s="260" t="n">
        <v>20</v>
      </c>
      <c r="F17" s="260">
        <f>34-E17</f>
        <v/>
      </c>
      <c r="G17" s="260">
        <f>38-SUM(E17:F17)</f>
        <v/>
      </c>
      <c r="H17" s="261">
        <f>AB17-SUM(E17:G17)</f>
        <v/>
      </c>
      <c r="I17" s="260" t="n">
        <v>19</v>
      </c>
      <c r="J17" s="260">
        <f>35-I17</f>
        <v/>
      </c>
      <c r="K17" s="260">
        <f>48-SUM(I17:J17)</f>
        <v/>
      </c>
      <c r="L17" s="261">
        <f>AC17-SUM(I17:K17)</f>
        <v/>
      </c>
      <c r="M17" s="260" t="n">
        <v>0</v>
      </c>
      <c r="N17" s="260">
        <f>21-M17</f>
        <v/>
      </c>
      <c r="O17" s="260">
        <f>37-SUM(M17:N17)</f>
        <v/>
      </c>
      <c r="P17" s="261">
        <f>AD17-SUM(M17:O17)</f>
        <v/>
      </c>
      <c r="Q17" s="260" t="n">
        <v>57</v>
      </c>
      <c r="R17" s="260">
        <f>79-Q17</f>
        <v/>
      </c>
      <c r="S17" s="260">
        <f>92-SUM(Q17:R17)</f>
        <v/>
      </c>
      <c r="T17" s="261">
        <f>AE17-SUM(Q17:S17)</f>
        <v/>
      </c>
      <c r="U17" s="260" t="n">
        <v>18</v>
      </c>
      <c r="V17" s="260">
        <f>48-U17</f>
        <v/>
      </c>
      <c r="W17" s="260">
        <f>67-SUM(U17:V17)</f>
        <v/>
      </c>
      <c r="X17" s="261">
        <f>AF17-SUM(U17:W17)</f>
        <v/>
      </c>
      <c r="Y17" s="260" t="n">
        <v>18</v>
      </c>
      <c r="Z17" s="260">
        <f>36-Y17</f>
        <v/>
      </c>
      <c r="AB17" s="260" t="n">
        <v>46</v>
      </c>
      <c r="AC17" s="260" t="n">
        <v>65</v>
      </c>
      <c r="AD17" s="260" t="n">
        <v>54</v>
      </c>
      <c r="AE17" s="260" t="n">
        <v>110</v>
      </c>
      <c r="AF17" s="260" t="n">
        <v>85</v>
      </c>
      <c r="AH17" s="261">
        <f>SUM(S17:V17)</f>
        <v/>
      </c>
      <c r="AI17" s="261">
        <f>SUM(W17:Z17)</f>
        <v/>
      </c>
    </row>
    <row r="18" ht="12.75" customHeight="1">
      <c r="C18" s="256" t="inlineStr">
        <is>
          <t>Net (gain) loss on early extinguishment of debt</t>
        </is>
      </c>
      <c r="E18" s="261" t="n"/>
      <c r="F18" s="261" t="n"/>
      <c r="G18" s="261" t="n"/>
      <c r="H18" s="261" t="n"/>
      <c r="I18" s="261" t="n"/>
      <c r="J18" s="261" t="n"/>
      <c r="K18" s="261" t="n"/>
      <c r="L18" s="261" t="n"/>
      <c r="M18" s="261" t="n"/>
      <c r="N18" s="261" t="n"/>
      <c r="O18" s="261" t="n"/>
      <c r="P18" s="261" t="n"/>
      <c r="Q18" s="261" t="n"/>
      <c r="R18" s="261" t="n"/>
      <c r="S18" s="261" t="n"/>
      <c r="T18" s="261" t="n"/>
      <c r="U18" s="261" t="n"/>
      <c r="V18" s="261" t="n"/>
      <c r="W18" s="261" t="n"/>
      <c r="X18" s="261" t="n"/>
      <c r="Y18" s="260" t="n">
        <v>-56</v>
      </c>
      <c r="Z18" s="260">
        <f>-95-Y18</f>
        <v/>
      </c>
      <c r="AB18" s="261" t="n"/>
      <c r="AC18" s="261" t="n"/>
      <c r="AD18" s="261" t="n"/>
      <c r="AE18" s="261" t="n"/>
      <c r="AF18" s="261" t="n"/>
      <c r="AH18" s="261">
        <f>SUM(S18:V18)</f>
        <v/>
      </c>
      <c r="AI18" s="261">
        <f>SUM(W18:Z18)</f>
        <v/>
      </c>
    </row>
    <row r="19" ht="12.75" customHeight="1">
      <c r="C19" s="256" t="inlineStr">
        <is>
          <t>Net (gain) loss on sales of businesses and assets</t>
        </is>
      </c>
      <c r="E19" s="260" t="n">
        <v>0</v>
      </c>
      <c r="F19" s="260">
        <f>-1-E19</f>
        <v/>
      </c>
      <c r="G19" s="260">
        <f>-40-SUM(E19:F19)</f>
        <v/>
      </c>
      <c r="H19" s="261">
        <f>AB19-SUM(E19:G19)</f>
        <v/>
      </c>
      <c r="I19" s="260" t="n">
        <v>0</v>
      </c>
      <c r="J19" s="260">
        <f>-1-I19</f>
        <v/>
      </c>
      <c r="K19" s="260">
        <f>-17-SUM(I19:J19)</f>
        <v/>
      </c>
      <c r="L19" s="261">
        <f>AC19-SUM(I19:K19)</f>
        <v/>
      </c>
      <c r="M19" s="260" t="n">
        <v>0</v>
      </c>
      <c r="N19" s="260">
        <f>-2-M19</f>
        <v/>
      </c>
      <c r="O19" s="260">
        <f>-37-SUM(M19:N19)</f>
        <v/>
      </c>
      <c r="P19" s="261">
        <f>AD19-SUM(M19:O19)</f>
        <v/>
      </c>
      <c r="Q19" s="260" t="n">
        <v>0</v>
      </c>
      <c r="R19" s="260">
        <f>-1-Q19</f>
        <v/>
      </c>
      <c r="S19" s="260">
        <f>-3-SUM(Q19:R19)</f>
        <v/>
      </c>
      <c r="T19" s="261">
        <f>AE19-SUM(Q19:S19)</f>
        <v/>
      </c>
      <c r="U19" s="260" t="n">
        <v>-3</v>
      </c>
      <c r="V19" s="260">
        <f>-5-U19</f>
        <v/>
      </c>
      <c r="W19" s="260">
        <f>-6-SUM(U19:V19)</f>
        <v/>
      </c>
      <c r="X19" s="261">
        <f>AF19-SUM(U19:W19)</f>
        <v/>
      </c>
      <c r="Y19" s="260" t="n">
        <v>2</v>
      </c>
      <c r="Z19" s="260">
        <f>2-Y19</f>
        <v/>
      </c>
      <c r="AB19" s="260" t="n">
        <v>-40</v>
      </c>
      <c r="AC19" s="260" t="n">
        <v>-56</v>
      </c>
      <c r="AD19" s="260" t="n">
        <v>-39</v>
      </c>
      <c r="AE19" s="260" t="n">
        <v>-8</v>
      </c>
      <c r="AF19" s="260" t="n">
        <v>-5</v>
      </c>
      <c r="AH19" s="261">
        <f>SUM(S19:V19)</f>
        <v/>
      </c>
      <c r="AI19" s="261">
        <f>SUM(W19:Z19)</f>
        <v/>
      </c>
    </row>
    <row r="20" ht="12.75" customHeight="1">
      <c r="C20" s="256" t="inlineStr">
        <is>
          <t>Inventory-related purchase accounting adjustment, noncash (Lexmark)</t>
        </is>
      </c>
      <c r="E20" s="261" t="n"/>
      <c r="F20" s="261" t="n"/>
      <c r="G20" s="261" t="n"/>
      <c r="H20" s="261" t="n"/>
      <c r="I20" s="261" t="n"/>
      <c r="J20" s="261" t="n"/>
      <c r="K20" s="261" t="n"/>
      <c r="L20" s="261" t="n"/>
      <c r="M20" s="261" t="n"/>
      <c r="N20" s="261" t="n"/>
      <c r="O20" s="261" t="n"/>
      <c r="P20" s="261" t="n"/>
      <c r="Q20" s="261" t="n"/>
      <c r="R20" s="261" t="n"/>
      <c r="S20" s="261" t="n"/>
      <c r="T20" s="261" t="n"/>
      <c r="U20" s="260" t="n">
        <v>0</v>
      </c>
      <c r="V20" s="260">
        <f>0-U20</f>
        <v/>
      </c>
      <c r="W20" s="260">
        <f>102-SUM(U20:V20)</f>
        <v/>
      </c>
      <c r="X20" s="261">
        <f>AF20-SUM(U20:W20)</f>
        <v/>
      </c>
      <c r="Y20" s="261" t="n"/>
      <c r="Z20" s="261" t="n"/>
      <c r="AB20" s="261" t="n"/>
      <c r="AC20" s="261" t="n"/>
      <c r="AD20" s="261" t="n"/>
      <c r="AE20" s="261" t="n"/>
      <c r="AF20" s="260" t="n">
        <v>102</v>
      </c>
      <c r="AH20" s="261">
        <f>SUM(S20:V20)</f>
        <v/>
      </c>
      <c r="AI20" s="261">
        <f>SUM(W20:Z20)</f>
        <v/>
      </c>
    </row>
    <row r="21" ht="12.75" customHeight="1">
      <c r="C21" s="256" t="inlineStr">
        <is>
          <t>Effective settlement of pre-existing relationship between Lexmark and Xerox</t>
        </is>
      </c>
      <c r="E21" s="261" t="n"/>
      <c r="F21" s="261" t="n"/>
      <c r="G21" s="261" t="n"/>
      <c r="H21" s="261" t="n"/>
      <c r="I21" s="261" t="n"/>
      <c r="J21" s="261" t="n"/>
      <c r="K21" s="261" t="n"/>
      <c r="L21" s="261" t="n"/>
      <c r="M21" s="261" t="n"/>
      <c r="N21" s="261" t="n"/>
      <c r="O21" s="261" t="n"/>
      <c r="P21" s="261" t="n"/>
      <c r="Q21" s="261" t="n"/>
      <c r="R21" s="261" t="n"/>
      <c r="S21" s="261" t="n"/>
      <c r="T21" s="261" t="n"/>
      <c r="U21" s="260" t="n">
        <v>0</v>
      </c>
      <c r="V21" s="260">
        <f>0-U21</f>
        <v/>
      </c>
      <c r="W21" s="260">
        <f>-43-SUM(U21:V21)</f>
        <v/>
      </c>
      <c r="X21" s="261">
        <f>AF21-SUM(U21:W21)</f>
        <v/>
      </c>
      <c r="Y21" s="261" t="n"/>
      <c r="Z21" s="261" t="n"/>
      <c r="AB21" s="261" t="n"/>
      <c r="AC21" s="261" t="n"/>
      <c r="AD21" s="261" t="n"/>
      <c r="AE21" s="261" t="n"/>
      <c r="AF21" s="260" t="n">
        <v>-43</v>
      </c>
      <c r="AH21" s="261">
        <f>SUM(S21:V21)</f>
        <v/>
      </c>
      <c r="AI21" s="261">
        <f>SUM(W21:Z21)</f>
        <v/>
      </c>
    </row>
    <row r="22" ht="12.75" customHeight="1">
      <c r="C22" s="256" t="inlineStr">
        <is>
          <t>Divestitures</t>
        </is>
      </c>
      <c r="E22" s="262">
        <f>'Income Statement'!D24</f>
        <v/>
      </c>
      <c r="F22" s="262">
        <f>'Income Statement'!E24</f>
        <v/>
      </c>
      <c r="G22" s="262">
        <f>'Income Statement'!F24</f>
        <v/>
      </c>
      <c r="H22" s="262">
        <f>'Income Statement'!G24</f>
        <v/>
      </c>
      <c r="I22" s="262">
        <f>'Income Statement'!H24</f>
        <v/>
      </c>
      <c r="J22" s="262">
        <f>'Income Statement'!I24</f>
        <v/>
      </c>
      <c r="K22" s="262">
        <f>'Income Statement'!J24</f>
        <v/>
      </c>
      <c r="L22" s="262">
        <f>'Income Statement'!K24</f>
        <v/>
      </c>
      <c r="M22" s="262">
        <f>'Income Statement'!L24</f>
        <v/>
      </c>
      <c r="N22" s="262">
        <f>'Income Statement'!M24</f>
        <v/>
      </c>
      <c r="O22" s="262">
        <f>'Income Statement'!N24</f>
        <v/>
      </c>
      <c r="P22" s="262">
        <f>'Income Statement'!O24</f>
        <v/>
      </c>
      <c r="Q22" s="262">
        <f>'Income Statement'!P24</f>
        <v/>
      </c>
      <c r="R22" s="262">
        <f>'Income Statement'!Q24</f>
        <v/>
      </c>
      <c r="S22" s="262">
        <f>'Income Statement'!R24</f>
        <v/>
      </c>
      <c r="T22" s="262">
        <f>'Income Statement'!S24</f>
        <v/>
      </c>
      <c r="U22" s="262">
        <f>'Income Statement'!T24</f>
        <v/>
      </c>
      <c r="V22" s="262">
        <f>'Income Statement'!U24</f>
        <v/>
      </c>
      <c r="W22" s="262">
        <f>'Income Statement'!V24</f>
        <v/>
      </c>
      <c r="X22" s="262">
        <f>'Income Statement'!W24</f>
        <v/>
      </c>
      <c r="Y22" s="262">
        <f>'Income Statement'!X24</f>
        <v/>
      </c>
      <c r="Z22" s="262">
        <f>'Income Statement'!Y24</f>
        <v/>
      </c>
      <c r="AB22" s="262">
        <f>'Income Statement'!AA24</f>
        <v/>
      </c>
      <c r="AC22" s="262">
        <f>'Income Statement'!AB24</f>
        <v/>
      </c>
      <c r="AD22" s="262">
        <f>'Income Statement'!AC24</f>
        <v/>
      </c>
      <c r="AE22" s="262">
        <f>'Income Statement'!AD24</f>
        <v/>
      </c>
      <c r="AF22" s="262">
        <f>'Income Statement'!AE24</f>
        <v/>
      </c>
      <c r="AH22" s="261">
        <f>SUM(S22:V22)</f>
        <v/>
      </c>
      <c r="AI22" s="261">
        <f>SUM(W22:Z22)</f>
        <v/>
      </c>
    </row>
    <row r="23" ht="12.75" customHeight="1">
      <c r="C23" s="256" t="inlineStr">
        <is>
          <t>PARC donation</t>
        </is>
      </c>
      <c r="E23" s="262">
        <f>'Income Statement'!D25</f>
        <v/>
      </c>
      <c r="F23" s="262">
        <f>'Income Statement'!E25</f>
        <v/>
      </c>
      <c r="G23" s="262">
        <f>'Income Statement'!F25</f>
        <v/>
      </c>
      <c r="H23" s="262">
        <f>'Income Statement'!G25</f>
        <v/>
      </c>
      <c r="I23" s="262">
        <f>'Income Statement'!H25</f>
        <v/>
      </c>
      <c r="J23" s="262">
        <f>'Income Statement'!I25</f>
        <v/>
      </c>
      <c r="K23" s="262">
        <f>'Income Statement'!J25</f>
        <v/>
      </c>
      <c r="L23" s="262">
        <f>'Income Statement'!K25</f>
        <v/>
      </c>
      <c r="M23" s="262">
        <f>'Income Statement'!L25</f>
        <v/>
      </c>
      <c r="N23" s="262">
        <f>'Income Statement'!M25</f>
        <v/>
      </c>
      <c r="O23" s="262">
        <f>'Income Statement'!N25</f>
        <v/>
      </c>
      <c r="P23" s="262">
        <f>'Income Statement'!O25</f>
        <v/>
      </c>
      <c r="Q23" s="262">
        <f>'Income Statement'!P25</f>
        <v/>
      </c>
      <c r="R23" s="262">
        <f>'Income Statement'!Q25</f>
        <v/>
      </c>
      <c r="S23" s="262">
        <f>'Income Statement'!R25</f>
        <v/>
      </c>
      <c r="T23" s="262">
        <f>'Income Statement'!S25</f>
        <v/>
      </c>
      <c r="U23" s="262">
        <f>'Income Statement'!T25</f>
        <v/>
      </c>
      <c r="V23" s="262">
        <f>'Income Statement'!U25</f>
        <v/>
      </c>
      <c r="W23" s="262">
        <f>'Income Statement'!V25</f>
        <v/>
      </c>
      <c r="X23" s="262">
        <f>'Income Statement'!W25</f>
        <v/>
      </c>
      <c r="Y23" s="262">
        <f>'Income Statement'!X25</f>
        <v/>
      </c>
      <c r="Z23" s="262">
        <f>'Income Statement'!Y25</f>
        <v/>
      </c>
      <c r="AB23" s="262">
        <f>'Income Statement'!AA25</f>
        <v/>
      </c>
      <c r="AC23" s="262">
        <f>'Income Statement'!AB25</f>
        <v/>
      </c>
      <c r="AD23" s="262">
        <f>'Income Statement'!AC25</f>
        <v/>
      </c>
      <c r="AE23" s="262">
        <f>'Income Statement'!AD25</f>
        <v/>
      </c>
      <c r="AF23" s="262">
        <f>'Income Statement'!AE25</f>
        <v/>
      </c>
      <c r="AH23" s="261">
        <f>SUM(S23:V23)</f>
        <v/>
      </c>
      <c r="AI23" s="261">
        <f>SUM(W23:Z23)</f>
        <v/>
      </c>
    </row>
    <row r="24" ht="12.75" customHeight="1">
      <c r="C24" s="256" t="inlineStr">
        <is>
          <t>Goodwill impairment</t>
        </is>
      </c>
      <c r="E24" s="262">
        <f>'Income Statement'!D21</f>
        <v/>
      </c>
      <c r="F24" s="262">
        <f>'Income Statement'!E21</f>
        <v/>
      </c>
      <c r="G24" s="262">
        <f>'Income Statement'!F21</f>
        <v/>
      </c>
      <c r="H24" s="262">
        <f>'Income Statement'!G21</f>
        <v/>
      </c>
      <c r="I24" s="262">
        <f>'Income Statement'!H21</f>
        <v/>
      </c>
      <c r="J24" s="262">
        <f>'Income Statement'!I21</f>
        <v/>
      </c>
      <c r="K24" s="262">
        <f>'Income Statement'!J21</f>
        <v/>
      </c>
      <c r="L24" s="262">
        <f>'Income Statement'!K21</f>
        <v/>
      </c>
      <c r="M24" s="262">
        <f>'Income Statement'!L21</f>
        <v/>
      </c>
      <c r="N24" s="262">
        <f>'Income Statement'!M21</f>
        <v/>
      </c>
      <c r="O24" s="262">
        <f>'Income Statement'!N21</f>
        <v/>
      </c>
      <c r="P24" s="262">
        <f>'Income Statement'!O21</f>
        <v/>
      </c>
      <c r="Q24" s="262">
        <f>'Income Statement'!P21</f>
        <v/>
      </c>
      <c r="R24" s="262">
        <f>'Income Statement'!Q21</f>
        <v/>
      </c>
      <c r="S24" s="262">
        <f>'Income Statement'!R21</f>
        <v/>
      </c>
      <c r="T24" s="262">
        <f>'Income Statement'!S21</f>
        <v/>
      </c>
      <c r="U24" s="262">
        <f>'Income Statement'!T21</f>
        <v/>
      </c>
      <c r="V24" s="262">
        <f>'Income Statement'!U21</f>
        <v/>
      </c>
      <c r="W24" s="262">
        <f>'Income Statement'!V21</f>
        <v/>
      </c>
      <c r="X24" s="262">
        <f>'Income Statement'!W21</f>
        <v/>
      </c>
      <c r="Y24" s="262">
        <f>'Income Statement'!X21</f>
        <v/>
      </c>
      <c r="Z24" s="262">
        <f>'Income Statement'!Y21</f>
        <v/>
      </c>
      <c r="AB24" s="262">
        <f>'Income Statement'!AA21</f>
        <v/>
      </c>
      <c r="AC24" s="262">
        <f>'Income Statement'!AB21</f>
        <v/>
      </c>
      <c r="AD24" s="262">
        <f>'Income Statement'!AC21</f>
        <v/>
      </c>
      <c r="AE24" s="262">
        <f>'Income Statement'!AD21</f>
        <v/>
      </c>
      <c r="AF24" s="262">
        <f>'Income Statement'!AE21</f>
        <v/>
      </c>
      <c r="AH24" s="261">
        <f>SUM(S24:V24)</f>
        <v/>
      </c>
      <c r="AI24" s="261">
        <f>SUM(W24:Z24)</f>
        <v/>
      </c>
    </row>
    <row r="25" ht="12.75" customHeight="1">
      <c r="C25" s="256" t="inlineStr">
        <is>
          <t>Stock-based compensation</t>
        </is>
      </c>
      <c r="E25" s="260" t="n">
        <v>16</v>
      </c>
      <c r="F25" s="260">
        <f>30-E25</f>
        <v/>
      </c>
      <c r="G25" s="260">
        <f>44-SUM(E25:F25)</f>
        <v/>
      </c>
      <c r="H25" s="261">
        <f>AB25-SUM(E25:G25)</f>
        <v/>
      </c>
      <c r="I25" s="260" t="n">
        <v>15</v>
      </c>
      <c r="J25" s="260">
        <f>50-I25</f>
        <v/>
      </c>
      <c r="K25" s="260">
        <f>63-SUM(I25:J25)</f>
        <v/>
      </c>
      <c r="L25" s="261">
        <f>AC25-SUM(I25:K25)</f>
        <v/>
      </c>
      <c r="M25" s="260" t="n">
        <v>14</v>
      </c>
      <c r="N25" s="260">
        <f>28-M25</f>
        <v/>
      </c>
      <c r="O25" s="260">
        <f>40-SUM(M25:N25)</f>
        <v/>
      </c>
      <c r="P25" s="261">
        <f>AD25-SUM(M25:O25)</f>
        <v/>
      </c>
      <c r="Q25" s="260" t="n">
        <v>12</v>
      </c>
      <c r="R25" s="260">
        <f>29-Q25</f>
        <v/>
      </c>
      <c r="S25" s="260">
        <f>38-SUM(Q25:R25)</f>
        <v/>
      </c>
      <c r="T25" s="261">
        <f>AE25-SUM(Q25:S25)</f>
        <v/>
      </c>
      <c r="U25" s="260" t="n">
        <v>12</v>
      </c>
      <c r="V25" s="260">
        <f>26-U25</f>
        <v/>
      </c>
      <c r="W25" s="260">
        <f>33-SUM(U25:V25)</f>
        <v/>
      </c>
      <c r="X25" s="261">
        <f>AF25-SUM(U25:W25)</f>
        <v/>
      </c>
      <c r="Y25" s="260" t="n">
        <v>9</v>
      </c>
      <c r="Z25" s="260">
        <f>18-Y25</f>
        <v/>
      </c>
      <c r="AB25" s="260" t="n">
        <v>54</v>
      </c>
      <c r="AC25" s="260" t="n">
        <v>75</v>
      </c>
      <c r="AD25" s="260" t="n">
        <v>54</v>
      </c>
      <c r="AE25" s="260" t="n">
        <v>52</v>
      </c>
      <c r="AF25" s="260" t="n">
        <v>45</v>
      </c>
      <c r="AH25" s="261">
        <f>SUM(S25:V25)</f>
        <v/>
      </c>
      <c r="AI25" s="261">
        <f>SUM(W25:Z25)</f>
        <v/>
      </c>
    </row>
    <row r="26" ht="12.75" customHeight="1">
      <c r="C26" s="256" t="inlineStr">
        <is>
          <t>Restructuring and asset impairment charges</t>
        </is>
      </c>
      <c r="E26" s="260" t="n">
        <v>21</v>
      </c>
      <c r="F26" s="260">
        <f>25-E26</f>
        <v/>
      </c>
      <c r="G26" s="260">
        <f>28-SUM(E26:F26)</f>
        <v/>
      </c>
      <c r="H26" s="261">
        <f>AB26-SUM(E26:G26)</f>
        <v/>
      </c>
      <c r="I26" s="260" t="n">
        <v>20</v>
      </c>
      <c r="J26" s="260">
        <f>22-I26</f>
        <v/>
      </c>
      <c r="K26" s="260">
        <f>44-SUM(I26:J26)</f>
        <v/>
      </c>
      <c r="L26" s="261">
        <f>AC26-SUM(I26:K26)</f>
        <v/>
      </c>
      <c r="M26" s="260" t="n">
        <v>1</v>
      </c>
      <c r="N26" s="260">
        <f>14-M26</f>
        <v/>
      </c>
      <c r="O26" s="260">
        <f>25-SUM(M26:N26)</f>
        <v/>
      </c>
      <c r="P26" s="261">
        <f>AD26-SUM(M26:O26)</f>
        <v/>
      </c>
      <c r="Q26" s="260" t="n">
        <v>31</v>
      </c>
      <c r="R26" s="260">
        <f>34-Q26</f>
        <v/>
      </c>
      <c r="S26" s="260">
        <f>80-SUM(Q26:R26)</f>
        <v/>
      </c>
      <c r="T26" s="261">
        <f>AE26-SUM(Q26:S26)</f>
        <v/>
      </c>
      <c r="U26" s="260" t="n">
        <v>-1</v>
      </c>
      <c r="V26" s="260">
        <f>10-U26</f>
        <v/>
      </c>
      <c r="W26" s="260">
        <f>69-SUM(U26:V26)</f>
        <v/>
      </c>
      <c r="X26" s="261">
        <f>AF26-SUM(U26:W26)</f>
        <v/>
      </c>
      <c r="Y26" s="260" t="n">
        <v>44</v>
      </c>
      <c r="Z26" s="260">
        <f>65-Y26</f>
        <v/>
      </c>
      <c r="AB26" s="260" t="n">
        <v>27</v>
      </c>
      <c r="AC26" s="260" t="n">
        <v>62</v>
      </c>
      <c r="AD26" s="260" t="n">
        <v>146</v>
      </c>
      <c r="AE26" s="260" t="n">
        <v>87</v>
      </c>
      <c r="AF26" s="260" t="n">
        <v>67</v>
      </c>
      <c r="AH26" s="261">
        <f>SUM(S26:V26)</f>
        <v/>
      </c>
      <c r="AI26" s="261">
        <f>SUM(W26:Z26)</f>
        <v/>
      </c>
    </row>
    <row r="27" ht="12.75" customHeight="1">
      <c r="C27" s="256" t="inlineStr">
        <is>
          <t>Payments for restructurings</t>
        </is>
      </c>
      <c r="E27" s="260" t="n">
        <v>-27</v>
      </c>
      <c r="F27" s="260">
        <f>-49-E27</f>
        <v/>
      </c>
      <c r="G27" s="260">
        <f>-61-SUM(E27:F27)</f>
        <v/>
      </c>
      <c r="H27" s="261">
        <f>AB27-SUM(E27:G27)</f>
        <v/>
      </c>
      <c r="I27" s="260" t="n">
        <v>-7</v>
      </c>
      <c r="J27" s="260">
        <f>-21-I27</f>
        <v/>
      </c>
      <c r="K27" s="260">
        <f>-38-SUM(I27:J27)</f>
        <v/>
      </c>
      <c r="L27" s="261">
        <f>AC27-SUM(I27:K27)</f>
        <v/>
      </c>
      <c r="M27" s="260" t="n">
        <v>-6</v>
      </c>
      <c r="N27" s="260">
        <f>-14-M27</f>
        <v/>
      </c>
      <c r="O27" s="260">
        <f>-23-SUM(M27:N27)</f>
        <v/>
      </c>
      <c r="P27" s="261">
        <f>AD27-SUM(M27:O27)</f>
        <v/>
      </c>
      <c r="Q27" s="260" t="n">
        <v>-16</v>
      </c>
      <c r="R27" s="260">
        <f>-47-Q27</f>
        <v/>
      </c>
      <c r="S27" s="260">
        <f>-58-SUM(Q27:R27)</f>
        <v/>
      </c>
      <c r="T27" s="261">
        <f>AE27-SUM(Q27:S27)</f>
        <v/>
      </c>
      <c r="U27" s="260" t="n">
        <v>-18</v>
      </c>
      <c r="V27" s="260">
        <f>-33-U27</f>
        <v/>
      </c>
      <c r="W27" s="260">
        <f>-41-SUM(U27:V27)</f>
        <v/>
      </c>
      <c r="X27" s="261">
        <f>AF27-SUM(U27:W27)</f>
        <v/>
      </c>
      <c r="Y27" s="260" t="n">
        <v>-21</v>
      </c>
      <c r="Z27" s="260">
        <f>-40-Y27</f>
        <v/>
      </c>
      <c r="AB27" s="260" t="n">
        <v>-72</v>
      </c>
      <c r="AC27" s="260" t="n">
        <v>-52</v>
      </c>
      <c r="AD27" s="260" t="n">
        <v>-27</v>
      </c>
      <c r="AE27" s="260" t="n">
        <v>-78</v>
      </c>
      <c r="AF27" s="260" t="n">
        <v>-69</v>
      </c>
      <c r="AH27" s="261">
        <f>SUM(S27:V27)</f>
        <v/>
      </c>
      <c r="AI27" s="261">
        <f>SUM(W27:Z27)</f>
        <v/>
      </c>
    </row>
    <row r="28" ht="12.75" customHeight="1">
      <c r="C28" s="256" t="inlineStr">
        <is>
          <t>Non-service retirement-related costs</t>
        </is>
      </c>
      <c r="E28" s="260" t="n">
        <v>0</v>
      </c>
      <c r="F28" s="260">
        <f>-2-E28</f>
        <v/>
      </c>
      <c r="G28" s="260">
        <f>-5-SUM(E28:F28)</f>
        <v/>
      </c>
      <c r="H28" s="261">
        <f>AB28-SUM(E28:G28)</f>
        <v/>
      </c>
      <c r="I28" s="260" t="n">
        <v>-7</v>
      </c>
      <c r="J28" s="260">
        <f>-11-I28</f>
        <v/>
      </c>
      <c r="K28" s="260">
        <f>-18-SUM(I28:J28)</f>
        <v/>
      </c>
      <c r="L28" s="261">
        <f>AC28-SUM(I28:K28)</f>
        <v/>
      </c>
      <c r="M28" s="260" t="n">
        <v>-1</v>
      </c>
      <c r="N28" s="260">
        <f>10-M28</f>
        <v/>
      </c>
      <c r="O28" s="260">
        <f>14-SUM(M28:N28)</f>
        <v/>
      </c>
      <c r="P28" s="261">
        <f>AD28-SUM(M28:O28)</f>
        <v/>
      </c>
      <c r="Q28" s="260" t="n">
        <v>23</v>
      </c>
      <c r="R28" s="260">
        <f>49-Q28</f>
        <v/>
      </c>
      <c r="S28" s="260">
        <f>74-SUM(Q28:R28)</f>
        <v/>
      </c>
      <c r="T28" s="261">
        <f>AE28-SUM(Q28:S28)</f>
        <v/>
      </c>
      <c r="U28" s="260" t="n">
        <v>18</v>
      </c>
      <c r="V28" s="260">
        <f>37-U28</f>
        <v/>
      </c>
      <c r="W28" s="260">
        <f>57-SUM(U28:V28)</f>
        <v/>
      </c>
      <c r="X28" s="261">
        <f>AF28-SUM(U28:W28)</f>
        <v/>
      </c>
      <c r="Y28" s="260" t="n">
        <v>21</v>
      </c>
      <c r="Z28" s="260">
        <f>42-Y28</f>
        <v/>
      </c>
      <c r="AB28" s="260" t="n">
        <v>-10</v>
      </c>
      <c r="AC28" s="260" t="n">
        <v>-12</v>
      </c>
      <c r="AD28" s="260" t="n">
        <v>19</v>
      </c>
      <c r="AE28" s="260" t="n">
        <v>80</v>
      </c>
      <c r="AF28" s="260" t="n">
        <v>78</v>
      </c>
      <c r="AH28" s="261">
        <f>SUM(S28:V28)</f>
        <v/>
      </c>
      <c r="AI28" s="261">
        <f>SUM(W28:Z28)</f>
        <v/>
      </c>
    </row>
    <row r="29" ht="12.75" customHeight="1">
      <c r="C29" s="256" t="inlineStr">
        <is>
          <t>Contributions to retirement plans</t>
        </is>
      </c>
      <c r="E29" s="260" t="n">
        <v>-35</v>
      </c>
      <c r="F29" s="260">
        <f>-69-E29</f>
        <v/>
      </c>
      <c r="G29" s="260">
        <f>-102-SUM(E29:F29)</f>
        <v/>
      </c>
      <c r="H29" s="261">
        <f>AB29-SUM(E29:G29)</f>
        <v/>
      </c>
      <c r="I29" s="260" t="n">
        <v>-38</v>
      </c>
      <c r="J29" s="260">
        <f>-72-I29</f>
        <v/>
      </c>
      <c r="K29" s="260">
        <f>-106-SUM(I29:J29)</f>
        <v/>
      </c>
      <c r="L29" s="261">
        <f>AC29-SUM(I29:K29)</f>
        <v/>
      </c>
      <c r="M29" s="260" t="n">
        <v>-17</v>
      </c>
      <c r="N29" s="260">
        <f>-32-M29</f>
        <v/>
      </c>
      <c r="O29" s="260">
        <f>-75-SUM(M29:N29)</f>
        <v/>
      </c>
      <c r="P29" s="261">
        <f>AD29-SUM(M29:O29)</f>
        <v/>
      </c>
      <c r="Q29" s="260" t="n">
        <v>-31</v>
      </c>
      <c r="R29" s="260">
        <f>-58-Q29</f>
        <v/>
      </c>
      <c r="S29" s="260">
        <f>-114-SUM(Q29:R29)</f>
        <v/>
      </c>
      <c r="T29" s="261">
        <f>AE29-SUM(Q29:S29)</f>
        <v/>
      </c>
      <c r="U29" s="260" t="n">
        <v>-34</v>
      </c>
      <c r="V29" s="260">
        <f>-67-U29</f>
        <v/>
      </c>
      <c r="W29" s="260">
        <f>-123-SUM(U29:V29)</f>
        <v/>
      </c>
      <c r="X29" s="261">
        <f>AF29-SUM(U29:W29)</f>
        <v/>
      </c>
      <c r="Y29" s="260" t="n">
        <v>-36</v>
      </c>
      <c r="Z29" s="260">
        <f>-72-Y29</f>
        <v/>
      </c>
      <c r="AB29" s="260" t="n">
        <v>-135</v>
      </c>
      <c r="AC29" s="260" t="n">
        <v>-124</v>
      </c>
      <c r="AD29" s="260" t="n">
        <v>-102</v>
      </c>
      <c r="AE29" s="260" t="n">
        <v>-145</v>
      </c>
      <c r="AF29" s="260" t="n">
        <v>-161</v>
      </c>
      <c r="AH29" s="261">
        <f>SUM(S29:V29)</f>
        <v/>
      </c>
      <c r="AI29" s="261">
        <f>SUM(W29:Z29)</f>
        <v/>
      </c>
    </row>
    <row r="30" ht="12.75" customHeight="1">
      <c r="C30" s="255" t="inlineStr">
        <is>
          <t>Changes in operating assets and liabilities:</t>
        </is>
      </c>
    </row>
    <row r="31" ht="12.75" customHeight="1">
      <c r="C31" s="256" t="inlineStr">
        <is>
          <t>(Increase) decrease in accounts receivable and billed portion of finance receivables</t>
        </is>
      </c>
      <c r="E31" s="260" t="n">
        <v>92</v>
      </c>
      <c r="F31" s="260">
        <f>37-E31</f>
        <v/>
      </c>
      <c r="G31" s="260">
        <f>-30-SUM(E31:F31)</f>
        <v/>
      </c>
      <c r="H31" s="261">
        <f>AB31-SUM(E31:G31)</f>
        <v/>
      </c>
      <c r="I31" s="260" t="n">
        <v>13</v>
      </c>
      <c r="J31" s="260">
        <f>-49-I31</f>
        <v/>
      </c>
      <c r="K31" s="260">
        <f>-48-SUM(I31:J31)</f>
        <v/>
      </c>
      <c r="L31" s="261">
        <f>AC31-SUM(I31:K31)</f>
        <v/>
      </c>
      <c r="M31" s="260" t="n">
        <v>39</v>
      </c>
      <c r="N31" s="260">
        <f>-36-M31</f>
        <v/>
      </c>
      <c r="O31" s="260">
        <f>-47-SUM(M31:N31)</f>
        <v/>
      </c>
      <c r="P31" s="261">
        <f>AD31-SUM(M31:O31)</f>
        <v/>
      </c>
      <c r="Q31" s="260" t="n">
        <v>-19</v>
      </c>
      <c r="R31" s="260">
        <f>-32-Q31</f>
        <v/>
      </c>
      <c r="S31" s="260">
        <f>18-SUM(Q31:R31)</f>
        <v/>
      </c>
      <c r="T31" s="261">
        <f>AE31-SUM(Q31:S31)</f>
        <v/>
      </c>
      <c r="U31" s="260" t="n">
        <v>-12</v>
      </c>
      <c r="V31" s="260">
        <f>-44-U31</f>
        <v/>
      </c>
      <c r="W31" s="260">
        <f>-41-SUM(U31:V31)</f>
        <v/>
      </c>
      <c r="X31" s="261">
        <f>AF31-SUM(U31:W31)</f>
        <v/>
      </c>
      <c r="Y31" s="260" t="n">
        <v>-106</v>
      </c>
      <c r="Z31" s="260">
        <f>-86-Y31</f>
        <v/>
      </c>
      <c r="AB31" s="260" t="n">
        <v>41</v>
      </c>
      <c r="AC31" s="260" t="n">
        <v>-48</v>
      </c>
      <c r="AD31" s="260" t="n">
        <v>-5</v>
      </c>
      <c r="AE31" s="260" t="n">
        <v>71</v>
      </c>
      <c r="AF31" s="260" t="n">
        <v>-36</v>
      </c>
      <c r="AH31" s="261">
        <f>SUM(S31:V31)</f>
        <v/>
      </c>
      <c r="AI31" s="261">
        <f>SUM(W31:Z31)</f>
        <v/>
      </c>
    </row>
    <row r="32" ht="12.75" customHeight="1">
      <c r="C32" s="256" t="inlineStr">
        <is>
          <t>(Increase) decrease in inventories</t>
        </is>
      </c>
      <c r="E32" s="260" t="n">
        <v>-18</v>
      </c>
      <c r="F32" s="260">
        <f>4-E32</f>
        <v/>
      </c>
      <c r="G32" s="260">
        <f>10-SUM(E32:F32)</f>
        <v/>
      </c>
      <c r="H32" s="261">
        <f>AB32-SUM(E32:G32)</f>
        <v/>
      </c>
      <c r="I32" s="260" t="n">
        <v>-31</v>
      </c>
      <c r="J32" s="260">
        <f>-95-I32</f>
        <v/>
      </c>
      <c r="K32" s="260">
        <f>-136-SUM(I32:J32)</f>
        <v/>
      </c>
      <c r="L32" s="261">
        <f>AC32-SUM(I32:K32)</f>
        <v/>
      </c>
      <c r="M32" s="260" t="n">
        <v>-64</v>
      </c>
      <c r="N32" s="260">
        <f>12-M32</f>
        <v/>
      </c>
      <c r="O32" s="260">
        <f>50-SUM(M32:N32)</f>
        <v/>
      </c>
      <c r="P32" s="261">
        <f>AD32-SUM(M32:O32)</f>
        <v/>
      </c>
      <c r="Q32" s="260" t="n">
        <v>-133</v>
      </c>
      <c r="R32" s="260">
        <f>-148-Q32</f>
        <v/>
      </c>
      <c r="S32" s="260">
        <f>-136-SUM(Q32:R32)</f>
        <v/>
      </c>
      <c r="T32" s="261">
        <f>AE32-SUM(Q32:S32)</f>
        <v/>
      </c>
      <c r="U32" s="260" t="n">
        <v>-137</v>
      </c>
      <c r="V32" s="260">
        <f>-160-U32</f>
        <v/>
      </c>
      <c r="W32" s="260">
        <f>-123-SUM(U32:V32)</f>
        <v/>
      </c>
      <c r="X32" s="261">
        <f>AF32-SUM(U32:W32)</f>
        <v/>
      </c>
      <c r="Y32" s="260" t="n">
        <v>-49</v>
      </c>
      <c r="Z32" s="260">
        <f>-60-Y32</f>
        <v/>
      </c>
      <c r="AB32" s="260" t="n">
        <v>88</v>
      </c>
      <c r="AC32" s="260" t="n">
        <v>-143</v>
      </c>
      <c r="AD32" s="260" t="n">
        <v>123</v>
      </c>
      <c r="AE32" s="260" t="n">
        <v>-122</v>
      </c>
      <c r="AF32" s="260" t="n">
        <v>-12</v>
      </c>
      <c r="AH32" s="261">
        <f>SUM(S32:V32)</f>
        <v/>
      </c>
      <c r="AI32" s="261">
        <f>SUM(W32:Z32)</f>
        <v/>
      </c>
    </row>
    <row r="33" ht="12.75" customHeight="1">
      <c r="C33" s="256" t="inlineStr">
        <is>
          <t>Increase in equipment on operating leases</t>
        </is>
      </c>
      <c r="E33" s="260" t="n">
        <v>-28</v>
      </c>
      <c r="F33" s="260">
        <f>-63-E33</f>
        <v/>
      </c>
      <c r="G33" s="260">
        <f>-92-SUM(E33:F33)</f>
        <v/>
      </c>
      <c r="H33" s="261">
        <f>AB33-SUM(E33:G33)</f>
        <v/>
      </c>
      <c r="I33" s="260" t="n">
        <v>-36</v>
      </c>
      <c r="J33" s="260">
        <f>-47-I33</f>
        <v/>
      </c>
      <c r="K33" s="260">
        <f>-74-SUM(I33:J33)</f>
        <v/>
      </c>
      <c r="L33" s="261">
        <f>AC33-SUM(I33:K33)</f>
        <v/>
      </c>
      <c r="M33" s="260" t="n">
        <v>-40</v>
      </c>
      <c r="N33" s="260">
        <f>-77-M33</f>
        <v/>
      </c>
      <c r="O33" s="260">
        <f>-109-SUM(M33:N33)</f>
        <v/>
      </c>
      <c r="P33" s="261">
        <f>AD33-SUM(M33:O33)</f>
        <v/>
      </c>
      <c r="Q33" s="260" t="n">
        <v>-22</v>
      </c>
      <c r="R33" s="260">
        <f>-50-Q33</f>
        <v/>
      </c>
      <c r="S33" s="260">
        <f>-78-SUM(Q33:R33)</f>
        <v/>
      </c>
      <c r="T33" s="261">
        <f>AE33-SUM(Q33:S33)</f>
        <v/>
      </c>
      <c r="U33" s="260" t="n">
        <v>-30</v>
      </c>
      <c r="V33" s="260">
        <f>-52-U33</f>
        <v/>
      </c>
      <c r="W33" s="260">
        <f>-88-SUM(U33:V33)</f>
        <v/>
      </c>
      <c r="X33" s="261">
        <f>AF33-SUM(U33:W33)</f>
        <v/>
      </c>
      <c r="Y33" s="260" t="n">
        <v>-32</v>
      </c>
      <c r="Z33" s="260">
        <f>-67-Y33</f>
        <v/>
      </c>
      <c r="AB33" s="260" t="n">
        <v>-129</v>
      </c>
      <c r="AC33" s="260" t="n">
        <v>-112</v>
      </c>
      <c r="AD33" s="260" t="n">
        <v>-141</v>
      </c>
      <c r="AE33" s="260" t="n">
        <v>-107</v>
      </c>
      <c r="AF33" s="260" t="n">
        <v>-126</v>
      </c>
      <c r="AH33" s="261">
        <f>SUM(S33:V33)</f>
        <v/>
      </c>
      <c r="AI33" s="261">
        <f>SUM(W33:Z33)</f>
        <v/>
      </c>
    </row>
    <row r="34" ht="12.75" customHeight="1">
      <c r="C34" s="256" t="inlineStr">
        <is>
          <t>Decrease (increase) in finance receivables</t>
        </is>
      </c>
      <c r="E34" s="260" t="n">
        <v>37</v>
      </c>
      <c r="F34" s="260">
        <f>12-E34</f>
        <v/>
      </c>
      <c r="G34" s="260">
        <f>33-SUM(E34:F34)</f>
        <v/>
      </c>
      <c r="H34" s="261">
        <f>AB34-SUM(E34:G34)</f>
        <v/>
      </c>
      <c r="I34" s="260" t="n">
        <v>41</v>
      </c>
      <c r="J34" s="260">
        <f>17-I34</f>
        <v/>
      </c>
      <c r="K34" s="260">
        <f>-10-SUM(I34:J34)</f>
        <v/>
      </c>
      <c r="L34" s="261">
        <f>AC34-SUM(I34:K34)</f>
        <v/>
      </c>
      <c r="M34" s="260" t="n">
        <v>160</v>
      </c>
      <c r="N34" s="260">
        <f>407-M34</f>
        <v/>
      </c>
      <c r="O34" s="260">
        <f>490-SUM(M34:N34)</f>
        <v/>
      </c>
      <c r="P34" s="261">
        <f>AD34-SUM(M34:O34)</f>
        <v/>
      </c>
      <c r="Q34" s="260" t="n">
        <v>210</v>
      </c>
      <c r="R34" s="260">
        <f>399-Q34</f>
        <v/>
      </c>
      <c r="S34" s="260">
        <f>496-SUM(Q34:R34)</f>
        <v/>
      </c>
      <c r="T34" s="261">
        <f>AE34-SUM(Q34:S34)</f>
        <v/>
      </c>
      <c r="U34" s="260" t="n">
        <v>128</v>
      </c>
      <c r="V34" s="260">
        <f>212-U34</f>
        <v/>
      </c>
      <c r="W34" s="260">
        <f>338-SUM(U34:V34)</f>
        <v/>
      </c>
      <c r="X34" s="261">
        <f>AF34-SUM(U34:W34)</f>
        <v/>
      </c>
      <c r="Y34" s="260" t="n">
        <v>66</v>
      </c>
      <c r="Z34" s="260">
        <f>157-Y34</f>
        <v/>
      </c>
      <c r="AB34" s="260" t="n">
        <v>20</v>
      </c>
      <c r="AC34" s="260" t="n">
        <v>-141</v>
      </c>
      <c r="AD34" s="260" t="n">
        <v>614</v>
      </c>
      <c r="AE34" s="260" t="n">
        <v>663</v>
      </c>
      <c r="AF34" s="260" t="n">
        <v>489</v>
      </c>
      <c r="AH34" s="261">
        <f>SUM(S34:V34)</f>
        <v/>
      </c>
      <c r="AI34" s="261">
        <f>SUM(W34:Z34)</f>
        <v/>
      </c>
    </row>
    <row r="35" ht="12.75" customHeight="1">
      <c r="C35" s="256" t="inlineStr">
        <is>
          <t>(Increase) decrease in other current and long-term assets</t>
        </is>
      </c>
      <c r="E35" s="260" t="n">
        <v>18</v>
      </c>
      <c r="F35" s="260">
        <f>66-E35</f>
        <v/>
      </c>
      <c r="G35" s="260">
        <f>64-SUM(E35:F35)</f>
        <v/>
      </c>
      <c r="H35" s="261">
        <f>AB35-SUM(E35:G35)</f>
        <v/>
      </c>
      <c r="I35" s="260" t="n">
        <v>-1</v>
      </c>
      <c r="J35" s="260">
        <f>35-I35</f>
        <v/>
      </c>
      <c r="K35" s="260">
        <f>36-SUM(I35:J35)</f>
        <v/>
      </c>
      <c r="L35" s="261">
        <f>AC35-SUM(I35:K35)</f>
        <v/>
      </c>
      <c r="M35" s="260" t="n">
        <v>3</v>
      </c>
      <c r="N35" s="260">
        <f>15-M35</f>
        <v/>
      </c>
      <c r="O35" s="260">
        <f>-8-SUM(M35:N35)</f>
        <v/>
      </c>
      <c r="P35" s="261">
        <f>AD35-SUM(M35:O35)</f>
        <v/>
      </c>
      <c r="Q35" s="260" t="n">
        <v>-2</v>
      </c>
      <c r="R35" s="260">
        <f>14-Q35</f>
        <v/>
      </c>
      <c r="S35" s="260">
        <f>16-SUM(Q35:R35)</f>
        <v/>
      </c>
      <c r="T35" s="261">
        <f>AE35-SUM(Q35:S35)</f>
        <v/>
      </c>
      <c r="U35" s="260" t="n">
        <v>-16</v>
      </c>
      <c r="V35" s="260">
        <f>16-U35</f>
        <v/>
      </c>
      <c r="W35" s="260">
        <f>4-SUM(U35:V35)</f>
        <v/>
      </c>
      <c r="X35" s="261">
        <f>AF35-SUM(U35:W35)</f>
        <v/>
      </c>
      <c r="Y35" s="260" t="n">
        <v>-38</v>
      </c>
      <c r="Z35" s="260">
        <f>-120-Y35</f>
        <v/>
      </c>
      <c r="AB35" s="260" t="n">
        <v>68</v>
      </c>
      <c r="AC35" s="260" t="n">
        <v>27</v>
      </c>
      <c r="AD35" s="260" t="n">
        <v>16</v>
      </c>
      <c r="AE35" s="260" t="n">
        <v>-14</v>
      </c>
      <c r="AF35" s="260" t="n">
        <v>9</v>
      </c>
      <c r="AH35" s="261">
        <f>SUM(S35:V35)</f>
        <v/>
      </c>
      <c r="AI35" s="261">
        <f>SUM(W35:Z35)</f>
        <v/>
      </c>
    </row>
    <row r="36" ht="12.75" customHeight="1">
      <c r="C36" s="256" t="inlineStr">
        <is>
          <t>Increase (decrease) in accounts payable</t>
        </is>
      </c>
      <c r="E36" s="260" t="n">
        <v>-31</v>
      </c>
      <c r="F36" s="260">
        <f>-33-E36</f>
        <v/>
      </c>
      <c r="G36" s="260">
        <f>74-SUM(E36:F36)</f>
        <v/>
      </c>
      <c r="H36" s="261">
        <f>AB36-SUM(E36:G36)</f>
        <v/>
      </c>
      <c r="I36" s="260" t="n">
        <v>111</v>
      </c>
      <c r="J36" s="260">
        <f>172-I36</f>
        <v/>
      </c>
      <c r="K36" s="260">
        <f>198-SUM(I36:J36)</f>
        <v/>
      </c>
      <c r="L36" s="261">
        <f>AC36-SUM(I36:K36)</f>
        <v/>
      </c>
      <c r="M36" s="260" t="n">
        <v>-41</v>
      </c>
      <c r="N36" s="260">
        <f>-290-M36</f>
        <v/>
      </c>
      <c r="O36" s="260">
        <f>-290-SUM(M36:N36)</f>
        <v/>
      </c>
      <c r="P36" s="261">
        <f>AD36-SUM(M36:O36)</f>
        <v/>
      </c>
      <c r="Q36" s="260" t="n">
        <v>17</v>
      </c>
      <c r="R36" s="260">
        <f>-88-Q36</f>
        <v/>
      </c>
      <c r="S36" s="260">
        <f>-143-SUM(Q36:R36)</f>
        <v/>
      </c>
      <c r="T36" s="261">
        <f>AE36-SUM(Q36:S36)</f>
        <v/>
      </c>
      <c r="U36" s="260" t="n">
        <v>89</v>
      </c>
      <c r="V36" s="260">
        <f>25-U36</f>
        <v/>
      </c>
      <c r="W36" s="260">
        <f>4-SUM(U36:V36)</f>
        <v/>
      </c>
      <c r="X36" s="261">
        <f>AF36-SUM(U36:W36)</f>
        <v/>
      </c>
      <c r="Y36" s="260" t="n">
        <v>58</v>
      </c>
      <c r="Z36" s="260">
        <f>-30-Y36</f>
        <v/>
      </c>
      <c r="AB36" s="260" t="n">
        <v>118</v>
      </c>
      <c r="AC36" s="260" t="n">
        <v>278</v>
      </c>
      <c r="AD36" s="260" t="n">
        <v>-290</v>
      </c>
      <c r="AE36" s="260" t="n">
        <v>-48</v>
      </c>
      <c r="AF36" s="260" t="n">
        <v>24</v>
      </c>
      <c r="AH36" s="261">
        <f>SUM(S36:V36)</f>
        <v/>
      </c>
      <c r="AI36" s="261">
        <f>SUM(W36:Z36)</f>
        <v/>
      </c>
    </row>
    <row r="37" ht="12.75" customHeight="1">
      <c r="C37" s="256" t="inlineStr">
        <is>
          <t>Increase (decrease) in accrued compensation</t>
        </is>
      </c>
      <c r="E37" s="260" t="n">
        <v>-36</v>
      </c>
      <c r="F37" s="260">
        <f>-35-E37</f>
        <v/>
      </c>
      <c r="G37" s="260">
        <f>-56-SUM(E37:F37)</f>
        <v/>
      </c>
      <c r="H37" s="261">
        <f>AB37-SUM(E37:G37)</f>
        <v/>
      </c>
      <c r="I37" s="260" t="n">
        <v>22</v>
      </c>
      <c r="J37" s="260">
        <f>7-I37</f>
        <v/>
      </c>
      <c r="K37" s="260">
        <f>29-SUM(I37:J37)</f>
        <v/>
      </c>
      <c r="L37" s="261">
        <f>AC37-SUM(I37:K37)</f>
        <v/>
      </c>
      <c r="M37" s="260" t="n">
        <v>-16</v>
      </c>
      <c r="N37" s="260">
        <f>-7-M37</f>
        <v/>
      </c>
      <c r="O37" s="260">
        <f>16-SUM(M37:N37)</f>
        <v/>
      </c>
      <c r="P37" s="261">
        <f>AD37-SUM(M37:O37)</f>
        <v/>
      </c>
      <c r="Q37" s="260" t="n">
        <v>-86</v>
      </c>
      <c r="R37" s="260">
        <f>-93-Q37</f>
        <v/>
      </c>
      <c r="S37" s="260">
        <f>-78-SUM(Q37:R37)</f>
        <v/>
      </c>
      <c r="T37" s="261">
        <f>AE37-SUM(Q37:S37)</f>
        <v/>
      </c>
      <c r="U37" s="260" t="n">
        <v>-30</v>
      </c>
      <c r="V37" s="260">
        <f>-51-U37</f>
        <v/>
      </c>
      <c r="W37" s="260">
        <f>-39-SUM(U37:V37)</f>
        <v/>
      </c>
      <c r="X37" s="261">
        <f>AF37-SUM(U37:W37)</f>
        <v/>
      </c>
      <c r="Y37" s="260" t="n">
        <v>-8</v>
      </c>
      <c r="Z37" s="260">
        <f>18-Y37</f>
        <v/>
      </c>
      <c r="AB37" s="260" t="n">
        <v>-95</v>
      </c>
      <c r="AC37" s="260" t="n">
        <v>34</v>
      </c>
      <c r="AD37" s="260" t="n">
        <v>48</v>
      </c>
      <c r="AE37" s="260" t="n">
        <v>-78</v>
      </c>
      <c r="AF37" s="260" t="n">
        <v>-53</v>
      </c>
      <c r="AH37" s="261">
        <f>SUM(S37:V37)</f>
        <v/>
      </c>
      <c r="AI37" s="261">
        <f>SUM(W37:Z37)</f>
        <v/>
      </c>
    </row>
    <row r="38" ht="12.75" customHeight="1">
      <c r="C38" s="256" t="inlineStr">
        <is>
          <t>Increase (decrease) in other current and long-term liabilities</t>
        </is>
      </c>
      <c r="E38" s="260" t="n">
        <v>-35</v>
      </c>
      <c r="F38" s="260">
        <f>92-E38</f>
        <v/>
      </c>
      <c r="G38" s="260">
        <f>80-SUM(E38:F38)</f>
        <v/>
      </c>
      <c r="H38" s="261">
        <f>AB38-SUM(E38:G38)</f>
        <v/>
      </c>
      <c r="I38" s="260" t="n">
        <v>-43</v>
      </c>
      <c r="J38" s="260">
        <f>-48-I38</f>
        <v/>
      </c>
      <c r="K38" s="260">
        <f>-73-SUM(I38:J38)</f>
        <v/>
      </c>
      <c r="L38" s="261">
        <f>AC38-SUM(I38:K38)</f>
        <v/>
      </c>
      <c r="M38" s="260" t="n">
        <v>-128</v>
      </c>
      <c r="N38" s="260">
        <f>-139-M38</f>
        <v/>
      </c>
      <c r="O38" s="260">
        <f>-159-SUM(M38:N38)</f>
        <v/>
      </c>
      <c r="P38" s="261">
        <f>AD38-SUM(M38:O38)</f>
        <v/>
      </c>
      <c r="Q38" s="260" t="n">
        <v>-77</v>
      </c>
      <c r="R38" s="260">
        <f>-52-Q38</f>
        <v/>
      </c>
      <c r="S38" s="260">
        <f>-83-SUM(Q38:R38)</f>
        <v/>
      </c>
      <c r="T38" s="261">
        <f>AE38-SUM(Q38:S38)</f>
        <v/>
      </c>
      <c r="U38" s="260" t="n">
        <v>-48</v>
      </c>
      <c r="V38" s="260">
        <f>-40-U38</f>
        <v/>
      </c>
      <c r="W38" s="260">
        <f>58-SUM(U38:V38)</f>
        <v/>
      </c>
      <c r="X38" s="261">
        <f>AF38-SUM(U38:W38)</f>
        <v/>
      </c>
      <c r="Y38" s="260" t="n">
        <v>-9</v>
      </c>
      <c r="Z38" s="260">
        <f>6-Y38</f>
        <v/>
      </c>
      <c r="AB38" s="260" t="n">
        <v>89</v>
      </c>
      <c r="AC38" s="260" t="n">
        <v>9</v>
      </c>
      <c r="AD38" s="260" t="n">
        <v>-114</v>
      </c>
      <c r="AE38" s="260" t="n">
        <v>-47</v>
      </c>
      <c r="AF38" s="260" t="n">
        <v>33</v>
      </c>
      <c r="AH38" s="261">
        <f>SUM(S38:V38)</f>
        <v/>
      </c>
      <c r="AI38" s="261">
        <f>SUM(W38:Z38)</f>
        <v/>
      </c>
    </row>
    <row r="39" ht="12.75" customHeight="1">
      <c r="C39" s="256" t="inlineStr">
        <is>
          <t>Net change in income tax assets and liabilities (incl. deferred taxes)</t>
        </is>
      </c>
      <c r="E39" s="260" t="n">
        <v>6</v>
      </c>
      <c r="F39" s="260">
        <f>2-E39</f>
        <v/>
      </c>
      <c r="G39" s="260">
        <f>-11-SUM(E39:F39)</f>
        <v/>
      </c>
      <c r="H39" s="261">
        <f>AB39-SUM(E39:G39)</f>
        <v/>
      </c>
      <c r="I39" s="260" t="n">
        <v>-39</v>
      </c>
      <c r="J39" s="260">
        <f>-76-I39</f>
        <v/>
      </c>
      <c r="K39" s="260">
        <f>-81-SUM(I39:J39)</f>
        <v/>
      </c>
      <c r="L39" s="261">
        <f>AC39-SUM(I39:K39)</f>
        <v/>
      </c>
      <c r="M39" s="260" t="n">
        <v>18</v>
      </c>
      <c r="N39" s="260">
        <f>-17-M39</f>
        <v/>
      </c>
      <c r="O39" s="260">
        <f>-24-SUM(M39:N39)</f>
        <v/>
      </c>
      <c r="P39" s="261">
        <f>AD39-SUM(M39:O39)</f>
        <v/>
      </c>
      <c r="Q39" s="260" t="n">
        <v>-44</v>
      </c>
      <c r="R39" s="260">
        <f>-64-Q39</f>
        <v/>
      </c>
      <c r="S39" s="260">
        <f>44-SUM(Q39:R39)</f>
        <v/>
      </c>
      <c r="T39" s="261">
        <f>AE39-SUM(Q39:S39)</f>
        <v/>
      </c>
      <c r="U39" s="260" t="n">
        <v>-2</v>
      </c>
      <c r="V39" s="260">
        <f>35-U39</f>
        <v/>
      </c>
      <c r="W39" s="260">
        <f>479-SUM(U39:V39)</f>
        <v/>
      </c>
      <c r="X39" s="261">
        <f>AF39-SUM(U39:W39)</f>
        <v/>
      </c>
      <c r="Y39" s="260" t="n">
        <v>12</v>
      </c>
      <c r="Z39" s="260">
        <f>6-Y39</f>
        <v/>
      </c>
      <c r="AB39" s="260">
        <f>10-89</f>
        <v/>
      </c>
      <c r="AC39" s="260">
        <f>-27-27</f>
        <v/>
      </c>
      <c r="AD39" s="260">
        <f>-12-68</f>
        <v/>
      </c>
      <c r="AE39" s="260">
        <f>-50+90</f>
        <v/>
      </c>
      <c r="AF39" s="260">
        <f>-26+502</f>
        <v/>
      </c>
      <c r="AH39" s="261">
        <f>SUM(S39:V39)</f>
        <v/>
      </c>
      <c r="AI39" s="261">
        <f>SUM(W39:Z39)</f>
        <v/>
      </c>
    </row>
    <row r="40" ht="12.75" customHeight="1">
      <c r="C40" s="256" t="inlineStr">
        <is>
          <t>Net change in derivative assets and liabilities</t>
        </is>
      </c>
      <c r="E40" s="260" t="n">
        <v>3</v>
      </c>
      <c r="F40" s="260">
        <f>-2-E40</f>
        <v/>
      </c>
      <c r="G40" s="260">
        <f>-1-SUM(E40:F40)</f>
        <v/>
      </c>
      <c r="H40" s="261">
        <f>AB40-SUM(E40:G40)</f>
        <v/>
      </c>
      <c r="I40" s="260" t="n">
        <v>7</v>
      </c>
      <c r="J40" s="260">
        <f>-6-I40</f>
        <v/>
      </c>
      <c r="K40" s="260">
        <f>-10-SUM(I40:J40)</f>
        <v/>
      </c>
      <c r="L40" s="261">
        <f>AC40-SUM(I40:K40)</f>
        <v/>
      </c>
      <c r="M40" s="260" t="n">
        <v>13</v>
      </c>
      <c r="N40" s="260">
        <f>22-M40</f>
        <v/>
      </c>
      <c r="O40" s="260">
        <f>16-SUM(M40:N40)</f>
        <v/>
      </c>
      <c r="P40" s="261">
        <f>AD40-SUM(M40:O40)</f>
        <v/>
      </c>
      <c r="Q40" s="260" t="n">
        <v>6</v>
      </c>
      <c r="R40" s="260">
        <f>6-Q40</f>
        <v/>
      </c>
      <c r="S40" s="260">
        <f>9-SUM(Q40:R40)</f>
        <v/>
      </c>
      <c r="T40" s="261">
        <f>AE40-SUM(Q40:S40)</f>
        <v/>
      </c>
      <c r="U40" s="260" t="n">
        <v>0</v>
      </c>
      <c r="V40" s="260">
        <f>-2-U40</f>
        <v/>
      </c>
      <c r="W40" s="260">
        <f>-1-SUM(U40:V40)</f>
        <v/>
      </c>
      <c r="X40" s="261">
        <f>AF40-SUM(U40:W40)</f>
        <v/>
      </c>
      <c r="Y40" s="261" t="n"/>
      <c r="Z40" s="261" t="n"/>
      <c r="AB40" s="260" t="n">
        <v>2</v>
      </c>
      <c r="AC40" s="260" t="n">
        <v>-22</v>
      </c>
      <c r="AD40" s="260" t="n">
        <v>13</v>
      </c>
      <c r="AE40" s="260" t="n">
        <v>10</v>
      </c>
      <c r="AF40" s="260" t="n">
        <v>-12</v>
      </c>
      <c r="AH40" s="261">
        <f>SUM(S40:V40)</f>
        <v/>
      </c>
      <c r="AI40" s="261">
        <f>SUM(W40:Z40)</f>
        <v/>
      </c>
    </row>
    <row r="41" ht="12.75" customHeight="1">
      <c r="C41" s="256" t="inlineStr">
        <is>
          <t>Other operating, net</t>
        </is>
      </c>
      <c r="E41" s="260" t="n">
        <v>-11</v>
      </c>
      <c r="F41" s="260">
        <f>-17-E41</f>
        <v/>
      </c>
      <c r="G41" s="260">
        <f>-10-SUM(E41:F41)</f>
        <v/>
      </c>
      <c r="H41" s="261">
        <f>AB41-SUM(E41:G41)</f>
        <v/>
      </c>
      <c r="I41" s="260" t="n">
        <v>5</v>
      </c>
      <c r="J41" s="260">
        <f>-9-I41</f>
        <v/>
      </c>
      <c r="K41" s="260">
        <f>-7-SUM(I41:J41)</f>
        <v/>
      </c>
      <c r="L41" s="261">
        <f>AC41-SUM(I41:K41)</f>
        <v/>
      </c>
      <c r="M41" s="260" t="n">
        <v>8</v>
      </c>
      <c r="N41" s="260">
        <f>-11-M41</f>
        <v/>
      </c>
      <c r="O41" s="260">
        <f>0-SUM(M41:N41)</f>
        <v/>
      </c>
      <c r="P41" s="261">
        <f>AD41-SUM(M41:O41)</f>
        <v/>
      </c>
      <c r="Q41" s="260" t="n">
        <v>-5</v>
      </c>
      <c r="R41" s="260">
        <f>-7-Q41</f>
        <v/>
      </c>
      <c r="S41" s="260">
        <f>0-SUM(Q41:R41)</f>
        <v/>
      </c>
      <c r="T41" s="261">
        <f>AE41-SUM(Q41:S41)</f>
        <v/>
      </c>
      <c r="U41" s="260" t="n">
        <v>11</v>
      </c>
      <c r="V41" s="260">
        <f>28-U41</f>
        <v/>
      </c>
      <c r="W41" s="260">
        <f>46-SUM(U41:V41)</f>
        <v/>
      </c>
      <c r="X41" s="261">
        <f>AF41-SUM(U41:W41)</f>
        <v/>
      </c>
      <c r="Y41" s="260" t="n">
        <v>-14</v>
      </c>
      <c r="Z41" s="260">
        <f>4-Y41</f>
        <v/>
      </c>
      <c r="AB41" s="260" t="n">
        <v>-17</v>
      </c>
      <c r="AC41" s="260" t="n">
        <v>13</v>
      </c>
      <c r="AD41" s="260" t="n">
        <v>13</v>
      </c>
      <c r="AE41" s="260" t="n">
        <v>-13</v>
      </c>
      <c r="AF41" s="260" t="n">
        <v>35</v>
      </c>
      <c r="AH41" s="261">
        <f>SUM(S41:V41)</f>
        <v/>
      </c>
      <c r="AI41" s="261">
        <f>SUM(W41:Z41)</f>
        <v/>
      </c>
    </row>
    <row r="42" ht="12.75" customHeight="1" thickBot="1">
      <c r="C42" s="275" t="inlineStr">
        <is>
          <t>Net cash provided by (used in) operating activities</t>
        </is>
      </c>
      <c r="D42" s="276" t="n"/>
      <c r="E42" s="277">
        <f>SUM(E14:E41)</f>
        <v/>
      </c>
      <c r="F42" s="277">
        <f>SUM(F14:F41)</f>
        <v/>
      </c>
      <c r="G42" s="277">
        <f>SUM(G14:G41)</f>
        <v/>
      </c>
      <c r="H42" s="277">
        <f>SUM(H14:H41)</f>
        <v/>
      </c>
      <c r="I42" s="277">
        <f>SUM(I14:I41)</f>
        <v/>
      </c>
      <c r="J42" s="277">
        <f>SUM(J14:J41)</f>
        <v/>
      </c>
      <c r="K42" s="277">
        <f>SUM(K14:K41)</f>
        <v/>
      </c>
      <c r="L42" s="277">
        <f>SUM(L14:L41)</f>
        <v/>
      </c>
      <c r="M42" s="277">
        <f>SUM(M14:M41)</f>
        <v/>
      </c>
      <c r="N42" s="277">
        <f>SUM(N14:N41)</f>
        <v/>
      </c>
      <c r="O42" s="277">
        <f>SUM(O14:O41)</f>
        <v/>
      </c>
      <c r="P42" s="277">
        <f>SUM(P14:P41)</f>
        <v/>
      </c>
      <c r="Q42" s="277">
        <f>SUM(Q14:Q41)</f>
        <v/>
      </c>
      <c r="R42" s="277">
        <f>SUM(R14:R41)</f>
        <v/>
      </c>
      <c r="S42" s="277">
        <f>SUM(S14:S41)</f>
        <v/>
      </c>
      <c r="T42" s="277">
        <f>SUM(T14:T41)</f>
        <v/>
      </c>
      <c r="U42" s="277">
        <f>SUM(U14:U41)</f>
        <v/>
      </c>
      <c r="V42" s="277">
        <f>SUM(V14:V41)</f>
        <v/>
      </c>
      <c r="W42" s="277">
        <f>SUM(W14:W41)</f>
        <v/>
      </c>
      <c r="X42" s="277">
        <f>SUM(X14:X41)</f>
        <v/>
      </c>
      <c r="Y42" s="277">
        <f>SUM(Y14:Y41)</f>
        <v/>
      </c>
      <c r="Z42" s="277">
        <f>SUM(Z14:Z41)</f>
        <v/>
      </c>
      <c r="AB42" s="277">
        <f>SUM(AB14:AB41)</f>
        <v/>
      </c>
      <c r="AC42" s="277">
        <f>SUM(AC14:AC41)</f>
        <v/>
      </c>
      <c r="AD42" s="277">
        <f>SUM(AD14:AD41)</f>
        <v/>
      </c>
      <c r="AE42" s="277">
        <f>SUM(AE14:AE41)</f>
        <v/>
      </c>
      <c r="AF42" s="277">
        <f>SUM(AF14:AF41)</f>
        <v/>
      </c>
      <c r="AH42" s="279">
        <f>SUM(AH14:AH41)</f>
        <v/>
      </c>
      <c r="AI42" s="279">
        <f>SUM(AI14:AI41)</f>
        <v/>
      </c>
    </row>
    <row r="43" hidden="1" ht="12.75" customHeight="1">
      <c r="C43" s="264" t="inlineStr">
        <is>
          <t>Net cash provided by (used in) operating activities</t>
        </is>
      </c>
      <c r="E43" s="265" t="n">
        <v>117</v>
      </c>
      <c r="F43" s="259">
        <f>331-117</f>
        <v/>
      </c>
      <c r="G43" s="259">
        <f>431-331</f>
        <v/>
      </c>
      <c r="H43" s="259">
        <f>629-431</f>
        <v/>
      </c>
      <c r="I43" s="265" t="n">
        <v>66</v>
      </c>
      <c r="J43" s="259">
        <f>-19-66</f>
        <v/>
      </c>
      <c r="K43" s="259">
        <f>-27-(-19)</f>
        <v/>
      </c>
      <c r="L43" s="259">
        <f>159-(-27)</f>
        <v/>
      </c>
      <c r="M43" s="265" t="n">
        <v>78</v>
      </c>
      <c r="N43" s="259">
        <f>173-78</f>
        <v/>
      </c>
      <c r="O43" s="259">
        <f>297-173</f>
        <v/>
      </c>
      <c r="P43" s="259">
        <f>686-297</f>
        <v/>
      </c>
      <c r="Q43" s="265" t="n">
        <v>-79</v>
      </c>
      <c r="R43" s="259">
        <f>44-(-79)</f>
        <v/>
      </c>
      <c r="S43" s="259">
        <f>160-44</f>
        <v/>
      </c>
      <c r="T43" s="259">
        <f>511-160</f>
        <v/>
      </c>
      <c r="U43" s="265" t="n">
        <v>-89</v>
      </c>
      <c r="V43" s="259">
        <f>-100-(-89)</f>
        <v/>
      </c>
      <c r="W43" s="259">
        <f>16-(-100)</f>
        <v/>
      </c>
      <c r="X43" s="259">
        <f>224-16</f>
        <v/>
      </c>
      <c r="Y43" s="265" t="n">
        <v>-144</v>
      </c>
      <c r="Z43" s="259">
        <f>-107-(-144)</f>
        <v/>
      </c>
      <c r="AB43" s="265" t="n">
        <v>629</v>
      </c>
      <c r="AC43" s="265" t="n">
        <v>159</v>
      </c>
      <c r="AD43" s="265" t="n">
        <v>686</v>
      </c>
      <c r="AE43" s="265" t="n">
        <v>511</v>
      </c>
      <c r="AF43" s="265" t="n">
        <v>224</v>
      </c>
      <c r="AH43" s="258">
        <f>SUM(S43:V43)</f>
        <v/>
      </c>
      <c r="AI43" s="258">
        <f>SUM(W43:Z43)</f>
        <v/>
      </c>
    </row>
    <row r="44" hidden="1" ht="12.75" customHeight="1">
      <c r="C44" s="264" t="inlineStr">
        <is>
          <t>Check</t>
        </is>
      </c>
      <c r="E44" s="266">
        <f>E42-E43</f>
        <v/>
      </c>
      <c r="F44" s="266">
        <f>F42-F43</f>
        <v/>
      </c>
      <c r="G44" s="266">
        <f>G42-G43</f>
        <v/>
      </c>
      <c r="H44" s="266">
        <f>H42-H43</f>
        <v/>
      </c>
      <c r="I44" s="266">
        <f>I42-I43</f>
        <v/>
      </c>
      <c r="J44" s="266">
        <f>J42-J43</f>
        <v/>
      </c>
      <c r="K44" s="266">
        <f>K42-K43</f>
        <v/>
      </c>
      <c r="L44" s="266">
        <f>L42-L43</f>
        <v/>
      </c>
      <c r="M44" s="266">
        <f>M42-M43</f>
        <v/>
      </c>
      <c r="N44" s="266">
        <f>N42-N43</f>
        <v/>
      </c>
      <c r="O44" s="266">
        <f>O42-O43</f>
        <v/>
      </c>
      <c r="P44" s="266">
        <f>P42-P43</f>
        <v/>
      </c>
      <c r="Q44" s="266">
        <f>Q42-Q43</f>
        <v/>
      </c>
      <c r="R44" s="266">
        <f>R42-R43</f>
        <v/>
      </c>
      <c r="S44" s="266">
        <f>S42-S43</f>
        <v/>
      </c>
      <c r="T44" s="266">
        <f>T42-T43</f>
        <v/>
      </c>
      <c r="U44" s="266">
        <f>U42-U43</f>
        <v/>
      </c>
      <c r="V44" s="266">
        <f>V42-V43</f>
        <v/>
      </c>
      <c r="W44" s="266">
        <f>W42-W43</f>
        <v/>
      </c>
      <c r="X44" s="266">
        <f>X42-X43</f>
        <v/>
      </c>
      <c r="Y44" s="266">
        <f>Y42-Y43</f>
        <v/>
      </c>
      <c r="Z44" s="266">
        <f>Z42-Z43</f>
        <v/>
      </c>
      <c r="AB44" s="266">
        <f>AB42-AB43</f>
        <v/>
      </c>
      <c r="AC44" s="266">
        <f>AC42-AC43</f>
        <v/>
      </c>
      <c r="AD44" s="266">
        <f>AD42-AD43</f>
        <v/>
      </c>
      <c r="AE44" s="266">
        <f>AE42-AE43</f>
        <v/>
      </c>
      <c r="AF44" s="266">
        <f>AF42-AF43</f>
        <v/>
      </c>
      <c r="AH44" s="261" t="n"/>
      <c r="AI44" s="261" t="n"/>
    </row>
    <row r="45" ht="4.5" customHeight="1">
      <c r="C45" s="267" t="n"/>
    </row>
    <row r="46" ht="12.75" customHeight="1">
      <c r="C46" s="280" t="inlineStr">
        <is>
          <t>Memo: Change in NWC</t>
        </is>
      </c>
      <c r="D46" s="280" t="n"/>
      <c r="E46" s="281">
        <f>E31+E32+SUM(E35:E40)</f>
        <v/>
      </c>
      <c r="F46" s="281">
        <f>F31+F32+SUM(F35:F40)</f>
        <v/>
      </c>
      <c r="G46" s="281">
        <f>G31+G32+SUM(G35:G40)</f>
        <v/>
      </c>
      <c r="H46" s="281">
        <f>H31+H32+SUM(H35:H40)</f>
        <v/>
      </c>
      <c r="I46" s="281">
        <f>I31+I32+SUM(I35:I40)</f>
        <v/>
      </c>
      <c r="J46" s="281">
        <f>J31+J32+SUM(J35:J40)</f>
        <v/>
      </c>
      <c r="K46" s="281">
        <f>K31+K32+SUM(K35:K40)</f>
        <v/>
      </c>
      <c r="L46" s="281">
        <f>L31+L32+SUM(L35:L40)</f>
        <v/>
      </c>
      <c r="M46" s="281">
        <f>M31+M32+SUM(M35:M40)</f>
        <v/>
      </c>
      <c r="N46" s="281">
        <f>N31+N32+SUM(N35:N40)</f>
        <v/>
      </c>
      <c r="O46" s="281">
        <f>O31+O32+SUM(O35:O40)</f>
        <v/>
      </c>
      <c r="P46" s="281">
        <f>P31+P32+SUM(P35:P40)</f>
        <v/>
      </c>
      <c r="Q46" s="281">
        <f>Q31+Q32+SUM(Q35:Q40)</f>
        <v/>
      </c>
      <c r="R46" s="281">
        <f>R31+R32+SUM(R35:R40)</f>
        <v/>
      </c>
      <c r="S46" s="281">
        <f>S31+S32+SUM(S35:S40)</f>
        <v/>
      </c>
      <c r="T46" s="281">
        <f>T31+T32+SUM(T35:T40)</f>
        <v/>
      </c>
      <c r="U46" s="281">
        <f>U31+U32+SUM(U35:U40)</f>
        <v/>
      </c>
      <c r="V46" s="281">
        <f>V31+V32+SUM(V35:V40)</f>
        <v/>
      </c>
      <c r="W46" s="281">
        <f>W31+W32+SUM(W35:W40)</f>
        <v/>
      </c>
      <c r="X46" s="281">
        <f>X31+X32+SUM(X35:X40)</f>
        <v/>
      </c>
      <c r="Y46" s="281">
        <f>Y31+Y32+SUM(Y35:Y40)</f>
        <v/>
      </c>
      <c r="Z46" s="281">
        <f>Z31+Z32+SUM(Z35:Z40)</f>
        <v/>
      </c>
      <c r="AA46" s="282" t="n"/>
      <c r="AB46" s="281">
        <f>AB31+AB32+SUM(AB35:AB40)</f>
        <v/>
      </c>
      <c r="AC46" s="281">
        <f>AC31+AC32+SUM(AC35:AC40)</f>
        <v/>
      </c>
      <c r="AD46" s="281">
        <f>AD31+AD32+SUM(AD35:AD40)</f>
        <v/>
      </c>
      <c r="AE46" s="281">
        <f>AE31+AE32+SUM(AE35:AE40)</f>
        <v/>
      </c>
      <c r="AF46" s="281">
        <f>AF31+AF32+SUM(AF35:AF40)</f>
        <v/>
      </c>
      <c r="AG46" s="282" t="n"/>
      <c r="AH46" s="281">
        <f>AH31+AH32+SUM(AH35:AH40)</f>
        <v/>
      </c>
      <c r="AI46" s="281">
        <f>AI31+AI32+SUM(AI35:AI40)</f>
        <v/>
      </c>
    </row>
    <row r="47" ht="4.5" customHeight="1">
      <c r="C47" s="267" t="n"/>
    </row>
    <row r="48" ht="12.75" customHeight="1">
      <c r="C48" s="255" t="inlineStr">
        <is>
          <t>Investing Activities:</t>
        </is>
      </c>
    </row>
    <row r="49" ht="12.75" customHeight="1">
      <c r="C49" s="256" t="inlineStr">
        <is>
          <t>Cost of additions to land, buildings, equipment and software</t>
        </is>
      </c>
      <c r="E49" s="259" t="n">
        <v>-17</v>
      </c>
      <c r="F49" s="259">
        <f>-33-E49</f>
        <v/>
      </c>
      <c r="G49" s="259">
        <f>-52-SUM(E49:F49)</f>
        <v/>
      </c>
      <c r="H49" s="258">
        <f>AB49-SUM(E49:G49)</f>
        <v/>
      </c>
      <c r="I49" s="259" t="n">
        <v>-16</v>
      </c>
      <c r="J49" s="259">
        <f>-29-I49</f>
        <v/>
      </c>
      <c r="K49" s="259">
        <f>-39-SUM(I49:J49)</f>
        <v/>
      </c>
      <c r="L49" s="258">
        <f>AC49-SUM(I49:K49)</f>
        <v/>
      </c>
      <c r="M49" s="259" t="n">
        <v>-8</v>
      </c>
      <c r="N49" s="259">
        <f>-15-M49</f>
        <v/>
      </c>
      <c r="O49" s="259">
        <f>-27-SUM(M49:N49)</f>
        <v/>
      </c>
      <c r="P49" s="258">
        <f>AD49-SUM(M49:O49)</f>
        <v/>
      </c>
      <c r="Q49" s="259" t="n">
        <v>-10</v>
      </c>
      <c r="R49" s="259">
        <f>-18-Q49</f>
        <v/>
      </c>
      <c r="S49" s="259">
        <f>-27-SUM(Q49:R49)</f>
        <v/>
      </c>
      <c r="T49" s="258">
        <f>AE49-SUM(Q49:S49)</f>
        <v/>
      </c>
      <c r="U49" s="259" t="n">
        <v>-20</v>
      </c>
      <c r="V49" s="259">
        <f>-39-U49</f>
        <v/>
      </c>
      <c r="W49" s="259">
        <f>-67-SUM(U49:V49)</f>
        <v/>
      </c>
      <c r="X49" s="258">
        <f>AF49-SUM(U49:W49)</f>
        <v/>
      </c>
      <c r="Y49" s="259" t="n">
        <v>-21</v>
      </c>
      <c r="Z49" s="259">
        <f>-47-Y49</f>
        <v/>
      </c>
      <c r="AB49" s="259" t="n">
        <v>-68</v>
      </c>
      <c r="AC49" s="259" t="n">
        <v>-57</v>
      </c>
      <c r="AD49" s="259" t="n">
        <v>-37</v>
      </c>
      <c r="AE49" s="259" t="n">
        <v>-44</v>
      </c>
      <c r="AF49" s="259" t="n">
        <v>-91</v>
      </c>
      <c r="AH49" s="258">
        <f>SUM(S49:V49)</f>
        <v/>
      </c>
      <c r="AI49" s="258">
        <f>SUM(W49:Z49)</f>
        <v/>
      </c>
    </row>
    <row r="50" ht="12.75" customHeight="1">
      <c r="C50" s="256" t="inlineStr">
        <is>
          <t>Proceeds from sales of businesses and assets</t>
        </is>
      </c>
      <c r="E50" s="260" t="n">
        <v>0</v>
      </c>
      <c r="F50" s="260">
        <f>1-E50</f>
        <v/>
      </c>
      <c r="G50" s="260">
        <f>39-SUM(E50:F50)</f>
        <v/>
      </c>
      <c r="H50" s="261">
        <f>AB50-SUM(E50:G50)</f>
        <v/>
      </c>
      <c r="I50" s="260" t="n">
        <v>0</v>
      </c>
      <c r="J50" s="260">
        <f>26-I50</f>
        <v/>
      </c>
      <c r="K50" s="260">
        <f>49-SUM(I50:J50)</f>
        <v/>
      </c>
      <c r="L50" s="261">
        <f>AC50-SUM(I50:K50)</f>
        <v/>
      </c>
      <c r="M50" s="260" t="n">
        <v>1</v>
      </c>
      <c r="N50" s="260">
        <f>3-M50</f>
        <v/>
      </c>
      <c r="O50" s="260">
        <f>40-SUM(M50:N50)</f>
        <v/>
      </c>
      <c r="P50" s="261">
        <f>AD50-SUM(M50:O50)</f>
        <v/>
      </c>
      <c r="Q50" s="260" t="n">
        <v>4</v>
      </c>
      <c r="R50" s="260">
        <f>19-Q50</f>
        <v/>
      </c>
      <c r="S50" s="260">
        <f>27-SUM(Q50:R50)</f>
        <v/>
      </c>
      <c r="T50" s="261">
        <f>AE50-SUM(Q50:S50)</f>
        <v/>
      </c>
      <c r="U50" s="260" t="n">
        <v>27</v>
      </c>
      <c r="V50" s="260">
        <f>30-U50</f>
        <v/>
      </c>
      <c r="W50" s="260">
        <f>56-SUM(U50:V50)</f>
        <v/>
      </c>
      <c r="X50" s="261">
        <f>AF50-SUM(U50:W50)</f>
        <v/>
      </c>
      <c r="Y50" s="260" t="n">
        <v>2</v>
      </c>
      <c r="Z50" s="260">
        <f>8-Y50</f>
        <v/>
      </c>
      <c r="AB50" s="260" t="n">
        <v>44</v>
      </c>
      <c r="AC50" s="260" t="n">
        <v>87</v>
      </c>
      <c r="AD50" s="260" t="n">
        <v>43</v>
      </c>
      <c r="AE50" s="260" t="n">
        <v>35</v>
      </c>
      <c r="AF50" s="260" t="n">
        <v>79</v>
      </c>
      <c r="AH50" s="261">
        <f>SUM(S50:V50)</f>
        <v/>
      </c>
      <c r="AI50" s="261">
        <f>SUM(W50:Z50)</f>
        <v/>
      </c>
    </row>
    <row r="51" ht="12.75" customHeight="1">
      <c r="C51" s="256" t="inlineStr">
        <is>
          <t>Acquisitions, net of cash acquired</t>
        </is>
      </c>
      <c r="E51" s="260" t="n">
        <v>0</v>
      </c>
      <c r="F51" s="260">
        <f>-37-E51</f>
        <v/>
      </c>
      <c r="G51" s="260">
        <f>-38-SUM(E51:F51)</f>
        <v/>
      </c>
      <c r="H51" s="261">
        <f>AB51-SUM(E51:G51)</f>
        <v/>
      </c>
      <c r="I51" s="260" t="n">
        <v>-54</v>
      </c>
      <c r="J51" s="260">
        <f>-52-I51</f>
        <v/>
      </c>
      <c r="K51" s="260">
        <f>-93-SUM(I51:J51)</f>
        <v/>
      </c>
      <c r="L51" s="261">
        <f>AC51-SUM(I51:K51)</f>
        <v/>
      </c>
      <c r="M51" s="260" t="n">
        <v>-7</v>
      </c>
      <c r="N51" s="260">
        <f>-7-M51</f>
        <v/>
      </c>
      <c r="O51" s="260">
        <f>-7-SUM(M51:N51)</f>
        <v/>
      </c>
      <c r="P51" s="261">
        <f>AD51-SUM(M51:O51)</f>
        <v/>
      </c>
      <c r="Q51" s="260" t="n">
        <v>0</v>
      </c>
      <c r="R51" s="260">
        <f>0-Q51</f>
        <v/>
      </c>
      <c r="S51" s="260">
        <f>0-SUM(Q51:R51)</f>
        <v/>
      </c>
      <c r="T51" s="261">
        <f>AE51-SUM(Q51:S51)</f>
        <v/>
      </c>
      <c r="U51" s="260" t="n">
        <v>1</v>
      </c>
      <c r="V51" s="260">
        <f>1-U51</f>
        <v/>
      </c>
      <c r="W51" s="260">
        <f>-674-SUM(U51:V51)</f>
        <v/>
      </c>
      <c r="X51" s="261">
        <f>AF51-SUM(U51:W51)</f>
        <v/>
      </c>
      <c r="Y51" s="260" t="n">
        <v>0</v>
      </c>
      <c r="Z51" s="260">
        <f>19-Y51</f>
        <v/>
      </c>
      <c r="AB51" s="260" t="n">
        <v>-53</v>
      </c>
      <c r="AC51" s="260" t="n">
        <v>-93</v>
      </c>
      <c r="AD51" s="260" t="n">
        <v>-7</v>
      </c>
      <c r="AE51" s="260" t="n">
        <v>-161</v>
      </c>
      <c r="AF51" s="260" t="n">
        <v>-674</v>
      </c>
      <c r="AH51" s="261">
        <f>SUM(S51:V51)</f>
        <v/>
      </c>
      <c r="AI51" s="261">
        <f>SUM(W51:Z51)</f>
        <v/>
      </c>
    </row>
    <row r="52" ht="12.75" customHeight="1">
      <c r="C52" s="256" t="inlineStr">
        <is>
          <t>Other investing, net</t>
        </is>
      </c>
      <c r="E52" s="260" t="n">
        <v>0</v>
      </c>
      <c r="F52" s="260">
        <f>-3-E52</f>
        <v/>
      </c>
      <c r="G52" s="260">
        <f>-3-SUM(E52:F52)</f>
        <v/>
      </c>
      <c r="H52" s="261">
        <f>AB52-SUM(E52:G52)</f>
        <v/>
      </c>
      <c r="I52" s="260" t="n">
        <v>-5</v>
      </c>
      <c r="J52" s="260">
        <f>-7-I52</f>
        <v/>
      </c>
      <c r="K52" s="260">
        <f>-12-SUM(I52:J52)</f>
        <v/>
      </c>
      <c r="L52" s="261">
        <f>AC52-SUM(I52:K52)</f>
        <v/>
      </c>
      <c r="M52" s="260" t="n">
        <v>-3</v>
      </c>
      <c r="N52" s="260">
        <f>-3-M52</f>
        <v/>
      </c>
      <c r="O52" s="260">
        <f>-3-SUM(M52:N52)</f>
        <v/>
      </c>
      <c r="P52" s="261">
        <f>AD52-SUM(M52:O52)</f>
        <v/>
      </c>
      <c r="Q52" s="260" t="n">
        <v>-11</v>
      </c>
      <c r="R52" s="260">
        <f>-20-Q52</f>
        <v/>
      </c>
      <c r="S52" s="260">
        <f>-26-SUM(Q52:R52)</f>
        <v/>
      </c>
      <c r="T52" s="261">
        <f>AE52-SUM(Q52:S52)</f>
        <v/>
      </c>
      <c r="U52" s="260" t="n">
        <v>-2</v>
      </c>
      <c r="V52" s="260">
        <f>-4-U52</f>
        <v/>
      </c>
      <c r="W52" s="260">
        <f>-9-SUM(U52:V52)</f>
        <v/>
      </c>
      <c r="X52" s="261">
        <f>AF52-SUM(U52:W52)</f>
        <v/>
      </c>
      <c r="Y52" s="260" t="n">
        <v>-5</v>
      </c>
      <c r="Z52" s="260">
        <f>-13-Y52</f>
        <v/>
      </c>
      <c r="AB52" s="260" t="n">
        <v>-8</v>
      </c>
      <c r="AC52" s="260" t="n">
        <v>-15</v>
      </c>
      <c r="AD52" s="260" t="n">
        <v>-4</v>
      </c>
      <c r="AE52" s="260" t="n">
        <v>-28</v>
      </c>
      <c r="AF52" s="260" t="n">
        <v>-12</v>
      </c>
      <c r="AH52" s="261">
        <f>SUM(S52:V52)</f>
        <v/>
      </c>
      <c r="AI52" s="261">
        <f>SUM(W52:Z52)</f>
        <v/>
      </c>
    </row>
    <row r="53" ht="12.75" customHeight="1" thickBot="1">
      <c r="C53" s="275" t="inlineStr">
        <is>
          <t>Net cash provided by (used in) investing activities</t>
        </is>
      </c>
      <c r="D53" s="276" t="n"/>
      <c r="E53" s="277">
        <f>SUM(E49:E52)</f>
        <v/>
      </c>
      <c r="F53" s="277">
        <f>SUM(F49:F52)</f>
        <v/>
      </c>
      <c r="G53" s="277">
        <f>SUM(G49:G52)</f>
        <v/>
      </c>
      <c r="H53" s="277">
        <f>SUM(H49:H52)</f>
        <v/>
      </c>
      <c r="I53" s="277">
        <f>SUM(I49:I52)</f>
        <v/>
      </c>
      <c r="J53" s="277">
        <f>SUM(J49:J52)</f>
        <v/>
      </c>
      <c r="K53" s="277">
        <f>SUM(K49:K52)</f>
        <v/>
      </c>
      <c r="L53" s="277">
        <f>SUM(L49:L52)</f>
        <v/>
      </c>
      <c r="M53" s="277">
        <f>SUM(M49:M52)</f>
        <v/>
      </c>
      <c r="N53" s="277">
        <f>SUM(N49:N52)</f>
        <v/>
      </c>
      <c r="O53" s="277">
        <f>SUM(O49:O52)</f>
        <v/>
      </c>
      <c r="P53" s="277">
        <f>SUM(P49:P52)</f>
        <v/>
      </c>
      <c r="Q53" s="277">
        <f>SUM(Q49:Q52)</f>
        <v/>
      </c>
      <c r="R53" s="277">
        <f>SUM(R49:R52)</f>
        <v/>
      </c>
      <c r="S53" s="277">
        <f>SUM(S49:S52)</f>
        <v/>
      </c>
      <c r="T53" s="277">
        <f>SUM(T49:T52)</f>
        <v/>
      </c>
      <c r="U53" s="277">
        <f>SUM(U49:U52)</f>
        <v/>
      </c>
      <c r="V53" s="277">
        <f>SUM(V49:V52)</f>
        <v/>
      </c>
      <c r="W53" s="277">
        <f>SUM(W49:W52)</f>
        <v/>
      </c>
      <c r="X53" s="277">
        <f>SUM(X49:X52)</f>
        <v/>
      </c>
      <c r="Y53" s="277">
        <f>SUM(Y49:Y52)</f>
        <v/>
      </c>
      <c r="Z53" s="277">
        <f>SUM(Z49:Z52)</f>
        <v/>
      </c>
      <c r="AB53" s="277">
        <f>SUM(AB49:AB52)</f>
        <v/>
      </c>
      <c r="AC53" s="277">
        <f>SUM(AC49:AC52)</f>
        <v/>
      </c>
      <c r="AD53" s="277">
        <f>SUM(AD49:AD52)</f>
        <v/>
      </c>
      <c r="AE53" s="277">
        <f>SUM(AE49:AE52)</f>
        <v/>
      </c>
      <c r="AF53" s="277">
        <f>SUM(AF49:AF52)</f>
        <v/>
      </c>
      <c r="AH53" s="279">
        <f>SUM(AH49:AH52)</f>
        <v/>
      </c>
      <c r="AI53" s="279">
        <f>SUM(AI49:AI52)</f>
        <v/>
      </c>
    </row>
    <row r="54" hidden="1" ht="12.75" customHeight="1">
      <c r="C54" s="264" t="inlineStr">
        <is>
          <t>Net cash provided by (used in) investing activities</t>
        </is>
      </c>
      <c r="E54" s="265" t="n">
        <v>-17</v>
      </c>
      <c r="F54" s="259">
        <f>-72-(-17)</f>
        <v/>
      </c>
      <c r="G54" s="259">
        <f>-54-(-72)</f>
        <v/>
      </c>
      <c r="H54" s="259">
        <f>-85-(-54)</f>
        <v/>
      </c>
      <c r="I54" s="265" t="n">
        <v>-75</v>
      </c>
      <c r="J54" s="259">
        <f>-62-(-75)</f>
        <v/>
      </c>
      <c r="K54" s="259">
        <f>-95-(-62)</f>
        <v/>
      </c>
      <c r="L54" s="259">
        <f>-78-(-95)</f>
        <v/>
      </c>
      <c r="M54" s="265" t="n">
        <v>-17</v>
      </c>
      <c r="N54" s="259">
        <f>-22-(-17)</f>
        <v/>
      </c>
      <c r="O54" s="259">
        <f>3-(-22)</f>
        <v/>
      </c>
      <c r="P54" s="259">
        <f>-5-3</f>
        <v/>
      </c>
      <c r="Q54" s="265" t="n">
        <v>-17</v>
      </c>
      <c r="R54" s="259">
        <f>-19-(-17)</f>
        <v/>
      </c>
      <c r="S54" s="259">
        <f>-26-(-19)</f>
        <v/>
      </c>
      <c r="T54" s="259">
        <f>-198-(-26)</f>
        <v/>
      </c>
      <c r="U54" s="265" t="n">
        <v>6</v>
      </c>
      <c r="V54" s="259">
        <f>-12-6</f>
        <v/>
      </c>
      <c r="W54" s="259">
        <f>-694-(-12)</f>
        <v/>
      </c>
      <c r="X54" s="259">
        <f>-698-(-694)</f>
        <v/>
      </c>
      <c r="Y54" s="265" t="n">
        <v>-24</v>
      </c>
      <c r="Z54" s="259">
        <f>-33-(-24)</f>
        <v/>
      </c>
      <c r="AB54" s="265" t="n">
        <v>-85</v>
      </c>
      <c r="AC54" s="265" t="n">
        <v>-78</v>
      </c>
      <c r="AD54" s="265" t="n">
        <v>-5</v>
      </c>
      <c r="AE54" s="265" t="n">
        <v>-198</v>
      </c>
      <c r="AF54" s="265" t="n">
        <v>-698</v>
      </c>
      <c r="AH54" s="258">
        <f>SUM(S54:V54)</f>
        <v/>
      </c>
      <c r="AI54" s="258">
        <f>SUM(W54:Z54)</f>
        <v/>
      </c>
    </row>
    <row r="55" hidden="1" ht="12.75" customHeight="1">
      <c r="C55" s="264" t="inlineStr">
        <is>
          <t>Check</t>
        </is>
      </c>
      <c r="E55" s="266">
        <f>E53-E54</f>
        <v/>
      </c>
      <c r="F55" s="266">
        <f>F53-F54</f>
        <v/>
      </c>
      <c r="G55" s="266">
        <f>G53-G54</f>
        <v/>
      </c>
      <c r="H55" s="266">
        <f>H53-H54</f>
        <v/>
      </c>
      <c r="I55" s="266">
        <f>I53-I54</f>
        <v/>
      </c>
      <c r="J55" s="266">
        <f>J53-J54</f>
        <v/>
      </c>
      <c r="K55" s="266">
        <f>K53-K54</f>
        <v/>
      </c>
      <c r="L55" s="266">
        <f>L53-L54</f>
        <v/>
      </c>
      <c r="M55" s="266">
        <f>M53-M54</f>
        <v/>
      </c>
      <c r="N55" s="266">
        <f>N53-N54</f>
        <v/>
      </c>
      <c r="O55" s="266">
        <f>O53-O54</f>
        <v/>
      </c>
      <c r="P55" s="266">
        <f>P53-P54</f>
        <v/>
      </c>
      <c r="Q55" s="266">
        <f>Q53-Q54</f>
        <v/>
      </c>
      <c r="R55" s="266">
        <f>R53-R54</f>
        <v/>
      </c>
      <c r="S55" s="266">
        <f>S53-S54</f>
        <v/>
      </c>
      <c r="T55" s="266">
        <f>T53-T54</f>
        <v/>
      </c>
      <c r="U55" s="266">
        <f>U53-U54</f>
        <v/>
      </c>
      <c r="V55" s="266">
        <f>V53-V54</f>
        <v/>
      </c>
      <c r="W55" s="266">
        <f>W53-W54</f>
        <v/>
      </c>
      <c r="X55" s="266">
        <f>X53-X54</f>
        <v/>
      </c>
      <c r="Y55" s="266">
        <f>Y53-Y54</f>
        <v/>
      </c>
      <c r="Z55" s="266">
        <f>Z53-Z54</f>
        <v/>
      </c>
      <c r="AB55" s="266">
        <f>AB53-AB54</f>
        <v/>
      </c>
      <c r="AC55" s="266">
        <f>AC53-AC54</f>
        <v/>
      </c>
      <c r="AD55" s="266">
        <f>AD53-AD54</f>
        <v/>
      </c>
      <c r="AE55" s="266">
        <f>AE53-AE54</f>
        <v/>
      </c>
      <c r="AF55" s="266">
        <f>AF53-AF54</f>
        <v/>
      </c>
      <c r="AH55" s="261" t="n"/>
      <c r="AI55" s="261" t="n"/>
    </row>
    <row r="56" ht="4.5" customHeight="1">
      <c r="C56" s="267" t="n"/>
    </row>
    <row r="57" ht="12.75" customHeight="1">
      <c r="C57" s="255" t="inlineStr">
        <is>
          <t>Financing Activities:</t>
        </is>
      </c>
    </row>
    <row r="58" ht="12.75" customHeight="1">
      <c r="C58" s="256" t="inlineStr">
        <is>
          <t>Net proceeds (payments) on short-term debt</t>
        </is>
      </c>
      <c r="E58" s="259" t="n">
        <v>0</v>
      </c>
      <c r="F58" s="259">
        <f>0-E58</f>
        <v/>
      </c>
      <c r="G58" s="259">
        <f>1-SUM(E58:F58)</f>
        <v/>
      </c>
      <c r="H58" s="258">
        <f>AB58-SUM(E58:G58)</f>
        <v/>
      </c>
      <c r="I58" s="259" t="n">
        <v>0</v>
      </c>
      <c r="J58" s="259">
        <f>0-I58</f>
        <v/>
      </c>
      <c r="K58" s="259">
        <f>0-SUM(I58:J58)</f>
        <v/>
      </c>
      <c r="L58" s="258">
        <f>AC58-SUM(I58:K58)</f>
        <v/>
      </c>
      <c r="M58" s="259" t="n">
        <v>0</v>
      </c>
      <c r="N58" s="259">
        <f>200-M58</f>
        <v/>
      </c>
      <c r="O58" s="259">
        <f>220-SUM(M58:N58)</f>
        <v/>
      </c>
      <c r="P58" s="258">
        <f>AD58-SUM(M58:O58)</f>
        <v/>
      </c>
      <c r="Q58" s="259" t="n">
        <v>0</v>
      </c>
      <c r="R58" s="259">
        <f>0-Q58</f>
        <v/>
      </c>
      <c r="S58" s="259">
        <f>0-SUM(Q58:R58)</f>
        <v/>
      </c>
      <c r="T58" s="258">
        <f>AE58-SUM(Q58:S58)</f>
        <v/>
      </c>
      <c r="U58" s="259" t="n">
        <v>0</v>
      </c>
      <c r="V58" s="259">
        <f>0-U58</f>
        <v/>
      </c>
      <c r="W58" s="259">
        <f>218-SUM(U58:V58)</f>
        <v/>
      </c>
      <c r="X58" s="258">
        <f>AF58-SUM(U58:W58)</f>
        <v/>
      </c>
      <c r="Y58" s="259" t="n">
        <v>0</v>
      </c>
      <c r="Z58" s="259">
        <f>-125-Y58</f>
        <v/>
      </c>
      <c r="AB58" s="259" t="n">
        <v>0</v>
      </c>
      <c r="AC58" s="259" t="n">
        <v>0</v>
      </c>
      <c r="AD58" s="259" t="n">
        <v>0</v>
      </c>
      <c r="AE58" s="259" t="n">
        <v>0</v>
      </c>
      <c r="AF58" s="259" t="n">
        <v>119</v>
      </c>
      <c r="AH58" s="258">
        <f>SUM(S58:V58)</f>
        <v/>
      </c>
      <c r="AI58" s="258">
        <f>SUM(W58:Z58)</f>
        <v/>
      </c>
    </row>
    <row r="59" ht="12.75" customHeight="1">
      <c r="C59" s="256" t="inlineStr">
        <is>
          <t>Proceeds from issuance of long-term debt</t>
        </is>
      </c>
      <c r="E59" s="260" t="n">
        <v>0</v>
      </c>
      <c r="F59" s="260">
        <f>0-E59</f>
        <v/>
      </c>
      <c r="G59" s="260">
        <f>311-SUM(E59:F59)</f>
        <v/>
      </c>
      <c r="H59" s="261">
        <f>AB59-SUM(E59:G59)</f>
        <v/>
      </c>
      <c r="I59" s="260" t="n">
        <v>668</v>
      </c>
      <c r="J59" s="260">
        <f>754-I59</f>
        <v/>
      </c>
      <c r="K59" s="260">
        <f>754-SUM(I59:J59)</f>
        <v/>
      </c>
      <c r="L59" s="261">
        <f>AC59-SUM(I59:K59)</f>
        <v/>
      </c>
      <c r="M59" s="260" t="n">
        <v>0</v>
      </c>
      <c r="N59" s="260">
        <f>0-M59</f>
        <v/>
      </c>
      <c r="O59" s="260">
        <f>646-SUM(M59:N59)</f>
        <v/>
      </c>
      <c r="P59" s="261">
        <f>AD59-SUM(M59:O59)</f>
        <v/>
      </c>
      <c r="Q59" s="260" t="n">
        <v>905</v>
      </c>
      <c r="R59" s="260">
        <f>906-Q59</f>
        <v/>
      </c>
      <c r="S59" s="260">
        <f>906-SUM(Q59:R59)</f>
        <v/>
      </c>
      <c r="T59" s="261">
        <f>AE59-SUM(Q59:S59)</f>
        <v/>
      </c>
      <c r="U59" s="260" t="n">
        <v>3</v>
      </c>
      <c r="V59" s="260">
        <f>889-U59</f>
        <v/>
      </c>
      <c r="W59" s="260">
        <f>1137-SUM(U59:V59)</f>
        <v/>
      </c>
      <c r="X59" s="261">
        <f>AF59-SUM(U59:W59)</f>
        <v/>
      </c>
      <c r="Y59" s="260" t="n">
        <v>446</v>
      </c>
      <c r="Z59" s="260">
        <f>446-Y59</f>
        <v/>
      </c>
      <c r="AB59" s="260" t="n">
        <v>311</v>
      </c>
      <c r="AC59" s="260" t="n">
        <v>1194</v>
      </c>
      <c r="AD59" s="260" t="n">
        <v>1396</v>
      </c>
      <c r="AE59" s="260" t="n">
        <v>907</v>
      </c>
      <c r="AF59" s="260" t="n">
        <v>1140</v>
      </c>
      <c r="AH59" s="261">
        <f>SUM(S59:V59)</f>
        <v/>
      </c>
      <c r="AI59" s="261">
        <f>SUM(W59:Z59)</f>
        <v/>
      </c>
    </row>
    <row r="60" ht="12.75" customHeight="1">
      <c r="C60" s="256" t="inlineStr">
        <is>
          <t>Payments on long-term debt</t>
        </is>
      </c>
      <c r="E60" s="260" t="n">
        <v>-95</v>
      </c>
      <c r="F60" s="260">
        <f>-209-E60</f>
        <v/>
      </c>
      <c r="G60" s="260">
        <f>-445-SUM(E60:F60)</f>
        <v/>
      </c>
      <c r="H60" s="261">
        <f>AB60-SUM(E60:G60)</f>
        <v/>
      </c>
      <c r="I60" s="260" t="n">
        <v>-646</v>
      </c>
      <c r="J60" s="260">
        <f>-1133-I60</f>
        <v/>
      </c>
      <c r="K60" s="260">
        <f>-1259-SUM(I60:J60)</f>
        <v/>
      </c>
      <c r="L60" s="261">
        <f>AC60-SUM(I60:K60)</f>
        <v/>
      </c>
      <c r="M60" s="260" t="n">
        <v>-452</v>
      </c>
      <c r="N60" s="260">
        <f>-826-M60</f>
        <v/>
      </c>
      <c r="O60" s="260">
        <f>-997-SUM(M60:N60)</f>
        <v/>
      </c>
      <c r="P60" s="261">
        <f>AD60-SUM(M60:O60)</f>
        <v/>
      </c>
      <c r="Q60" s="260" t="n">
        <v>-570</v>
      </c>
      <c r="R60" s="260">
        <f>-871-Q60</f>
        <v/>
      </c>
      <c r="S60" s="260">
        <f>-913-SUM(Q60:R60)</f>
        <v/>
      </c>
      <c r="T60" s="261">
        <f>AE60-SUM(Q60:S60)</f>
        <v/>
      </c>
      <c r="U60" s="260" t="n">
        <v>-107</v>
      </c>
      <c r="V60" s="260">
        <f>-343-U60</f>
        <v/>
      </c>
      <c r="W60" s="260">
        <f>-685-SUM(U60:V60)</f>
        <v/>
      </c>
      <c r="X60" s="261">
        <f>AF60-SUM(U60:W60)</f>
        <v/>
      </c>
      <c r="Y60" s="260" t="n">
        <v>-191</v>
      </c>
      <c r="Z60" s="260">
        <f>-251-Y60</f>
        <v/>
      </c>
      <c r="AB60" s="260" t="n">
        <v>-519</v>
      </c>
      <c r="AC60" s="260" t="n">
        <v>-1723</v>
      </c>
      <c r="AD60" s="260" t="n">
        <v>-1874</v>
      </c>
      <c r="AE60" s="260" t="n">
        <v>-992</v>
      </c>
      <c r="AF60" s="260" t="n">
        <v>-755</v>
      </c>
      <c r="AH60" s="261">
        <f>SUM(S60:V60)</f>
        <v/>
      </c>
      <c r="AI60" s="261">
        <f>SUM(W60:Z60)</f>
        <v/>
      </c>
    </row>
    <row r="61" ht="12.75" customHeight="1">
      <c r="C61" s="256" t="inlineStr">
        <is>
          <t>Tariff receivables monetization</t>
        </is>
      </c>
      <c r="E61" s="261" t="n"/>
      <c r="F61" s="261" t="n"/>
      <c r="G61" s="261" t="n"/>
      <c r="H61" s="261" t="n"/>
      <c r="I61" s="261" t="n"/>
      <c r="J61" s="261" t="n"/>
      <c r="K61" s="261" t="n"/>
      <c r="L61" s="261" t="n"/>
      <c r="M61" s="261" t="n"/>
      <c r="N61" s="261" t="n"/>
      <c r="O61" s="261" t="n"/>
      <c r="P61" s="261" t="n"/>
      <c r="Q61" s="261" t="n"/>
      <c r="R61" s="261" t="n"/>
      <c r="S61" s="261" t="n"/>
      <c r="T61" s="261" t="n"/>
      <c r="U61" s="261" t="n"/>
      <c r="V61" s="261" t="n"/>
      <c r="W61" s="261" t="n"/>
      <c r="X61" s="261" t="n"/>
      <c r="Y61" s="260" t="n">
        <v>0</v>
      </c>
      <c r="Z61" s="260">
        <f>80-Y61</f>
        <v/>
      </c>
      <c r="AB61" s="261" t="n"/>
      <c r="AC61" s="261" t="n"/>
      <c r="AD61" s="261" t="n"/>
      <c r="AE61" s="261" t="n"/>
      <c r="AF61" s="261" t="n"/>
      <c r="AH61" s="261">
        <f>SUM(S61:V61)</f>
        <v/>
      </c>
      <c r="AI61" s="261">
        <f>SUM(W61:Z61)</f>
        <v/>
      </c>
    </row>
    <row r="62" ht="12.75" customHeight="1">
      <c r="C62" s="256" t="inlineStr">
        <is>
          <t>Purchases of capped calls</t>
        </is>
      </c>
      <c r="E62" s="261" t="n"/>
      <c r="F62" s="261" t="n"/>
      <c r="G62" s="261" t="n"/>
      <c r="H62" s="261" t="n"/>
      <c r="I62" s="261" t="n"/>
      <c r="J62" s="261" t="n"/>
      <c r="K62" s="261" t="n"/>
      <c r="L62" s="261" t="n"/>
      <c r="M62" s="261" t="n"/>
      <c r="N62" s="261" t="n"/>
      <c r="O62" s="261" t="n"/>
      <c r="P62" s="261" t="n"/>
      <c r="Q62" s="260" t="n">
        <v>-23</v>
      </c>
      <c r="R62" s="260">
        <f>-23-Q62</f>
        <v/>
      </c>
      <c r="S62" s="260">
        <f>-23-SUM(Q62:R62)</f>
        <v/>
      </c>
      <c r="T62" s="261">
        <f>AE62-SUM(Q62:S62)</f>
        <v/>
      </c>
      <c r="U62" s="260" t="n">
        <v>0</v>
      </c>
      <c r="V62" s="260">
        <f>0-U62</f>
        <v/>
      </c>
      <c r="W62" s="260">
        <f>0-SUM(U62:V62)</f>
        <v/>
      </c>
      <c r="X62" s="261">
        <f>AF62-SUM(U62:W62)</f>
        <v/>
      </c>
      <c r="Y62" s="261" t="n"/>
      <c r="Z62" s="261" t="n"/>
      <c r="AB62" s="261" t="n"/>
      <c r="AC62" s="261" t="n"/>
      <c r="AD62" s="261" t="n"/>
      <c r="AE62" s="260" t="n">
        <v>-23</v>
      </c>
      <c r="AF62" s="260" t="n">
        <v>0</v>
      </c>
      <c r="AH62" s="261">
        <f>SUM(S62:V62)</f>
        <v/>
      </c>
      <c r="AI62" s="261">
        <f>SUM(W62:Z62)</f>
        <v/>
      </c>
    </row>
    <row r="63" ht="12.75" customHeight="1">
      <c r="C63" s="256" t="inlineStr">
        <is>
          <t>Dividends</t>
        </is>
      </c>
      <c r="E63" s="260" t="n">
        <v>-54</v>
      </c>
      <c r="F63" s="260">
        <f>-108-E63</f>
        <v/>
      </c>
      <c r="G63" s="260">
        <f>-157-SUM(E63:F63)</f>
        <v/>
      </c>
      <c r="H63" s="261">
        <f>AB63-SUM(E63:G63)</f>
        <v/>
      </c>
      <c r="I63" s="260" t="n">
        <v>-46</v>
      </c>
      <c r="J63" s="260">
        <f>-88-I63</f>
        <v/>
      </c>
      <c r="K63" s="260">
        <f>-131-SUM(I63:J63)</f>
        <v/>
      </c>
      <c r="L63" s="261">
        <f>AC63-SUM(I63:K63)</f>
        <v/>
      </c>
      <c r="M63" s="260" t="n">
        <v>-45</v>
      </c>
      <c r="N63" s="260">
        <f>-88-M63</f>
        <v/>
      </c>
      <c r="O63" s="260">
        <f>-131-SUM(M63:N63)</f>
        <v/>
      </c>
      <c r="P63" s="261">
        <f>AD63-SUM(M63:O63)</f>
        <v/>
      </c>
      <c r="Q63" s="260" t="n">
        <v>-37</v>
      </c>
      <c r="R63" s="260">
        <f>-71-Q63</f>
        <v/>
      </c>
      <c r="S63" s="260">
        <f>-107-SUM(Q63:R63)</f>
        <v/>
      </c>
      <c r="T63" s="261">
        <f>AE63-SUM(Q63:S63)</f>
        <v/>
      </c>
      <c r="U63" s="260" t="n">
        <v>-39</v>
      </c>
      <c r="V63" s="260">
        <f>-58-U63</f>
        <v/>
      </c>
      <c r="W63" s="260">
        <f>-65-SUM(U63:V63)</f>
        <v/>
      </c>
      <c r="X63" s="261">
        <f>AF63-SUM(U63:W63)</f>
        <v/>
      </c>
      <c r="Y63" s="260" t="n">
        <v>-10</v>
      </c>
      <c r="Z63" s="260">
        <f>-16-Y63</f>
        <v/>
      </c>
      <c r="AB63" s="260" t="n">
        <v>-206</v>
      </c>
      <c r="AC63" s="260" t="n">
        <v>-174</v>
      </c>
      <c r="AD63" s="260" t="n">
        <v>-165</v>
      </c>
      <c r="AE63" s="260" t="n">
        <v>-141</v>
      </c>
      <c r="AF63" s="260" t="n">
        <v>-71</v>
      </c>
      <c r="AH63" s="261">
        <f>SUM(S63:V63)</f>
        <v/>
      </c>
      <c r="AI63" s="261">
        <f>SUM(W63:Z63)</f>
        <v/>
      </c>
    </row>
    <row r="64" ht="12.75" customHeight="1">
      <c r="C64" s="256" t="inlineStr">
        <is>
          <t>Payments to acquire treasury stock, including fees</t>
        </is>
      </c>
      <c r="E64" s="260" t="n">
        <v>-162</v>
      </c>
      <c r="F64" s="260">
        <f>-413-E64</f>
        <v/>
      </c>
      <c r="G64" s="260">
        <f>-500-SUM(E64:F64)</f>
        <v/>
      </c>
      <c r="H64" s="261">
        <f>AB64-SUM(E64:G64)</f>
        <v/>
      </c>
      <c r="I64" s="260" t="n">
        <v>-113</v>
      </c>
      <c r="J64" s="260">
        <f>-113-I64</f>
        <v/>
      </c>
      <c r="K64" s="260">
        <f>-113-SUM(I64:J64)</f>
        <v/>
      </c>
      <c r="L64" s="261">
        <f>AC64-SUM(I64:K64)</f>
        <v/>
      </c>
      <c r="M64" s="260" t="n">
        <v>0</v>
      </c>
      <c r="N64" s="260">
        <f>0-M64</f>
        <v/>
      </c>
      <c r="O64" s="260">
        <f>-544-SUM(M64:N64)</f>
        <v/>
      </c>
      <c r="P64" s="261">
        <f>AD64-SUM(M64:O64)</f>
        <v/>
      </c>
      <c r="Q64" s="260" t="n">
        <v>-3</v>
      </c>
      <c r="R64" s="260">
        <f>-3-Q64</f>
        <v/>
      </c>
      <c r="S64" s="260">
        <f>-3-SUM(Q64:R64)</f>
        <v/>
      </c>
      <c r="T64" s="261">
        <f>AE64-SUM(Q64:S64)</f>
        <v/>
      </c>
      <c r="U64" s="260" t="n">
        <v>0</v>
      </c>
      <c r="V64" s="260">
        <f>0-U64</f>
        <v/>
      </c>
      <c r="W64" s="260">
        <f>0-SUM(U64:V64)</f>
        <v/>
      </c>
      <c r="X64" s="261">
        <f>AF64-SUM(U64:W64)</f>
        <v/>
      </c>
      <c r="Y64" s="261" t="n"/>
      <c r="Z64" s="261" t="n"/>
      <c r="AB64" s="260" t="n">
        <v>-888</v>
      </c>
      <c r="AC64" s="260" t="n">
        <v>-113</v>
      </c>
      <c r="AD64" s="260" t="n">
        <v>-544</v>
      </c>
      <c r="AE64" s="260" t="n">
        <v>-8</v>
      </c>
      <c r="AF64" s="260" t="n">
        <v>0</v>
      </c>
      <c r="AH64" s="261">
        <f>SUM(S64:V64)</f>
        <v/>
      </c>
      <c r="AI64" s="261">
        <f>SUM(W64:Z64)</f>
        <v/>
      </c>
    </row>
    <row r="65" ht="12.75" customHeight="1">
      <c r="C65" s="256" t="inlineStr">
        <is>
          <t>Other financing, net</t>
        </is>
      </c>
      <c r="E65" s="260" t="n">
        <v>-7</v>
      </c>
      <c r="F65" s="260">
        <f>-17-E65</f>
        <v/>
      </c>
      <c r="G65" s="260">
        <f>-3-SUM(E65:F65)</f>
        <v/>
      </c>
      <c r="H65" s="261">
        <f>AB65-SUM(E65:G65)</f>
        <v/>
      </c>
      <c r="I65" s="260" t="n">
        <v>-12</v>
      </c>
      <c r="J65" s="260">
        <f>-7-I65</f>
        <v/>
      </c>
      <c r="K65" s="260">
        <f>-6-SUM(I65:J65)</f>
        <v/>
      </c>
      <c r="L65" s="261">
        <f>AC65-SUM(I65:K65)</f>
        <v/>
      </c>
      <c r="M65" s="260" t="n">
        <v>-8</v>
      </c>
      <c r="N65" s="260">
        <f>-11-M65</f>
        <v/>
      </c>
      <c r="O65" s="260">
        <f>-13-SUM(M65:N65)</f>
        <v/>
      </c>
      <c r="P65" s="261">
        <f>AD65-SUM(M65:O65)</f>
        <v/>
      </c>
      <c r="Q65" s="260" t="n">
        <v>-11</v>
      </c>
      <c r="R65" s="260">
        <f>-13-Q65</f>
        <v/>
      </c>
      <c r="S65" s="260">
        <f>-9-SUM(Q65:R65)</f>
        <v/>
      </c>
      <c r="T65" s="261">
        <f>AE65-SUM(Q65:S65)</f>
        <v/>
      </c>
      <c r="U65" s="260" t="n">
        <v>-16</v>
      </c>
      <c r="V65" s="260">
        <f>-29-U65</f>
        <v/>
      </c>
      <c r="W65" s="260">
        <f>-28-SUM(U65:V65)</f>
        <v/>
      </c>
      <c r="X65" s="261">
        <f>AF65-SUM(U65:W65)</f>
        <v/>
      </c>
      <c r="Y65" s="260" t="n">
        <v>-3</v>
      </c>
      <c r="Z65" s="260">
        <f>-6-Y65</f>
        <v/>
      </c>
      <c r="AB65" s="260" t="n">
        <v>-8</v>
      </c>
      <c r="AC65" s="260" t="n">
        <v>-6</v>
      </c>
      <c r="AD65" s="260" t="n">
        <v>-15</v>
      </c>
      <c r="AE65" s="260" t="n">
        <v>-14</v>
      </c>
      <c r="AF65" s="260" t="n">
        <v>-29</v>
      </c>
      <c r="AH65" s="261">
        <f>SUM(S65:V65)</f>
        <v/>
      </c>
      <c r="AI65" s="261">
        <f>SUM(W65:Z65)</f>
        <v/>
      </c>
    </row>
    <row r="66" ht="12.75" customHeight="1" thickBot="1">
      <c r="C66" s="275" t="inlineStr">
        <is>
          <t>Net cash provided by (used in) financing activities</t>
        </is>
      </c>
      <c r="D66" s="276" t="n"/>
      <c r="E66" s="277">
        <f>SUM(E58:E65)</f>
        <v/>
      </c>
      <c r="F66" s="277">
        <f>SUM(F58:F65)</f>
        <v/>
      </c>
      <c r="G66" s="277">
        <f>SUM(G58:G65)</f>
        <v/>
      </c>
      <c r="H66" s="277">
        <f>SUM(H58:H65)</f>
        <v/>
      </c>
      <c r="I66" s="277">
        <f>SUM(I58:I65)</f>
        <v/>
      </c>
      <c r="J66" s="277">
        <f>SUM(J58:J65)</f>
        <v/>
      </c>
      <c r="K66" s="277">
        <f>SUM(K58:K65)</f>
        <v/>
      </c>
      <c r="L66" s="277">
        <f>SUM(L58:L65)</f>
        <v/>
      </c>
      <c r="M66" s="277">
        <f>SUM(M58:M65)</f>
        <v/>
      </c>
      <c r="N66" s="277">
        <f>SUM(N58:N65)</f>
        <v/>
      </c>
      <c r="O66" s="277">
        <f>SUM(O58:O65)</f>
        <v/>
      </c>
      <c r="P66" s="277">
        <f>SUM(P58:P65)</f>
        <v/>
      </c>
      <c r="Q66" s="277">
        <f>SUM(Q58:Q65)</f>
        <v/>
      </c>
      <c r="R66" s="277">
        <f>SUM(R58:R65)</f>
        <v/>
      </c>
      <c r="S66" s="277">
        <f>SUM(S58:S65)</f>
        <v/>
      </c>
      <c r="T66" s="277">
        <f>SUM(T58:T65)</f>
        <v/>
      </c>
      <c r="U66" s="277">
        <f>SUM(U58:U65)</f>
        <v/>
      </c>
      <c r="V66" s="277">
        <f>SUM(V58:V65)</f>
        <v/>
      </c>
      <c r="W66" s="277">
        <f>SUM(W58:W65)</f>
        <v/>
      </c>
      <c r="X66" s="277">
        <f>SUM(X58:X65)</f>
        <v/>
      </c>
      <c r="Y66" s="277">
        <f>SUM(Y58:Y65)</f>
        <v/>
      </c>
      <c r="Z66" s="277">
        <f>SUM(Z58:Z65)</f>
        <v/>
      </c>
      <c r="AB66" s="277">
        <f>SUM(AB58:AB65)</f>
        <v/>
      </c>
      <c r="AC66" s="277">
        <f>SUM(AC58:AC65)</f>
        <v/>
      </c>
      <c r="AD66" s="277">
        <f>SUM(AD58:AD65)</f>
        <v/>
      </c>
      <c r="AE66" s="277">
        <f>SUM(AE58:AE65)</f>
        <v/>
      </c>
      <c r="AF66" s="277">
        <f>SUM(AF58:AF65)</f>
        <v/>
      </c>
      <c r="AH66" s="279">
        <f>SUM(AH58:AH65)</f>
        <v/>
      </c>
      <c r="AI66" s="279">
        <f>SUM(AI58:AI65)</f>
        <v/>
      </c>
    </row>
    <row r="67" hidden="1" ht="12.75" customHeight="1">
      <c r="C67" s="264" t="inlineStr">
        <is>
          <t>Net cash provided by (used in) financing activities</t>
        </is>
      </c>
      <c r="E67" s="265" t="n">
        <v>-318</v>
      </c>
      <c r="F67" s="259">
        <f>-747-(-318)</f>
        <v/>
      </c>
      <c r="G67" s="259">
        <f>-793-(-747)</f>
        <v/>
      </c>
      <c r="H67" s="259">
        <f>-1310-(-793)</f>
        <v/>
      </c>
      <c r="I67" s="265" t="n">
        <v>-149</v>
      </c>
      <c r="J67" s="259">
        <f>-587-(-149)</f>
        <v/>
      </c>
      <c r="K67" s="259">
        <f>-755-(-587)</f>
        <v/>
      </c>
      <c r="L67" s="259">
        <f>-822-(-755)</f>
        <v/>
      </c>
      <c r="M67" s="265" t="n">
        <v>-505</v>
      </c>
      <c r="N67" s="259">
        <f>-725-(-505)</f>
        <v/>
      </c>
      <c r="O67" s="259">
        <f>-819-(-725)</f>
        <v/>
      </c>
      <c r="P67" s="259">
        <f>-1202-(-819)</f>
        <v/>
      </c>
      <c r="Q67" s="265" t="n">
        <v>261</v>
      </c>
      <c r="R67" s="259">
        <f>-75-261</f>
        <v/>
      </c>
      <c r="S67" s="259">
        <f>-149-(-75)</f>
        <v/>
      </c>
      <c r="T67" s="259">
        <f>-271-(-149)</f>
        <v/>
      </c>
      <c r="U67" s="265" t="n">
        <v>-159</v>
      </c>
      <c r="V67" s="259">
        <f>459-(-159)</f>
        <v/>
      </c>
      <c r="W67" s="259">
        <f>577-459</f>
        <v/>
      </c>
      <c r="X67" s="259">
        <f>404-577</f>
        <v/>
      </c>
      <c r="Y67" s="265" t="n">
        <v>242</v>
      </c>
      <c r="Z67" s="259">
        <f>128-242</f>
        <v/>
      </c>
      <c r="AB67" s="265" t="n">
        <v>-1310</v>
      </c>
      <c r="AC67" s="265" t="n">
        <v>-822</v>
      </c>
      <c r="AD67" s="265" t="n">
        <v>-1202</v>
      </c>
      <c r="AE67" s="265" t="n">
        <v>-271</v>
      </c>
      <c r="AF67" s="265" t="n">
        <v>404</v>
      </c>
      <c r="AH67" s="258">
        <f>SUM(S67:V67)</f>
        <v/>
      </c>
      <c r="AI67" s="258">
        <f>SUM(W67:Z67)</f>
        <v/>
      </c>
    </row>
    <row r="68" hidden="1" ht="12.75" customHeight="1">
      <c r="C68" s="264" t="inlineStr">
        <is>
          <t>Check</t>
        </is>
      </c>
      <c r="E68" s="266">
        <f>E66-E67</f>
        <v/>
      </c>
      <c r="F68" s="266">
        <f>F66-F67</f>
        <v/>
      </c>
      <c r="G68" s="266">
        <f>G66-G67</f>
        <v/>
      </c>
      <c r="H68" s="266">
        <f>H66-H67</f>
        <v/>
      </c>
      <c r="I68" s="266">
        <f>I66-I67</f>
        <v/>
      </c>
      <c r="J68" s="266">
        <f>J66-J67</f>
        <v/>
      </c>
      <c r="K68" s="266">
        <f>K66-K67</f>
        <v/>
      </c>
      <c r="L68" s="266">
        <f>L66-L67</f>
        <v/>
      </c>
      <c r="M68" s="266">
        <f>M66-M67</f>
        <v/>
      </c>
      <c r="N68" s="266">
        <f>N66-N67</f>
        <v/>
      </c>
      <c r="O68" s="266">
        <f>O66-O67</f>
        <v/>
      </c>
      <c r="P68" s="266">
        <f>P66-P67</f>
        <v/>
      </c>
      <c r="Q68" s="266">
        <f>Q66-Q67</f>
        <v/>
      </c>
      <c r="R68" s="266">
        <f>R66-R67</f>
        <v/>
      </c>
      <c r="S68" s="266">
        <f>S66-S67</f>
        <v/>
      </c>
      <c r="T68" s="266">
        <f>T66-T67</f>
        <v/>
      </c>
      <c r="U68" s="266">
        <f>U66-U67</f>
        <v/>
      </c>
      <c r="V68" s="266">
        <f>V66-V67</f>
        <v/>
      </c>
      <c r="W68" s="266">
        <f>W66-W67</f>
        <v/>
      </c>
      <c r="X68" s="266">
        <f>X66-X67</f>
        <v/>
      </c>
      <c r="Y68" s="266">
        <f>Y66-Y67</f>
        <v/>
      </c>
      <c r="Z68" s="266">
        <f>Z66-Z67</f>
        <v/>
      </c>
      <c r="AB68" s="266">
        <f>AB66-AB67</f>
        <v/>
      </c>
      <c r="AC68" s="266">
        <f>AC66-AC67</f>
        <v/>
      </c>
      <c r="AD68" s="266">
        <f>AD66-AD67</f>
        <v/>
      </c>
      <c r="AE68" s="266">
        <f>AE66-AE67</f>
        <v/>
      </c>
      <c r="AF68" s="266">
        <f>AF66-AF67</f>
        <v/>
      </c>
      <c r="AH68" s="261" t="n"/>
      <c r="AI68" s="261" t="n"/>
    </row>
    <row r="69" ht="12.75" customHeight="1">
      <c r="C69" s="270" t="inlineStr">
        <is>
          <t>Effect of exchange rate changes on cash, cash equivalents and restricted cash</t>
        </is>
      </c>
      <c r="E69" s="259" t="n">
        <v>-12</v>
      </c>
      <c r="F69" s="259">
        <f>0-E69</f>
        <v/>
      </c>
      <c r="G69" s="259">
        <f>-13-SUM(E69:F69)</f>
        <v/>
      </c>
      <c r="H69" s="258">
        <f>AB69-SUM(E69:G69)</f>
        <v/>
      </c>
      <c r="I69" s="259" t="n">
        <v>10</v>
      </c>
      <c r="J69" s="259">
        <f>-14-I69</f>
        <v/>
      </c>
      <c r="K69" s="259">
        <f>-31-SUM(I69:J69)</f>
        <v/>
      </c>
      <c r="L69" s="258">
        <f>AC69-SUM(I69:K69)</f>
        <v/>
      </c>
      <c r="M69" s="259" t="n">
        <v>2</v>
      </c>
      <c r="N69" s="259">
        <f>4-M69</f>
        <v/>
      </c>
      <c r="O69" s="259">
        <f>-3-SUM(M69:N69)</f>
        <v/>
      </c>
      <c r="P69" s="258">
        <f>AD69-SUM(M69:O69)</f>
        <v/>
      </c>
      <c r="Q69" s="259" t="n">
        <v>-10</v>
      </c>
      <c r="R69" s="259">
        <f>-16-Q69</f>
        <v/>
      </c>
      <c r="S69" s="259">
        <f>-12-SUM(Q69:R69)</f>
        <v/>
      </c>
      <c r="T69" s="258">
        <f>AE69-SUM(Q69:S69)</f>
        <v/>
      </c>
      <c r="U69" s="259" t="n">
        <v>1</v>
      </c>
      <c r="V69" s="259">
        <f>7-U69</f>
        <v/>
      </c>
      <c r="W69" s="259">
        <f>5-SUM(U69:V69)</f>
        <v/>
      </c>
      <c r="X69" s="258">
        <f>AF69-SUM(U69:W69)</f>
        <v/>
      </c>
      <c r="Y69" s="259" t="n">
        <v>-2</v>
      </c>
      <c r="Z69" s="259">
        <f>-1-Y69</f>
        <v/>
      </c>
      <c r="AB69" s="259" t="n">
        <v>-16</v>
      </c>
      <c r="AC69" s="259" t="n">
        <v>-29</v>
      </c>
      <c r="AD69" s="259" t="n">
        <v>-1</v>
      </c>
      <c r="AE69" s="259" t="n">
        <v>-28</v>
      </c>
      <c r="AF69" s="259" t="n">
        <v>4</v>
      </c>
      <c r="AH69" s="258">
        <f>SUM(S69:V69)</f>
        <v/>
      </c>
      <c r="AI69" s="258">
        <f>SUM(W69:Z69)</f>
        <v/>
      </c>
    </row>
    <row r="70" ht="12.75" customHeight="1">
      <c r="C70" s="283" t="inlineStr">
        <is>
          <t>Net increase (decrease) in cash, cash equivalents and restricted cash</t>
        </is>
      </c>
      <c r="D70" s="284" t="n"/>
      <c r="E70" s="278">
        <f>E42+E53+E66+E69</f>
        <v/>
      </c>
      <c r="F70" s="278">
        <f>F42+F53+F66+F69</f>
        <v/>
      </c>
      <c r="G70" s="278">
        <f>G42+G53+G66+G69</f>
        <v/>
      </c>
      <c r="H70" s="278">
        <f>H42+H53+H66+H69</f>
        <v/>
      </c>
      <c r="I70" s="278">
        <f>I42+I53+I66+I69</f>
        <v/>
      </c>
      <c r="J70" s="278">
        <f>J42+J53+J66+J69</f>
        <v/>
      </c>
      <c r="K70" s="278">
        <f>K42+K53+K66+K69</f>
        <v/>
      </c>
      <c r="L70" s="278">
        <f>L42+L53+L66+L69</f>
        <v/>
      </c>
      <c r="M70" s="278">
        <f>M42+M53+M66+M69</f>
        <v/>
      </c>
      <c r="N70" s="278">
        <f>N42+N53+N66+N69</f>
        <v/>
      </c>
      <c r="O70" s="278">
        <f>O42+O53+O66+O69</f>
        <v/>
      </c>
      <c r="P70" s="278">
        <f>P42+P53+P66+P69</f>
        <v/>
      </c>
      <c r="Q70" s="278">
        <f>Q42+Q53+Q66+Q69</f>
        <v/>
      </c>
      <c r="R70" s="278">
        <f>R42+R53+R66+R69</f>
        <v/>
      </c>
      <c r="S70" s="278">
        <f>S42+S53+S66+S69</f>
        <v/>
      </c>
      <c r="T70" s="278">
        <f>T42+T53+T66+T69</f>
        <v/>
      </c>
      <c r="U70" s="278">
        <f>U42+U53+U66+U69</f>
        <v/>
      </c>
      <c r="V70" s="278">
        <f>V42+V53+V66+V69</f>
        <v/>
      </c>
      <c r="W70" s="278">
        <f>W42+W53+W66+W69</f>
        <v/>
      </c>
      <c r="X70" s="278">
        <f>X42+X53+X66+X69</f>
        <v/>
      </c>
      <c r="Y70" s="278">
        <f>Y42+Y53+Y66+Y69</f>
        <v/>
      </c>
      <c r="Z70" s="278">
        <f>Z42+Z53+Z66+Z69</f>
        <v/>
      </c>
      <c r="AB70" s="278">
        <f>AB42+AB53+AB66+AB69</f>
        <v/>
      </c>
      <c r="AC70" s="278">
        <f>AC42+AC53+AC66+AC69</f>
        <v/>
      </c>
      <c r="AD70" s="278">
        <f>AD42+AD53+AD66+AD69</f>
        <v/>
      </c>
      <c r="AE70" s="278">
        <f>AE42+AE53+AE66+AE69</f>
        <v/>
      </c>
      <c r="AF70" s="278">
        <f>AF42+AF53+AF66+AF69</f>
        <v/>
      </c>
      <c r="AH70" s="278">
        <f>AH42+AH53+AH66+AH69</f>
        <v/>
      </c>
      <c r="AI70" s="278">
        <f>AI42+AI53+AI66+AI69</f>
        <v/>
      </c>
    </row>
    <row r="71" hidden="1" ht="12.75" customHeight="1">
      <c r="C71" s="264" t="inlineStr">
        <is>
          <t>Net increase (decrease) in cash, cash equivalents and restricted cash</t>
        </is>
      </c>
      <c r="E71" s="265" t="n">
        <v>-230</v>
      </c>
      <c r="F71" s="259">
        <f>-488-(-230)</f>
        <v/>
      </c>
      <c r="G71" s="259">
        <f>-429-(-488)</f>
        <v/>
      </c>
      <c r="H71" s="259">
        <f>-782-(-429)</f>
        <v/>
      </c>
      <c r="I71" s="265" t="n">
        <v>-148</v>
      </c>
      <c r="J71" s="259">
        <f>-682-(-148)</f>
        <v/>
      </c>
      <c r="K71" s="259">
        <f>-908-(-682)</f>
        <v/>
      </c>
      <c r="L71" s="259">
        <f>-770-(-908)</f>
        <v/>
      </c>
      <c r="M71" s="265" t="n">
        <v>-442</v>
      </c>
      <c r="N71" s="259">
        <f>-570-(-442)</f>
        <v/>
      </c>
      <c r="O71" s="259">
        <f>-522-(-570)</f>
        <v/>
      </c>
      <c r="P71" s="259">
        <f>-522-(-522)</f>
        <v/>
      </c>
      <c r="Q71" s="265" t="n">
        <v>155</v>
      </c>
      <c r="R71" s="259">
        <f>-66-155</f>
        <v/>
      </c>
      <c r="S71" s="259">
        <f>-27-(-66)</f>
        <v/>
      </c>
      <c r="T71" s="259">
        <f>14-(-27)</f>
        <v/>
      </c>
      <c r="U71" s="265" t="n">
        <v>-241</v>
      </c>
      <c r="V71" s="259">
        <f>354-(-241)</f>
        <v/>
      </c>
      <c r="W71" s="259">
        <f>-96-354</f>
        <v/>
      </c>
      <c r="X71" s="259">
        <f>-66-(-96)</f>
        <v/>
      </c>
      <c r="Y71" s="265" t="n">
        <v>72</v>
      </c>
      <c r="Z71" s="259">
        <f>-13-72</f>
        <v/>
      </c>
      <c r="AB71" s="289" t="n">
        <v>-782</v>
      </c>
      <c r="AC71" s="289" t="n">
        <v>-770</v>
      </c>
      <c r="AD71" s="289" t="n">
        <v>-522</v>
      </c>
      <c r="AE71" s="289" t="n">
        <v>14</v>
      </c>
      <c r="AF71" s="289" t="n">
        <v>-66</v>
      </c>
      <c r="AH71" s="292">
        <f>SUM(S71:V71)</f>
        <v/>
      </c>
      <c r="AI71" s="292">
        <f>SUM(W71:Z71)</f>
        <v/>
      </c>
    </row>
    <row r="72" hidden="1" ht="12.75" customHeight="1">
      <c r="C72" s="264" t="inlineStr">
        <is>
          <t>Check</t>
        </is>
      </c>
      <c r="E72" s="271">
        <f>E70-E71</f>
        <v/>
      </c>
      <c r="F72" s="271">
        <f>F70-F71</f>
        <v/>
      </c>
      <c r="G72" s="271">
        <f>G70-G71</f>
        <v/>
      </c>
      <c r="H72" s="271">
        <f>H70-H71</f>
        <v/>
      </c>
      <c r="I72" s="271">
        <f>I70-I71</f>
        <v/>
      </c>
      <c r="J72" s="271">
        <f>J70-J71</f>
        <v/>
      </c>
      <c r="K72" s="271">
        <f>K70-K71</f>
        <v/>
      </c>
      <c r="L72" s="271">
        <f>L70-L71</f>
        <v/>
      </c>
      <c r="M72" s="271">
        <f>M70-M71</f>
        <v/>
      </c>
      <c r="N72" s="271">
        <f>N70-N71</f>
        <v/>
      </c>
      <c r="O72" s="271">
        <f>O70-O71</f>
        <v/>
      </c>
      <c r="P72" s="271">
        <f>P70-P71</f>
        <v/>
      </c>
      <c r="Q72" s="271">
        <f>Q70-Q71</f>
        <v/>
      </c>
      <c r="R72" s="271">
        <f>R70-R71</f>
        <v/>
      </c>
      <c r="S72" s="271">
        <f>S70-S71</f>
        <v/>
      </c>
      <c r="T72" s="271">
        <f>T70-T71</f>
        <v/>
      </c>
      <c r="U72" s="271">
        <f>U70-U71</f>
        <v/>
      </c>
      <c r="V72" s="271">
        <f>V70-V71</f>
        <v/>
      </c>
      <c r="W72" s="271">
        <f>W70-W71</f>
        <v/>
      </c>
      <c r="X72" s="271">
        <f>X70-X71</f>
        <v/>
      </c>
      <c r="Y72" s="271">
        <f>Y70-Y71</f>
        <v/>
      </c>
      <c r="Z72" s="271">
        <f>Z70-Z71</f>
        <v/>
      </c>
      <c r="AB72" s="290">
        <f>AB70-AB71</f>
        <v/>
      </c>
      <c r="AC72" s="290">
        <f>AC70-AC71</f>
        <v/>
      </c>
      <c r="AD72" s="290">
        <f>AD70-AD71</f>
        <v/>
      </c>
      <c r="AE72" s="290">
        <f>AE70-AE71</f>
        <v/>
      </c>
      <c r="AF72" s="290">
        <f>AF70-AF71</f>
        <v/>
      </c>
      <c r="AH72" s="293" t="n"/>
      <c r="AI72" s="293" t="n"/>
    </row>
    <row r="73" ht="12.75" customHeight="1">
      <c r="C73" s="270" t="inlineStr">
        <is>
          <t>Cash, cash equivalents and restricted cash, beginning</t>
        </is>
      </c>
      <c r="E73" s="259" t="n">
        <v>2691</v>
      </c>
      <c r="F73" s="258">
        <f>E74</f>
        <v/>
      </c>
      <c r="G73" s="258">
        <f>F74</f>
        <v/>
      </c>
      <c r="H73" s="258">
        <f>G74</f>
        <v/>
      </c>
      <c r="I73" s="259" t="n">
        <v>1909</v>
      </c>
      <c r="J73" s="258">
        <f>I74</f>
        <v/>
      </c>
      <c r="K73" s="258">
        <f>J74</f>
        <v/>
      </c>
      <c r="L73" s="258">
        <f>K74</f>
        <v/>
      </c>
      <c r="M73" s="259" t="n">
        <v>1139</v>
      </c>
      <c r="N73" s="258">
        <f>M74</f>
        <v/>
      </c>
      <c r="O73" s="258">
        <f>N74</f>
        <v/>
      </c>
      <c r="P73" s="258">
        <f>O74</f>
        <v/>
      </c>
      <c r="Q73" s="259" t="n">
        <v>617</v>
      </c>
      <c r="R73" s="258">
        <f>Q74</f>
        <v/>
      </c>
      <c r="S73" s="258">
        <f>R74</f>
        <v/>
      </c>
      <c r="T73" s="258">
        <f>S74</f>
        <v/>
      </c>
      <c r="U73" s="259" t="n">
        <v>631</v>
      </c>
      <c r="V73" s="258">
        <f>U74</f>
        <v/>
      </c>
      <c r="W73" s="258">
        <f>V74</f>
        <v/>
      </c>
      <c r="X73" s="258">
        <f>W74</f>
        <v/>
      </c>
      <c r="Y73" s="259" t="n">
        <v>565</v>
      </c>
      <c r="Z73" s="258">
        <f>Y74</f>
        <v/>
      </c>
      <c r="AB73" s="291" t="n">
        <v>2691</v>
      </c>
      <c r="AC73" s="291" t="n">
        <v>1909</v>
      </c>
      <c r="AD73" s="291" t="n">
        <v>1139</v>
      </c>
      <c r="AE73" s="291" t="n">
        <v>617</v>
      </c>
      <c r="AF73" s="291" t="n">
        <v>631</v>
      </c>
      <c r="AH73" s="294">
        <f>S73</f>
        <v/>
      </c>
      <c r="AI73" s="294">
        <f>W73</f>
        <v/>
      </c>
    </row>
    <row r="74" ht="12.75" customHeight="1" thickBot="1">
      <c r="A74" s="247" t="inlineStr">
        <is>
          <t>x</t>
        </is>
      </c>
      <c r="B74" s="247" t="inlineStr">
        <is>
          <t>x</t>
        </is>
      </c>
      <c r="C74" s="285" t="inlineStr">
        <is>
          <t>Cash, cash equivalents and restricted cash, ending</t>
        </is>
      </c>
      <c r="D74" s="286" t="n"/>
      <c r="E74" s="287">
        <f>E70+E73</f>
        <v/>
      </c>
      <c r="F74" s="287">
        <f>F70+F73</f>
        <v/>
      </c>
      <c r="G74" s="287">
        <f>G70+G73</f>
        <v/>
      </c>
      <c r="H74" s="287">
        <f>H70+H73</f>
        <v/>
      </c>
      <c r="I74" s="287">
        <f>I70+I73</f>
        <v/>
      </c>
      <c r="J74" s="287">
        <f>J70+J73</f>
        <v/>
      </c>
      <c r="K74" s="287">
        <f>K70+K73</f>
        <v/>
      </c>
      <c r="L74" s="287">
        <f>L70+L73</f>
        <v/>
      </c>
      <c r="M74" s="287">
        <f>M70+M73</f>
        <v/>
      </c>
      <c r="N74" s="287">
        <f>N70+N73</f>
        <v/>
      </c>
      <c r="O74" s="287">
        <f>O70+O73</f>
        <v/>
      </c>
      <c r="P74" s="287">
        <f>P70+P73</f>
        <v/>
      </c>
      <c r="Q74" s="287">
        <f>Q70+Q73</f>
        <v/>
      </c>
      <c r="R74" s="287">
        <f>R70+R73</f>
        <v/>
      </c>
      <c r="S74" s="287">
        <f>S70+S73</f>
        <v/>
      </c>
      <c r="T74" s="287">
        <f>T70+T73</f>
        <v/>
      </c>
      <c r="U74" s="287">
        <f>U70+U73</f>
        <v/>
      </c>
      <c r="V74" s="287">
        <f>V70+V73</f>
        <v/>
      </c>
      <c r="W74" s="287">
        <f>W70+W73</f>
        <v/>
      </c>
      <c r="X74" s="287">
        <f>X70+X73</f>
        <v/>
      </c>
      <c r="Y74" s="287">
        <f>Y70+Y73</f>
        <v/>
      </c>
      <c r="Z74" s="287">
        <f>Z70+Z73</f>
        <v/>
      </c>
      <c r="AB74" s="288">
        <f>AB70+AB73</f>
        <v/>
      </c>
      <c r="AC74" s="288">
        <f>AC70+AC73</f>
        <v/>
      </c>
      <c r="AD74" s="288">
        <f>AD70+AD73</f>
        <v/>
      </c>
      <c r="AE74" s="288">
        <f>AE70+AE73</f>
        <v/>
      </c>
      <c r="AF74" s="288">
        <f>AF70+AF73</f>
        <v/>
      </c>
      <c r="AH74" s="295">
        <f>AH70+AH73</f>
        <v/>
      </c>
      <c r="AI74" s="295">
        <f>AI70+AI73</f>
        <v/>
      </c>
    </row>
    <row r="75" hidden="1" ht="12.75" customHeight="1">
      <c r="A75" s="247" t="inlineStr">
        <is>
          <t>End</t>
        </is>
      </c>
      <c r="C75" s="264" t="inlineStr">
        <is>
          <t>Cash, cash equivalents and restricted cash, ending</t>
        </is>
      </c>
      <c r="E75" s="265" t="n">
        <v>2461</v>
      </c>
      <c r="F75" s="265" t="n">
        <v>2203</v>
      </c>
      <c r="G75" s="265" t="n">
        <v>2262</v>
      </c>
      <c r="H75" s="265" t="n">
        <v>1909</v>
      </c>
      <c r="I75" s="265" t="n">
        <v>1761</v>
      </c>
      <c r="J75" s="265" t="n">
        <v>1227</v>
      </c>
      <c r="K75" s="265" t="n">
        <v>1001</v>
      </c>
      <c r="L75" s="265" t="n">
        <v>1139</v>
      </c>
      <c r="M75" s="265" t="n">
        <v>697</v>
      </c>
      <c r="N75" s="265" t="n">
        <v>569</v>
      </c>
      <c r="O75" s="265" t="n">
        <v>617</v>
      </c>
      <c r="P75" s="265" t="n">
        <v>617</v>
      </c>
      <c r="Q75" s="265" t="n">
        <v>772</v>
      </c>
      <c r="R75" s="265" t="n">
        <v>551</v>
      </c>
      <c r="S75" s="265" t="n">
        <v>590</v>
      </c>
      <c r="T75" s="265" t="n">
        <v>631</v>
      </c>
      <c r="U75" s="265" t="n">
        <v>390</v>
      </c>
      <c r="V75" s="265" t="n">
        <v>985</v>
      </c>
      <c r="W75" s="265" t="n">
        <v>535</v>
      </c>
      <c r="X75" s="265" t="n">
        <v>565</v>
      </c>
      <c r="Y75" s="265" t="n">
        <v>637</v>
      </c>
      <c r="Z75" s="265" t="n">
        <v>552</v>
      </c>
      <c r="AB75" s="265" t="n">
        <v>1909</v>
      </c>
      <c r="AC75" s="265" t="n">
        <v>1139</v>
      </c>
      <c r="AD75" s="265" t="n">
        <v>617</v>
      </c>
      <c r="AE75" s="265" t="n">
        <v>631</v>
      </c>
      <c r="AF75" s="265" t="n">
        <v>565</v>
      </c>
      <c r="AH75" s="258">
        <f>V75</f>
        <v/>
      </c>
      <c r="AI75" s="258">
        <f>Z75</f>
        <v/>
      </c>
    </row>
    <row r="76" hidden="1" ht="12.75" customHeight="1">
      <c r="C76" s="264" t="inlineStr">
        <is>
          <t>Check</t>
        </is>
      </c>
      <c r="E76" s="266">
        <f>E74-E75</f>
        <v/>
      </c>
      <c r="F76" s="266">
        <f>F74-F75</f>
        <v/>
      </c>
      <c r="G76" s="266">
        <f>G74-G75</f>
        <v/>
      </c>
      <c r="H76" s="266">
        <f>H74-H75</f>
        <v/>
      </c>
      <c r="I76" s="266">
        <f>I74-I75</f>
        <v/>
      </c>
      <c r="J76" s="266">
        <f>J74-J75</f>
        <v/>
      </c>
      <c r="K76" s="266">
        <f>K74-K75</f>
        <v/>
      </c>
      <c r="L76" s="266">
        <f>L74-L75</f>
        <v/>
      </c>
      <c r="M76" s="266">
        <f>M74-M75</f>
        <v/>
      </c>
      <c r="N76" s="266">
        <f>N74-N75</f>
        <v/>
      </c>
      <c r="O76" s="266">
        <f>O74-O75</f>
        <v/>
      </c>
      <c r="P76" s="266">
        <f>P74-P75</f>
        <v/>
      </c>
      <c r="Q76" s="266">
        <f>Q74-Q75</f>
        <v/>
      </c>
      <c r="R76" s="266">
        <f>R74-R75</f>
        <v/>
      </c>
      <c r="S76" s="266">
        <f>S74-S75</f>
        <v/>
      </c>
      <c r="T76" s="266">
        <f>T74-T75</f>
        <v/>
      </c>
      <c r="U76" s="266">
        <f>U74-U75</f>
        <v/>
      </c>
      <c r="V76" s="266">
        <f>V74-V75</f>
        <v/>
      </c>
      <c r="W76" s="266">
        <f>W74-W75</f>
        <v/>
      </c>
      <c r="X76" s="266">
        <f>X74-X75</f>
        <v/>
      </c>
      <c r="Y76" s="266">
        <f>Y74-Y75</f>
        <v/>
      </c>
      <c r="Z76" s="266">
        <f>Z74-Z75</f>
        <v/>
      </c>
      <c r="AB76" s="266">
        <f>AB74-AB75</f>
        <v/>
      </c>
      <c r="AC76" s="266">
        <f>AC74-AC75</f>
        <v/>
      </c>
      <c r="AD76" s="266">
        <f>AD74-AD75</f>
        <v/>
      </c>
      <c r="AE76" s="266">
        <f>AE74-AE75</f>
        <v/>
      </c>
      <c r="AF76" s="266">
        <f>AF74-AF75</f>
        <v/>
      </c>
      <c r="AH76" s="261" t="n"/>
      <c r="AI76" s="261" t="n"/>
    </row>
    <row r="77" ht="12.75" customHeight="1" thickTop="1">
      <c r="A77" s="273" t="inlineStr">
        <is>
          <t>End</t>
        </is>
      </c>
      <c r="C77" s="267" t="n"/>
    </row>
    <row r="78" ht="12.75" customHeight="1"/>
  </sheetData>
  <hyperlinks>
    <hyperlink ref="B1" location="'Cover Page'!A1" display="Return to Cover"/>
  </hyperlinks>
  <pageMargins left="0.75" right="0.75" top="1" bottom="1" header="0.511811023622047" footer="0.511811023622047"/>
  <pageSetup orientation="landscape" scale="32" fitToHeight="0" horizontalDpi="300" verticalDpi="300"/>
  <legacyDrawing xmlns:r="http://schemas.openxmlformats.org/officeDocument/2006/relationships" r:id="anysvml"/>
</worksheet>
</file>

<file path=xl/worksheets/sheet6.xml><?xml version="1.0" encoding="utf-8"?>
<worksheet xmlns="http://schemas.openxmlformats.org/spreadsheetml/2006/main">
  <sheetPr>
    <tabColor theme="3" tint="0.249977111117893"/>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4.5"/>
  <cols>
    <col width="24" customWidth="1" min="1" max="1"/>
  </cols>
  <sheetData>
    <row r="1">
      <c r="A1" s="92" t="inlineStr">
        <is>
          <t>Financial Statements &gt;</t>
        </is>
      </c>
      <c r="B1" s="332">
        <f>'Cover Page'!A1</f>
        <v/>
      </c>
    </row>
  </sheetData>
  <hyperlinks>
    <hyperlink ref="B1" location="'Cover Page'!A1" display="'Cover Page'!A1"/>
  </hyperlinks>
  <pageMargins left="0.75" right="0.75" top="1" bottom="1" header="0.5" footer="0.5"/>
  <pageSetup orientation="portrait" verticalDpi="0"/>
</worksheet>
</file>

<file path=xl/worksheets/sheet7.xml><?xml version="1.0" encoding="utf-8"?>
<worksheet xmlns="http://schemas.openxmlformats.org/spreadsheetml/2006/main">
  <sheetPr>
    <tabColor theme="3" tint="0.249977111117893"/>
    <outlinePr summaryBelow="1" summaryRight="1"/>
    <pageSetUpPr fitToPage="1"/>
  </sheetPr>
  <dimension ref="A1:K46"/>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4" customWidth="1" min="3" max="3"/>
    <col width="12.1796875" customWidth="1" min="4" max="4"/>
    <col width="10.453125" customWidth="1" min="5" max="8"/>
    <col width="12.54296875" customWidth="1" min="9" max="10"/>
    <col width="1.7265625" customWidth="1" min="11" max="11"/>
  </cols>
  <sheetData>
    <row r="1" ht="12.75" customHeight="1">
      <c r="A1" s="137">
        <f>C3</f>
        <v/>
      </c>
      <c r="B1" s="138">
        <f>'Cover Page'!A1</f>
        <v/>
      </c>
      <c r="C1" s="30" t="n"/>
      <c r="D1" s="30" t="n"/>
      <c r="E1" s="30" t="n"/>
      <c r="F1" s="30" t="n"/>
      <c r="G1" s="30" t="n"/>
      <c r="H1" s="30" t="n"/>
      <c r="I1" s="30" t="n"/>
      <c r="J1" s="30" t="n"/>
    </row>
    <row r="2" ht="12.75" customHeight="1">
      <c r="A2" s="30" t="n"/>
      <c r="B2" s="30" t="n"/>
      <c r="C2" s="30" t="n"/>
      <c r="D2" s="30" t="n"/>
      <c r="E2" s="30" t="n"/>
      <c r="F2" s="30" t="n"/>
      <c r="G2" s="30" t="n"/>
      <c r="H2" s="30" t="n"/>
      <c r="I2" s="30" t="n"/>
      <c r="J2" s="30" t="n"/>
    </row>
    <row r="3" ht="14.25" customHeight="1">
      <c r="A3" s="30" t="n"/>
      <c r="B3" s="30" t="n"/>
      <c r="C3" s="31" t="inlineStr">
        <is>
          <t>Income Statement Summary</t>
        </is>
      </c>
      <c r="D3" s="32" t="n"/>
      <c r="E3" s="32" t="n"/>
      <c r="F3" s="32" t="n"/>
      <c r="G3" s="32" t="n"/>
      <c r="H3" s="32" t="n"/>
      <c r="I3" s="32" t="n"/>
      <c r="J3" s="93" t="inlineStr">
        <is>
          <t>Xerox Holdings Corporation</t>
        </is>
      </c>
    </row>
    <row r="4" ht="12.75" customHeight="1">
      <c r="A4" s="30" t="n"/>
      <c r="B4" s="30" t="n"/>
      <c r="C4" s="139" t="inlineStr">
        <is>
          <t>All values in $ millions (USD)</t>
        </is>
      </c>
      <c r="D4" s="33" t="n"/>
      <c r="E4" s="33" t="n"/>
      <c r="F4" s="33" t="n"/>
      <c r="G4" s="33" t="n"/>
      <c r="H4" s="33" t="n"/>
      <c r="I4" s="33" t="n"/>
      <c r="J4" s="34" t="n"/>
    </row>
    <row r="5" ht="12.75" customHeight="1">
      <c r="A5" s="140" t="n"/>
      <c r="B5" s="140" t="n"/>
      <c r="C5" s="139" t="n"/>
      <c r="D5" s="180" t="n"/>
      <c r="E5" s="181" t="n"/>
      <c r="F5" s="181" t="n"/>
      <c r="G5" s="181" t="n"/>
      <c r="H5" s="205" t="n"/>
      <c r="I5" s="182" t="n"/>
      <c r="J5" s="182" t="n"/>
      <c r="K5" s="203" t="n"/>
    </row>
    <row r="6" hidden="1" ht="12.75" customHeight="1">
      <c r="A6" s="140" t="n"/>
      <c r="B6" s="140" t="n"/>
      <c r="C6" s="139" t="n"/>
      <c r="D6" s="140" t="n"/>
      <c r="E6" s="140" t="n"/>
      <c r="F6" s="140" t="n"/>
      <c r="G6" s="140" t="n"/>
      <c r="H6" s="140" t="n"/>
      <c r="I6" s="183" t="n"/>
      <c r="J6" s="193" t="n"/>
      <c r="K6" s="141" t="n"/>
    </row>
    <row r="7" hidden="1" ht="12.75" customHeight="1">
      <c r="A7" s="140" t="n"/>
      <c r="B7" s="140" t="n"/>
      <c r="C7" s="140" t="n"/>
      <c r="D7" s="140" t="n"/>
      <c r="E7" s="140" t="n"/>
      <c r="F7" s="140" t="n"/>
      <c r="G7" s="140" t="n"/>
      <c r="H7" s="140" t="n"/>
      <c r="I7" s="183" t="n"/>
      <c r="J7" s="193" t="n"/>
      <c r="K7" s="141" t="n"/>
    </row>
    <row r="8" ht="12.75" customHeight="1">
      <c r="A8" s="94" t="inlineStr">
        <is>
          <t>x</t>
        </is>
      </c>
      <c r="B8" s="94" t="inlineStr">
        <is>
          <t>x</t>
        </is>
      </c>
      <c r="C8" s="35" t="inlineStr">
        <is>
          <t>Income Statement Summary</t>
        </is>
      </c>
      <c r="D8" s="36" t="inlineStr">
        <is>
          <t>Fiscal Year Ended</t>
        </is>
      </c>
      <c r="E8" s="204" t="n"/>
      <c r="F8" s="204" t="n"/>
      <c r="G8" s="204" t="n"/>
      <c r="H8" s="204" t="n"/>
      <c r="I8" s="184" t="inlineStr">
        <is>
          <t>LTM</t>
        </is>
      </c>
      <c r="J8" s="194" t="n"/>
    </row>
    <row r="9" ht="12.75" customHeight="1">
      <c r="A9" s="30" t="n"/>
      <c r="B9" s="30" t="n"/>
      <c r="C9" s="97" t="n"/>
      <c r="D9" s="98" t="inlineStr">
        <is>
          <t>2021</t>
        </is>
      </c>
      <c r="E9" s="98" t="inlineStr">
        <is>
          <t>2022</t>
        </is>
      </c>
      <c r="F9" s="98" t="inlineStr">
        <is>
          <t>2023</t>
        </is>
      </c>
      <c r="G9" s="98" t="inlineStr">
        <is>
          <t>2024</t>
        </is>
      </c>
      <c r="H9" s="98" t="inlineStr">
        <is>
          <t>2025</t>
        </is>
      </c>
      <c r="I9" s="185" t="inlineStr">
        <is>
          <t>LTM 2Q'25</t>
        </is>
      </c>
      <c r="J9" s="195" t="inlineStr">
        <is>
          <t>LTM 2Q'26</t>
        </is>
      </c>
    </row>
    <row r="10" ht="3" customHeight="1">
      <c r="A10" s="30" t="n"/>
      <c r="B10" s="30" t="n"/>
      <c r="C10" s="30" t="n"/>
      <c r="D10" s="30" t="n"/>
      <c r="E10" s="30" t="n"/>
      <c r="F10" s="30" t="n"/>
      <c r="G10" s="30" t="n"/>
      <c r="H10" s="30" t="n"/>
      <c r="I10" s="183" t="n"/>
      <c r="J10" s="193" t="n"/>
    </row>
    <row r="11" ht="12.75" customHeight="1">
      <c r="A11" s="30" t="n"/>
      <c r="B11" s="30" t="n"/>
      <c r="C11" s="143" t="inlineStr">
        <is>
          <t>Sales</t>
        </is>
      </c>
      <c r="D11" s="44">
        <f>'Income Statement'!AA10</f>
        <v/>
      </c>
      <c r="E11" s="44">
        <f>'Income Statement'!AB10</f>
        <v/>
      </c>
      <c r="F11" s="44">
        <f>'Income Statement'!AC10</f>
        <v/>
      </c>
      <c r="G11" s="44">
        <f>'Income Statement'!AD10</f>
        <v/>
      </c>
      <c r="H11" s="44">
        <f>'Income Statement'!AE10</f>
        <v/>
      </c>
      <c r="I11" s="186">
        <f>'Income Statement'!AG10</f>
        <v/>
      </c>
      <c r="J11" s="196">
        <f>'Income Statement'!AH10</f>
        <v/>
      </c>
    </row>
    <row r="12" ht="12.75" customHeight="1">
      <c r="A12" s="30" t="n"/>
      <c r="B12" s="30" t="n"/>
      <c r="C12" s="143" t="inlineStr">
        <is>
          <t>Services, maintenance, rentals and other</t>
        </is>
      </c>
      <c r="D12" s="43">
        <f>'Income Statement'!AA11</f>
        <v/>
      </c>
      <c r="E12" s="43">
        <f>'Income Statement'!AB11</f>
        <v/>
      </c>
      <c r="F12" s="43">
        <f>'Income Statement'!AC11</f>
        <v/>
      </c>
      <c r="G12" s="43">
        <f>'Income Statement'!AD11</f>
        <v/>
      </c>
      <c r="H12" s="43">
        <f>'Income Statement'!AE11</f>
        <v/>
      </c>
      <c r="I12" s="187">
        <f>'Income Statement'!AG11</f>
        <v/>
      </c>
      <c r="J12" s="197">
        <f>'Income Statement'!AH11</f>
        <v/>
      </c>
    </row>
    <row r="13" ht="12.75" customHeight="1">
      <c r="A13" s="30" t="n"/>
      <c r="B13" s="30" t="n"/>
      <c r="C13" s="206" t="inlineStr">
        <is>
          <t>Total revenues</t>
        </is>
      </c>
      <c r="D13" s="120">
        <f>D11+D12</f>
        <v/>
      </c>
      <c r="E13" s="120">
        <f>E11+E12</f>
        <v/>
      </c>
      <c r="F13" s="120">
        <f>F11+F12</f>
        <v/>
      </c>
      <c r="G13" s="120">
        <f>G11+G12</f>
        <v/>
      </c>
      <c r="H13" s="120">
        <f>H11+H12</f>
        <v/>
      </c>
      <c r="I13" s="207">
        <f>I11+I12</f>
        <v/>
      </c>
      <c r="J13" s="208">
        <f>J11+J12</f>
        <v/>
      </c>
    </row>
    <row r="14" ht="12.75" customHeight="1">
      <c r="A14" s="30" t="n"/>
      <c r="B14" s="30" t="n"/>
      <c r="C14" s="214" t="inlineStr">
        <is>
          <t>Cost of revenues</t>
        </is>
      </c>
      <c r="D14" s="215">
        <f>-'Income Statement'!AA17</f>
        <v/>
      </c>
      <c r="E14" s="215">
        <f>-'Income Statement'!AB17</f>
        <v/>
      </c>
      <c r="F14" s="215">
        <f>-'Income Statement'!AC17</f>
        <v/>
      </c>
      <c r="G14" s="215">
        <f>-'Income Statement'!AD17</f>
        <v/>
      </c>
      <c r="H14" s="215">
        <f>-'Income Statement'!AE17</f>
        <v/>
      </c>
      <c r="I14" s="220">
        <f>-'Income Statement'!AG17</f>
        <v/>
      </c>
      <c r="J14" s="219">
        <f>-'Income Statement'!AH17</f>
        <v/>
      </c>
    </row>
    <row r="15" ht="12.75" customHeight="1">
      <c r="A15" s="30" t="n"/>
      <c r="B15" s="30" t="n"/>
      <c r="C15" s="210" t="inlineStr">
        <is>
          <t>Gross profit</t>
        </is>
      </c>
      <c r="D15" s="211">
        <f>D13+D14</f>
        <v/>
      </c>
      <c r="E15" s="211">
        <f>E13+E14</f>
        <v/>
      </c>
      <c r="F15" s="211">
        <f>F13+F14</f>
        <v/>
      </c>
      <c r="G15" s="211">
        <f>G13+G14</f>
        <v/>
      </c>
      <c r="H15" s="211">
        <f>H13+H14</f>
        <v/>
      </c>
      <c r="I15" s="212">
        <f>I13+I14</f>
        <v/>
      </c>
      <c r="J15" s="213">
        <f>J13+J14</f>
        <v/>
      </c>
    </row>
    <row r="16" ht="12.75" customHeight="1">
      <c r="A16" s="30" t="n"/>
      <c r="B16" s="30" t="n"/>
      <c r="C16" s="209" t="inlineStr">
        <is>
          <t>Research, development and engineering</t>
        </is>
      </c>
      <c r="D16" s="145">
        <f>-'Income Statement'!AA19</f>
        <v/>
      </c>
      <c r="E16" s="145">
        <f>-'Income Statement'!AB19</f>
        <v/>
      </c>
      <c r="F16" s="145">
        <f>-'Income Statement'!AC19</f>
        <v/>
      </c>
      <c r="G16" s="145">
        <f>-'Income Statement'!AD19</f>
        <v/>
      </c>
      <c r="H16" s="145">
        <f>-'Income Statement'!AE19</f>
        <v/>
      </c>
      <c r="I16" s="187">
        <f>-'Income Statement'!AG19</f>
        <v/>
      </c>
      <c r="J16" s="197">
        <f>-'Income Statement'!AH19</f>
        <v/>
      </c>
    </row>
    <row r="17" ht="12.75" customHeight="1">
      <c r="A17" s="30" t="n"/>
      <c r="B17" s="30" t="n"/>
      <c r="C17" s="143" t="inlineStr">
        <is>
          <t>Selling, administrative and general</t>
        </is>
      </c>
      <c r="D17" s="43">
        <f>-'Income Statement'!AA20</f>
        <v/>
      </c>
      <c r="E17" s="43">
        <f>-'Income Statement'!AB20</f>
        <v/>
      </c>
      <c r="F17" s="43">
        <f>-'Income Statement'!AC20</f>
        <v/>
      </c>
      <c r="G17" s="43">
        <f>-'Income Statement'!AD20</f>
        <v/>
      </c>
      <c r="H17" s="43">
        <f>-'Income Statement'!AE20</f>
        <v/>
      </c>
      <c r="I17" s="187">
        <f>-'Income Statement'!AG20</f>
        <v/>
      </c>
      <c r="J17" s="197">
        <f>-'Income Statement'!AH20</f>
        <v/>
      </c>
    </row>
    <row r="18" ht="12.75" customHeight="1">
      <c r="A18" s="30" t="n"/>
      <c r="B18" s="30" t="n"/>
      <c r="C18" s="143" t="inlineStr">
        <is>
          <t>Restructuring and related costs, net</t>
        </is>
      </c>
      <c r="D18" s="43">
        <f>-'Income Statement'!AA22</f>
        <v/>
      </c>
      <c r="E18" s="43">
        <f>-'Income Statement'!AB22</f>
        <v/>
      </c>
      <c r="F18" s="43">
        <f>-'Income Statement'!AC22</f>
        <v/>
      </c>
      <c r="G18" s="43">
        <f>-'Income Statement'!AD22</f>
        <v/>
      </c>
      <c r="H18" s="43">
        <f>-'Income Statement'!AE22</f>
        <v/>
      </c>
      <c r="I18" s="187">
        <f>-'Income Statement'!AG22</f>
        <v/>
      </c>
      <c r="J18" s="197">
        <f>-'Income Statement'!AH22</f>
        <v/>
      </c>
    </row>
    <row r="19" ht="12.75" customHeight="1">
      <c r="A19" s="30" t="n"/>
      <c r="B19" s="30" t="n"/>
      <c r="C19" s="143" t="inlineStr">
        <is>
          <t>Amortization of intangible assets</t>
        </is>
      </c>
      <c r="D19" s="43">
        <f>-'Income Statement'!AA23</f>
        <v/>
      </c>
      <c r="E19" s="43">
        <f>-'Income Statement'!AB23</f>
        <v/>
      </c>
      <c r="F19" s="43">
        <f>-'Income Statement'!AC23</f>
        <v/>
      </c>
      <c r="G19" s="43">
        <f>-'Income Statement'!AD23</f>
        <v/>
      </c>
      <c r="H19" s="43">
        <f>-'Income Statement'!AE23</f>
        <v/>
      </c>
      <c r="I19" s="187">
        <f>-'Income Statement'!AG23</f>
        <v/>
      </c>
      <c r="J19" s="197">
        <f>-'Income Statement'!AH23</f>
        <v/>
      </c>
    </row>
    <row r="20" ht="12.75" customHeight="1">
      <c r="A20" s="30" t="n"/>
      <c r="B20" s="30" t="n"/>
      <c r="C20" s="143" t="inlineStr">
        <is>
          <t>Divestitures</t>
        </is>
      </c>
      <c r="D20" s="43">
        <f>-'Income Statement'!AA24</f>
        <v/>
      </c>
      <c r="E20" s="43">
        <f>-'Income Statement'!AB24</f>
        <v/>
      </c>
      <c r="F20" s="43">
        <f>-'Income Statement'!AC24</f>
        <v/>
      </c>
      <c r="G20" s="43">
        <f>-'Income Statement'!AD24</f>
        <v/>
      </c>
      <c r="H20" s="43">
        <f>-'Income Statement'!AE24</f>
        <v/>
      </c>
      <c r="I20" s="187">
        <f>-'Income Statement'!AG24</f>
        <v/>
      </c>
      <c r="J20" s="197">
        <f>-'Income Statement'!AH24</f>
        <v/>
      </c>
    </row>
    <row r="21" ht="12.75" customHeight="1">
      <c r="A21" s="30" t="n"/>
      <c r="B21" s="30" t="n"/>
      <c r="C21" s="143" t="inlineStr">
        <is>
          <t>PARC donation</t>
        </is>
      </c>
      <c r="D21" s="43">
        <f>-'Income Statement'!AA25</f>
        <v/>
      </c>
      <c r="E21" s="43">
        <f>-'Income Statement'!AB25</f>
        <v/>
      </c>
      <c r="F21" s="43">
        <f>-'Income Statement'!AC25</f>
        <v/>
      </c>
      <c r="G21" s="43">
        <f>-'Income Statement'!AD25</f>
        <v/>
      </c>
      <c r="H21" s="43">
        <f>-'Income Statement'!AE25</f>
        <v/>
      </c>
      <c r="I21" s="187">
        <f>-'Income Statement'!AG25</f>
        <v/>
      </c>
      <c r="J21" s="197">
        <f>-'Income Statement'!AH25</f>
        <v/>
      </c>
    </row>
    <row r="22" ht="12.75" customHeight="1">
      <c r="A22" s="30" t="n"/>
      <c r="B22" s="30" t="n"/>
      <c r="C22" s="143" t="inlineStr">
        <is>
          <t>Depreciation and amortization (add-back)</t>
        </is>
      </c>
      <c r="D22" s="43">
        <f>'Income Statement'!AA43</f>
        <v/>
      </c>
      <c r="E22" s="43">
        <f>'Income Statement'!AB43</f>
        <v/>
      </c>
      <c r="F22" s="43">
        <f>'Income Statement'!AC43</f>
        <v/>
      </c>
      <c r="G22" s="43">
        <f>'Income Statement'!AD43</f>
        <v/>
      </c>
      <c r="H22" s="43">
        <f>'Income Statement'!AE43</f>
        <v/>
      </c>
      <c r="I22" s="187">
        <f>'Income Statement'!AG43</f>
        <v/>
      </c>
      <c r="J22" s="197">
        <f>'Income Statement'!AH43</f>
        <v/>
      </c>
    </row>
    <row r="23" ht="12.75" customHeight="1">
      <c r="A23" s="30" t="n"/>
      <c r="B23" s="30" t="n"/>
      <c r="C23" s="206" t="inlineStr">
        <is>
          <t>EBITDA</t>
        </is>
      </c>
      <c r="D23" s="120">
        <f>D15+SUM(D16:D22)</f>
        <v/>
      </c>
      <c r="E23" s="120">
        <f>E15+SUM(E16:E22)</f>
        <v/>
      </c>
      <c r="F23" s="120">
        <f>F15+SUM(F16:F22)</f>
        <v/>
      </c>
      <c r="G23" s="120">
        <f>G15+SUM(G16:G22)</f>
        <v/>
      </c>
      <c r="H23" s="120">
        <f>H15+SUM(H16:H22)</f>
        <v/>
      </c>
      <c r="I23" s="207">
        <f>I15+SUM(I16:I22)</f>
        <v/>
      </c>
      <c r="J23" s="208">
        <f>J15+SUM(J16:J22)</f>
        <v/>
      </c>
    </row>
    <row r="24" ht="12.75" customHeight="1">
      <c r="A24" s="30" t="n"/>
      <c r="B24" s="30" t="n"/>
      <c r="C24" s="209" t="inlineStr">
        <is>
          <t>Stock-based compensation</t>
        </is>
      </c>
      <c r="D24" s="144">
        <f>'Income Statement'!AA46</f>
        <v/>
      </c>
      <c r="E24" s="144">
        <f>'Income Statement'!AB46</f>
        <v/>
      </c>
      <c r="F24" s="144">
        <f>'Income Statement'!AC46</f>
        <v/>
      </c>
      <c r="G24" s="144">
        <f>'Income Statement'!AD46</f>
        <v/>
      </c>
      <c r="H24" s="144">
        <f>'Income Statement'!AE46</f>
        <v/>
      </c>
      <c r="I24" s="186">
        <f>'Income Statement'!AG46</f>
        <v/>
      </c>
      <c r="J24" s="196">
        <f>'Income Statement'!AH46</f>
        <v/>
      </c>
    </row>
    <row r="25" ht="12.75" customHeight="1">
      <c r="A25" s="30" t="n"/>
      <c r="B25" s="30" t="n"/>
      <c r="C25" s="143" t="inlineStr">
        <is>
          <t>Restructuring and related costs, net</t>
        </is>
      </c>
      <c r="D25" s="43">
        <f>'Income Statement'!AA22</f>
        <v/>
      </c>
      <c r="E25" s="43">
        <f>'Income Statement'!AB22</f>
        <v/>
      </c>
      <c r="F25" s="43">
        <f>'Income Statement'!AC22</f>
        <v/>
      </c>
      <c r="G25" s="43">
        <f>'Income Statement'!AD22</f>
        <v/>
      </c>
      <c r="H25" s="43">
        <f>'Income Statement'!AE22</f>
        <v/>
      </c>
      <c r="I25" s="187">
        <f>'Income Statement'!AG22</f>
        <v/>
      </c>
      <c r="J25" s="197">
        <f>'Income Statement'!AH22</f>
        <v/>
      </c>
    </row>
    <row r="26" ht="12.75" customHeight="1">
      <c r="A26" s="30" t="n"/>
      <c r="B26" s="30" t="n"/>
      <c r="C26" s="143" t="inlineStr">
        <is>
          <t>PARC donation</t>
        </is>
      </c>
      <c r="D26" s="43">
        <f>'Income Statement'!AA25</f>
        <v/>
      </c>
      <c r="E26" s="43">
        <f>'Income Statement'!AB25</f>
        <v/>
      </c>
      <c r="F26" s="43">
        <f>'Income Statement'!AC25</f>
        <v/>
      </c>
      <c r="G26" s="43">
        <f>'Income Statement'!AD25</f>
        <v/>
      </c>
      <c r="H26" s="43">
        <f>'Income Statement'!AE25</f>
        <v/>
      </c>
      <c r="I26" s="187">
        <f>'Income Statement'!AG25</f>
        <v/>
      </c>
      <c r="J26" s="197">
        <f>'Income Statement'!AH25</f>
        <v/>
      </c>
    </row>
    <row r="27" ht="12.75" customHeight="1">
      <c r="A27" s="30" t="n"/>
      <c r="B27" s="30" t="n"/>
      <c r="C27" s="143" t="inlineStr">
        <is>
          <t>Divestitures</t>
        </is>
      </c>
      <c r="D27" s="43">
        <f>'Income Statement'!AA24</f>
        <v/>
      </c>
      <c r="E27" s="43">
        <f>'Income Statement'!AB24</f>
        <v/>
      </c>
      <c r="F27" s="43">
        <f>'Income Statement'!AC24</f>
        <v/>
      </c>
      <c r="G27" s="43">
        <f>'Income Statement'!AD24</f>
        <v/>
      </c>
      <c r="H27" s="43">
        <f>'Income Statement'!AE24</f>
        <v/>
      </c>
      <c r="I27" s="187">
        <f>'Income Statement'!AG24</f>
        <v/>
      </c>
      <c r="J27" s="197">
        <f>'Income Statement'!AH24</f>
        <v/>
      </c>
    </row>
    <row r="28" ht="12.75" customHeight="1">
      <c r="A28" s="30" t="n"/>
      <c r="B28" s="30" t="n"/>
      <c r="C28" s="143" t="inlineStr">
        <is>
          <t>Transformation-related costs</t>
        </is>
      </c>
      <c r="D28" s="43">
        <f>'Income Statement'!AA50</f>
        <v/>
      </c>
      <c r="E28" s="43">
        <f>'Income Statement'!AB50</f>
        <v/>
      </c>
      <c r="F28" s="43">
        <f>'Income Statement'!AC50</f>
        <v/>
      </c>
      <c r="G28" s="43">
        <f>'Income Statement'!AD50</f>
        <v/>
      </c>
      <c r="H28" s="43">
        <f>'Income Statement'!AE50</f>
        <v/>
      </c>
      <c r="I28" s="187">
        <f>'Income Statement'!AG50</f>
        <v/>
      </c>
      <c r="J28" s="197">
        <f>'Income Statement'!AH50</f>
        <v/>
      </c>
    </row>
    <row r="29" ht="12.75" customHeight="1">
      <c r="A29" s="30" t="n"/>
      <c r="B29" s="30" t="n"/>
      <c r="C29" s="143" t="inlineStr">
        <is>
          <t>Transaction and related costs, net</t>
        </is>
      </c>
      <c r="D29" s="43">
        <f>'Income Statement'!AA51</f>
        <v/>
      </c>
      <c r="E29" s="43">
        <f>'Income Statement'!AB51</f>
        <v/>
      </c>
      <c r="F29" s="43">
        <f>'Income Statement'!AC51</f>
        <v/>
      </c>
      <c r="G29" s="43">
        <f>'Income Statement'!AD51</f>
        <v/>
      </c>
      <c r="H29" s="43">
        <f>'Income Statement'!AE51</f>
        <v/>
      </c>
      <c r="I29" s="187">
        <f>'Income Statement'!AG51</f>
        <v/>
      </c>
      <c r="J29" s="197">
        <f>'Income Statement'!AH51</f>
        <v/>
      </c>
    </row>
    <row r="30" ht="12.75" customHeight="1">
      <c r="A30" s="30" t="n"/>
      <c r="B30" s="30" t="n"/>
      <c r="C30" s="143" t="inlineStr">
        <is>
          <t>Inventory impact, exit of Production Print manufacturing</t>
        </is>
      </c>
      <c r="D30" s="43">
        <f>'Income Statement'!AA52</f>
        <v/>
      </c>
      <c r="E30" s="43">
        <f>'Income Statement'!AB52</f>
        <v/>
      </c>
      <c r="F30" s="43">
        <f>'Income Statement'!AC52</f>
        <v/>
      </c>
      <c r="G30" s="43">
        <f>'Income Statement'!AD52</f>
        <v/>
      </c>
      <c r="H30" s="43">
        <f>'Income Statement'!AE52</f>
        <v/>
      </c>
      <c r="I30" s="187">
        <f>'Income Statement'!AG52</f>
        <v/>
      </c>
      <c r="J30" s="197">
        <f>'Income Statement'!AH52</f>
        <v/>
      </c>
    </row>
    <row r="31" ht="12.75" customHeight="1">
      <c r="A31" s="30" t="n"/>
      <c r="B31" s="30" t="n"/>
      <c r="C31" s="143" t="inlineStr">
        <is>
          <t>Lexmark inventory purchase accounting adjustment</t>
        </is>
      </c>
      <c r="D31" s="43">
        <f>'Income Statement'!AA53</f>
        <v/>
      </c>
      <c r="E31" s="43">
        <f>'Income Statement'!AB53</f>
        <v/>
      </c>
      <c r="F31" s="43">
        <f>'Income Statement'!AC53</f>
        <v/>
      </c>
      <c r="G31" s="43">
        <f>'Income Statement'!AD53</f>
        <v/>
      </c>
      <c r="H31" s="43">
        <f>'Income Statement'!AE53</f>
        <v/>
      </c>
      <c r="I31" s="187">
        <f>'Income Statement'!AG53</f>
        <v/>
      </c>
      <c r="J31" s="197">
        <f>'Income Statement'!AH53</f>
        <v/>
      </c>
    </row>
    <row r="32" ht="12.75" customHeight="1">
      <c r="A32" s="30" t="n"/>
      <c r="B32" s="30" t="n"/>
      <c r="C32" s="143" t="inlineStr">
        <is>
          <t>Lexmark settlement of pre-existing employment agreements</t>
        </is>
      </c>
      <c r="D32" s="43">
        <f>'Income Statement'!AA54</f>
        <v/>
      </c>
      <c r="E32" s="43">
        <f>'Income Statement'!AB54</f>
        <v/>
      </c>
      <c r="F32" s="43">
        <f>'Income Statement'!AC54</f>
        <v/>
      </c>
      <c r="G32" s="43">
        <f>'Income Statement'!AD54</f>
        <v/>
      </c>
      <c r="H32" s="43">
        <f>'Income Statement'!AE54</f>
        <v/>
      </c>
      <c r="I32" s="187">
        <f>'Income Statement'!AG54</f>
        <v/>
      </c>
      <c r="J32" s="197">
        <f>'Income Statement'!AH54</f>
        <v/>
      </c>
    </row>
    <row r="33" ht="12.75" customHeight="1">
      <c r="A33" s="30" t="n"/>
      <c r="B33" s="30" t="n"/>
      <c r="C33" s="229" t="inlineStr">
        <is>
          <t>Adjusted EBITDA</t>
        </is>
      </c>
      <c r="D33" s="109">
        <f>D23+SUM(D24:D32)</f>
        <v/>
      </c>
      <c r="E33" s="109">
        <f>E23+SUM(E24:E32)</f>
        <v/>
      </c>
      <c r="F33" s="109">
        <f>F23+SUM(F24:F32)</f>
        <v/>
      </c>
      <c r="G33" s="109">
        <f>G23+SUM(G24:G32)</f>
        <v/>
      </c>
      <c r="H33" s="109">
        <f>H23+SUM(H24:H32)</f>
        <v/>
      </c>
      <c r="I33" s="231">
        <f>I23+SUM(I24:I32)</f>
        <v/>
      </c>
      <c r="J33" s="230">
        <f>J23+SUM(J24:J32)</f>
        <v/>
      </c>
    </row>
    <row r="34" hidden="1" ht="12.75" customHeight="1">
      <c r="A34" s="30" t="n"/>
      <c r="B34" s="30" t="n"/>
      <c r="C34" s="147" t="inlineStr">
        <is>
          <t>IS Adjusted EBITDA</t>
        </is>
      </c>
      <c r="D34" s="148">
        <f>'Income Statement'!AA55</f>
        <v/>
      </c>
      <c r="E34" s="148">
        <f>'Income Statement'!AB55</f>
        <v/>
      </c>
      <c r="F34" s="148">
        <f>'Income Statement'!AC55</f>
        <v/>
      </c>
      <c r="G34" s="148">
        <f>'Income Statement'!AD55</f>
        <v/>
      </c>
      <c r="H34" s="148">
        <f>'Income Statement'!AE55</f>
        <v/>
      </c>
      <c r="I34" s="188">
        <f>'Income Statement'!AG55</f>
        <v/>
      </c>
      <c r="J34" s="198">
        <f>'Income Statement'!AH55</f>
        <v/>
      </c>
    </row>
    <row r="35" hidden="1" ht="12.75" customHeight="1">
      <c r="A35" s="30" t="n"/>
      <c r="B35" s="30" t="n"/>
      <c r="C35" s="149" t="inlineStr">
        <is>
          <t>Check</t>
        </is>
      </c>
      <c r="D35" s="45">
        <f>D33-D34</f>
        <v/>
      </c>
      <c r="E35" s="45">
        <f>E33-E34</f>
        <v/>
      </c>
      <c r="F35" s="45">
        <f>F33-F34</f>
        <v/>
      </c>
      <c r="G35" s="45">
        <f>G33-G34</f>
        <v/>
      </c>
      <c r="H35" s="45">
        <f>H33-H34</f>
        <v/>
      </c>
      <c r="I35" s="189">
        <f>I33-I34</f>
        <v/>
      </c>
      <c r="J35" s="199">
        <f>J33-J34</f>
        <v/>
      </c>
    </row>
    <row r="36" ht="12.75" customHeight="1">
      <c r="A36" s="30" t="n"/>
      <c r="B36" s="30" t="n"/>
      <c r="C36" s="214" t="inlineStr">
        <is>
          <t>Less: IEEPA tariff refund benefit</t>
        </is>
      </c>
      <c r="D36" s="217">
        <f>'Income Statement'!AA56</f>
        <v/>
      </c>
      <c r="E36" s="217">
        <f>'Income Statement'!AB56</f>
        <v/>
      </c>
      <c r="F36" s="217">
        <f>'Income Statement'!AC56</f>
        <v/>
      </c>
      <c r="G36" s="217">
        <f>'Income Statement'!AD56</f>
        <v/>
      </c>
      <c r="H36" s="217">
        <f>'Income Statement'!AE56</f>
        <v/>
      </c>
      <c r="I36" s="224">
        <f>'Income Statement'!AG56</f>
        <v/>
      </c>
      <c r="J36" s="221">
        <f>'Income Statement'!AH56</f>
        <v/>
      </c>
    </row>
    <row r="37" ht="12.75" customHeight="1" thickBot="1">
      <c r="A37" s="30" t="n"/>
      <c r="B37" s="30" t="inlineStr">
        <is>
          <t>x</t>
        </is>
      </c>
      <c r="C37" s="225" t="inlineStr">
        <is>
          <t>Adjusted EBITDA excl. IEEPA tariff benefit</t>
        </is>
      </c>
      <c r="D37" s="226">
        <f>D33+D36</f>
        <v/>
      </c>
      <c r="E37" s="226">
        <f>E33+E36</f>
        <v/>
      </c>
      <c r="F37" s="226">
        <f>F33+F36</f>
        <v/>
      </c>
      <c r="G37" s="226">
        <f>G33+G36</f>
        <v/>
      </c>
      <c r="H37" s="226">
        <f>H33+H36</f>
        <v/>
      </c>
      <c r="I37" s="227">
        <f>I33+I36</f>
        <v/>
      </c>
      <c r="J37" s="228">
        <f>J33+J36</f>
        <v/>
      </c>
    </row>
    <row r="38" ht="12.75" customHeight="1">
      <c r="A38" s="30" t="n"/>
      <c r="B38" s="30" t="n"/>
      <c r="C38" s="30" t="n"/>
      <c r="D38" s="30" t="n"/>
      <c r="E38" s="30" t="n"/>
      <c r="F38" s="30" t="n"/>
      <c r="G38" s="30" t="n"/>
      <c r="H38" s="30" t="n"/>
      <c r="I38" s="222" t="n"/>
      <c r="J38" s="223" t="n"/>
    </row>
    <row r="39" ht="12.75" customHeight="1">
      <c r="A39" s="30" t="n"/>
      <c r="B39" s="30" t="n"/>
      <c r="C39" s="110" t="inlineStr">
        <is>
          <t>Memo:</t>
        </is>
      </c>
      <c r="D39" s="150" t="n"/>
      <c r="E39" s="150" t="n"/>
      <c r="F39" s="150" t="n"/>
      <c r="G39" s="150" t="n"/>
      <c r="H39" s="150" t="n"/>
      <c r="I39" s="190" t="n"/>
      <c r="J39" s="200" t="n"/>
    </row>
    <row r="40" ht="12.75" customHeight="1">
      <c r="A40" s="30" t="n"/>
      <c r="B40" s="30" t="n"/>
      <c r="C40" s="112" t="inlineStr">
        <is>
          <t>Total revenue growth (YoY)</t>
        </is>
      </c>
      <c r="D40" s="151" t="n"/>
      <c r="E40" s="114">
        <f>E13/D13-1</f>
        <v/>
      </c>
      <c r="F40" s="114">
        <f>F13/E13-1</f>
        <v/>
      </c>
      <c r="G40" s="114">
        <f>G13/F13-1</f>
        <v/>
      </c>
      <c r="H40" s="114">
        <f>H13/G13-1</f>
        <v/>
      </c>
      <c r="I40" s="191">
        <f>'Income Statement'!AG60</f>
        <v/>
      </c>
      <c r="J40" s="201">
        <f>'Income Statement'!AH60</f>
        <v/>
      </c>
    </row>
    <row r="41" ht="12.75" customHeight="1">
      <c r="A41" s="30" t="n"/>
      <c r="B41" s="30" t="n"/>
      <c r="C41" s="112" t="inlineStr">
        <is>
          <t>Gross margin %</t>
        </is>
      </c>
      <c r="D41" s="114">
        <f>D15/D13</f>
        <v/>
      </c>
      <c r="E41" s="114">
        <f>E15/E13</f>
        <v/>
      </c>
      <c r="F41" s="114">
        <f>F15/F13</f>
        <v/>
      </c>
      <c r="G41" s="114">
        <f>G15/G13</f>
        <v/>
      </c>
      <c r="H41" s="114">
        <f>H15/H13</f>
        <v/>
      </c>
      <c r="I41" s="191">
        <f>I15/I13</f>
        <v/>
      </c>
      <c r="J41" s="201">
        <f>J15/J13</f>
        <v/>
      </c>
    </row>
    <row r="42" ht="12.75" customHeight="1">
      <c r="A42" s="30" t="n"/>
      <c r="B42" s="30" t="n"/>
      <c r="C42" s="112" t="inlineStr">
        <is>
          <t>EBITDA margin %</t>
        </is>
      </c>
      <c r="D42" s="114">
        <f>D23/D13</f>
        <v/>
      </c>
      <c r="E42" s="114">
        <f>E23/E13</f>
        <v/>
      </c>
      <c r="F42" s="114">
        <f>F23/F13</f>
        <v/>
      </c>
      <c r="G42" s="114">
        <f>G23/G13</f>
        <v/>
      </c>
      <c r="H42" s="114">
        <f>H23/H13</f>
        <v/>
      </c>
      <c r="I42" s="191">
        <f>I23/I13</f>
        <v/>
      </c>
      <c r="J42" s="201">
        <f>J23/J13</f>
        <v/>
      </c>
    </row>
    <row r="43" ht="12.75" customHeight="1">
      <c r="A43" s="30" t="n"/>
      <c r="B43" s="30" t="n"/>
      <c r="C43" s="112" t="inlineStr">
        <is>
          <t>Adjusted EBITDA margin %</t>
        </is>
      </c>
      <c r="D43" s="114">
        <f>D33/D13</f>
        <v/>
      </c>
      <c r="E43" s="114">
        <f>E33/E13</f>
        <v/>
      </c>
      <c r="F43" s="114">
        <f>F33/F13</f>
        <v/>
      </c>
      <c r="G43" s="114">
        <f>G33/G13</f>
        <v/>
      </c>
      <c r="H43" s="114">
        <f>H33/H13</f>
        <v/>
      </c>
      <c r="I43" s="191">
        <f>I33/I13</f>
        <v/>
      </c>
      <c r="J43" s="201">
        <f>J33/J13</f>
        <v/>
      </c>
    </row>
    <row r="44" ht="12.75" customHeight="1">
      <c r="A44" s="94" t="inlineStr">
        <is>
          <t>x</t>
        </is>
      </c>
      <c r="B44" s="94" t="inlineStr">
        <is>
          <t>x</t>
        </is>
      </c>
      <c r="C44" s="115" t="inlineStr">
        <is>
          <t>Adjusted EBITDA excl. IEEPA margin %</t>
        </is>
      </c>
      <c r="D44" s="116">
        <f>D37/D13</f>
        <v/>
      </c>
      <c r="E44" s="116">
        <f>E37/E13</f>
        <v/>
      </c>
      <c r="F44" s="116">
        <f>F37/F13</f>
        <v/>
      </c>
      <c r="G44" s="116">
        <f>G37/G13</f>
        <v/>
      </c>
      <c r="H44" s="116">
        <f>H37/H13</f>
        <v/>
      </c>
      <c r="I44" s="192">
        <f>I37/I13</f>
        <v/>
      </c>
      <c r="J44" s="202">
        <f>J37/J13</f>
        <v/>
      </c>
    </row>
    <row r="45" ht="12.75" customHeight="1">
      <c r="A45" s="94" t="inlineStr">
        <is>
          <t>End</t>
        </is>
      </c>
      <c r="B45" s="30" t="n"/>
      <c r="C45" s="30" t="n"/>
      <c r="D45" s="30" t="n"/>
      <c r="E45" s="30" t="n"/>
      <c r="F45" s="30" t="n"/>
      <c r="G45" s="30" t="n"/>
      <c r="H45" s="30" t="n"/>
      <c r="I45" s="30" t="n"/>
      <c r="J45" s="30" t="n"/>
    </row>
    <row r="46" ht="12.75" customHeight="1">
      <c r="C46" s="30" t="n"/>
      <c r="D46" s="30" t="n"/>
      <c r="E46" s="30" t="n"/>
      <c r="F46" s="30" t="n"/>
      <c r="G46" s="30" t="n"/>
      <c r="H46" s="30" t="n"/>
      <c r="I46" s="30" t="n"/>
      <c r="J46" s="30" t="n"/>
    </row>
  </sheetData>
  <hyperlinks>
    <hyperlink ref="B1" location="'Cover Page'!A1" display="Return to Cover"/>
  </hyperlinks>
  <pageMargins left="0.75" right="0.75" top="1" bottom="1" header="0.511811023622047" footer="0.511811023622047"/>
  <pageSetup orientation="landscape" scale="90" fitToHeight="0" horizontalDpi="300" verticalDpi="300"/>
</worksheet>
</file>

<file path=xl/worksheets/sheet8.xml><?xml version="1.0" encoding="utf-8"?>
<worksheet xmlns="http://schemas.openxmlformats.org/spreadsheetml/2006/main">
  <sheetPr>
    <tabColor theme="3" tint="0.249977111117893"/>
    <outlinePr summaryBelow="1" summaryRight="1"/>
    <pageSetUpPr fitToPage="1"/>
  </sheetPr>
  <dimension ref="A1:K61"/>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2" customWidth="1" min="3" max="3"/>
    <col hidden="1" width="12.1796875" customWidth="1" min="4" max="4"/>
    <col width="11" customWidth="1" min="5" max="8"/>
    <col width="12.1796875" customWidth="1" min="9" max="9"/>
    <col width="11" customWidth="1" min="10" max="10"/>
    <col width="1.7265625" customWidth="1" min="11" max="11"/>
  </cols>
  <sheetData>
    <row r="1" ht="12.75" customHeight="1">
      <c r="A1" s="137">
        <f>C3</f>
        <v/>
      </c>
      <c r="B1" s="138">
        <f>'Cover Page'!A1</f>
        <v/>
      </c>
    </row>
    <row r="2" ht="12.75" customHeight="1"/>
    <row r="3" ht="14.25" customHeight="1">
      <c r="A3" s="30" t="n"/>
      <c r="B3" s="30" t="n"/>
      <c r="C3" s="31" t="inlineStr">
        <is>
          <t>Balance Sheet Summary</t>
        </is>
      </c>
      <c r="D3" s="32" t="n"/>
      <c r="E3" s="32" t="n"/>
      <c r="F3" s="32" t="n"/>
      <c r="G3" s="32" t="n"/>
      <c r="H3" s="32" t="n"/>
      <c r="I3" s="32" t="n"/>
      <c r="J3" s="93" t="inlineStr">
        <is>
          <t>Xerox Holdings Corporation</t>
        </is>
      </c>
    </row>
    <row r="4" ht="12.75" customHeight="1">
      <c r="A4" s="30" t="n"/>
      <c r="B4" s="30" t="n"/>
      <c r="C4" s="139" t="inlineStr">
        <is>
          <t>All values in $ millions (USD)</t>
        </is>
      </c>
      <c r="D4" s="33" t="n"/>
      <c r="E4" s="33" t="n"/>
      <c r="F4" s="33" t="n"/>
      <c r="G4" s="33" t="n"/>
      <c r="H4" s="33" t="n"/>
      <c r="I4" s="33" t="n"/>
      <c r="J4" s="34" t="n"/>
    </row>
    <row r="5" ht="12.75" customHeight="1">
      <c r="A5" s="140" t="n"/>
      <c r="B5" s="140" t="n"/>
      <c r="C5" s="140" t="n"/>
      <c r="D5" s="140" t="n"/>
      <c r="E5" s="140" t="n"/>
      <c r="F5" s="140" t="n"/>
      <c r="G5" s="140" t="n"/>
      <c r="H5" s="140" t="n"/>
      <c r="I5" s="140" t="n"/>
      <c r="J5" s="140" t="n"/>
      <c r="K5" s="141" t="n"/>
    </row>
    <row r="6" hidden="1" ht="15" customHeight="1">
      <c r="A6" s="140" t="n"/>
      <c r="B6" s="140" t="n"/>
      <c r="C6" s="139" t="n"/>
      <c r="D6" s="140" t="n"/>
      <c r="E6" s="140" t="n"/>
      <c r="F6" s="140" t="n"/>
      <c r="G6" s="140" t="n"/>
      <c r="H6" s="140" t="n"/>
      <c r="I6" s="140" t="n"/>
      <c r="J6" s="140" t="n"/>
      <c r="K6" s="141" t="n"/>
    </row>
    <row r="7" ht="12.75" customHeight="1">
      <c r="A7" s="94" t="inlineStr">
        <is>
          <t>x</t>
        </is>
      </c>
      <c r="B7" s="94" t="inlineStr">
        <is>
          <t>x</t>
        </is>
      </c>
      <c r="C7" s="35" t="inlineStr">
        <is>
          <t>Balance Sheet Summary</t>
        </is>
      </c>
      <c r="D7" s="132" t="inlineStr">
        <is>
          <t>Fiscal Year Ended December 31,</t>
        </is>
      </c>
      <c r="E7" s="36" t="inlineStr">
        <is>
          <t>Fiscal Year</t>
        </is>
      </c>
      <c r="F7" s="204" t="n"/>
      <c r="G7" s="204" t="n"/>
      <c r="H7" s="204" t="n"/>
      <c r="I7" s="360" t="inlineStr">
        <is>
          <t>Quarter Ended</t>
        </is>
      </c>
      <c r="J7" s="302" t="n"/>
    </row>
    <row r="8" hidden="1" ht="3" customHeight="1">
      <c r="A8" s="140" t="n"/>
      <c r="B8" s="140" t="n"/>
      <c r="C8" s="140" t="n"/>
      <c r="D8" s="140" t="n"/>
      <c r="E8" s="140" t="n"/>
      <c r="F8" s="140" t="n"/>
      <c r="G8" s="140" t="n"/>
      <c r="H8" s="140" t="n"/>
      <c r="I8" s="183" t="n"/>
      <c r="J8" s="193" t="n"/>
      <c r="K8" s="141" t="n"/>
    </row>
    <row r="9" ht="12.75" customHeight="1">
      <c r="A9" s="30" t="n"/>
      <c r="B9" s="30" t="n"/>
      <c r="C9" s="97" t="n"/>
      <c r="D9" s="98" t="n">
        <v>2021</v>
      </c>
      <c r="E9" s="98" t="n">
        <v>2022</v>
      </c>
      <c r="F9" s="98" t="n">
        <v>2023</v>
      </c>
      <c r="G9" s="98" t="n">
        <v>2024</v>
      </c>
      <c r="H9" s="98" t="n">
        <v>2025</v>
      </c>
      <c r="I9" s="185" t="inlineStr">
        <is>
          <t>2Q'25</t>
        </is>
      </c>
      <c r="J9" s="195" t="inlineStr">
        <is>
          <t>2Q'26</t>
        </is>
      </c>
    </row>
    <row r="10" ht="3" customHeight="1">
      <c r="D10" s="47" t="n"/>
      <c r="E10" s="47" t="n"/>
      <c r="F10" s="47" t="n"/>
      <c r="G10" s="47" t="n"/>
      <c r="H10" s="47" t="n"/>
      <c r="I10" s="314" t="n"/>
      <c r="J10" s="354" t="n"/>
    </row>
    <row r="11" ht="12.75" customHeight="1">
      <c r="C11" s="143" t="inlineStr">
        <is>
          <t>Cash and cash equivalents</t>
        </is>
      </c>
      <c r="D11" s="49">
        <f>SUMIFS('Balance Sheet'!$E$13:$AF$13,'Balance Sheet'!$E$10:$AF$10,D$9)</f>
        <v/>
      </c>
      <c r="E11" s="49">
        <f>SUMIFS('Balance Sheet'!$E$13:$AF$13,'Balance Sheet'!$E$10:$AF$10,E$9)</f>
        <v/>
      </c>
      <c r="F11" s="49">
        <f>SUMIFS('Balance Sheet'!$E$13:$AF$13,'Balance Sheet'!$E$10:$AF$10,F$9)</f>
        <v/>
      </c>
      <c r="G11" s="49">
        <f>SUMIFS('Balance Sheet'!$E$13:$AF$13,'Balance Sheet'!$E$10:$AF$10,G$9)</f>
        <v/>
      </c>
      <c r="H11" s="49">
        <f>SUMIFS('Balance Sheet'!$E$13:$AF$13,'Balance Sheet'!$E$10:$AF$10,H$9)</f>
        <v/>
      </c>
      <c r="I11" s="316">
        <f>SUMIFS('Balance Sheet'!$E$13:$AF$13,'Balance Sheet'!$E$10:$AF$10,I$9)</f>
        <v/>
      </c>
      <c r="J11" s="309">
        <f>SUMIFS('Balance Sheet'!$E$13:$AF$13,'Balance Sheet'!$E$10:$AF$10,J$9)</f>
        <v/>
      </c>
    </row>
    <row r="12" ht="12.75" customHeight="1">
      <c r="C12" s="143" t="inlineStr">
        <is>
          <t>Accounts receivable, net</t>
        </is>
      </c>
      <c r="D12" s="52">
        <f>SUMIFS('Balance Sheet'!$E$14:$AF$14,'Balance Sheet'!$E$10:$AF$10,D$9)</f>
        <v/>
      </c>
      <c r="E12" s="52">
        <f>SUMIFS('Balance Sheet'!$E$14:$AF$14,'Balance Sheet'!$E$10:$AF$10,E$9)</f>
        <v/>
      </c>
      <c r="F12" s="52">
        <f>SUMIFS('Balance Sheet'!$E$14:$AF$14,'Balance Sheet'!$E$10:$AF$10,F$9)</f>
        <v/>
      </c>
      <c r="G12" s="52">
        <f>SUMIFS('Balance Sheet'!$E$14:$AF$14,'Balance Sheet'!$E$10:$AF$10,G$9)</f>
        <v/>
      </c>
      <c r="H12" s="52">
        <f>SUMIFS('Balance Sheet'!$E$14:$AF$14,'Balance Sheet'!$E$10:$AF$10,H$9)</f>
        <v/>
      </c>
      <c r="I12" s="315">
        <f>SUMIFS('Balance Sheet'!$E$14:$AF$14,'Balance Sheet'!$E$10:$AF$10,I$9)</f>
        <v/>
      </c>
      <c r="J12" s="305">
        <f>SUMIFS('Balance Sheet'!$E$14:$AF$14,'Balance Sheet'!$E$10:$AF$10,J$9)</f>
        <v/>
      </c>
    </row>
    <row r="13" ht="12.75" customHeight="1">
      <c r="C13" s="143" t="inlineStr">
        <is>
          <t>Billed portion of finance receivables, net</t>
        </is>
      </c>
      <c r="D13" s="52">
        <f>SUMIFS('Balance Sheet'!$E$15:$AF$15,'Balance Sheet'!$E$10:$AF$10,D$9)</f>
        <v/>
      </c>
      <c r="E13" s="52">
        <f>SUMIFS('Balance Sheet'!$E$15:$AF$15,'Balance Sheet'!$E$10:$AF$10,E$9)</f>
        <v/>
      </c>
      <c r="F13" s="52">
        <f>SUMIFS('Balance Sheet'!$E$15:$AF$15,'Balance Sheet'!$E$10:$AF$10,F$9)</f>
        <v/>
      </c>
      <c r="G13" s="52">
        <f>SUMIFS('Balance Sheet'!$E$15:$AF$15,'Balance Sheet'!$E$10:$AF$10,G$9)</f>
        <v/>
      </c>
      <c r="H13" s="52">
        <f>SUMIFS('Balance Sheet'!$E$15:$AF$15,'Balance Sheet'!$E$10:$AF$10,H$9)</f>
        <v/>
      </c>
      <c r="I13" s="315">
        <f>SUMIFS('Balance Sheet'!$E$15:$AF$15,'Balance Sheet'!$E$10:$AF$10,I$9)</f>
        <v/>
      </c>
      <c r="J13" s="305">
        <f>SUMIFS('Balance Sheet'!$E$15:$AF$15,'Balance Sheet'!$E$10:$AF$10,J$9)</f>
        <v/>
      </c>
    </row>
    <row r="14" ht="12.75" customHeight="1">
      <c r="C14" s="143" t="inlineStr">
        <is>
          <t>Finance receivables, net</t>
        </is>
      </c>
      <c r="D14" s="52">
        <f>SUMIFS('Balance Sheet'!$E$16:$AF$16,'Balance Sheet'!$E$10:$AF$10,D$9)</f>
        <v/>
      </c>
      <c r="E14" s="52">
        <f>SUMIFS('Balance Sheet'!$E$16:$AF$16,'Balance Sheet'!$E$10:$AF$10,E$9)</f>
        <v/>
      </c>
      <c r="F14" s="52">
        <f>SUMIFS('Balance Sheet'!$E$16:$AF$16,'Balance Sheet'!$E$10:$AF$10,F$9)</f>
        <v/>
      </c>
      <c r="G14" s="52">
        <f>SUMIFS('Balance Sheet'!$E$16:$AF$16,'Balance Sheet'!$E$10:$AF$10,G$9)</f>
        <v/>
      </c>
      <c r="H14" s="52">
        <f>SUMIFS('Balance Sheet'!$E$16:$AF$16,'Balance Sheet'!$E$10:$AF$10,H$9)</f>
        <v/>
      </c>
      <c r="I14" s="315">
        <f>SUMIFS('Balance Sheet'!$E$16:$AF$16,'Balance Sheet'!$E$10:$AF$10,I$9)</f>
        <v/>
      </c>
      <c r="J14" s="305">
        <f>SUMIFS('Balance Sheet'!$E$16:$AF$16,'Balance Sheet'!$E$10:$AF$10,J$9)</f>
        <v/>
      </c>
    </row>
    <row r="15" ht="12.75" customHeight="1">
      <c r="C15" s="143" t="inlineStr">
        <is>
          <t>Inventories</t>
        </is>
      </c>
      <c r="D15" s="52">
        <f>SUMIFS('Balance Sheet'!$E$17:$AF$17,'Balance Sheet'!$E$10:$AF$10,D$9)</f>
        <v/>
      </c>
      <c r="E15" s="52">
        <f>SUMIFS('Balance Sheet'!$E$17:$AF$17,'Balance Sheet'!$E$10:$AF$10,E$9)</f>
        <v/>
      </c>
      <c r="F15" s="52">
        <f>SUMIFS('Balance Sheet'!$E$17:$AF$17,'Balance Sheet'!$E$10:$AF$10,F$9)</f>
        <v/>
      </c>
      <c r="G15" s="52">
        <f>SUMIFS('Balance Sheet'!$E$17:$AF$17,'Balance Sheet'!$E$10:$AF$10,G$9)</f>
        <v/>
      </c>
      <c r="H15" s="52">
        <f>SUMIFS('Balance Sheet'!$E$17:$AF$17,'Balance Sheet'!$E$10:$AF$10,H$9)</f>
        <v/>
      </c>
      <c r="I15" s="315">
        <f>SUMIFS('Balance Sheet'!$E$17:$AF$17,'Balance Sheet'!$E$10:$AF$10,I$9)</f>
        <v/>
      </c>
      <c r="J15" s="305">
        <f>SUMIFS('Balance Sheet'!$E$17:$AF$17,'Balance Sheet'!$E$10:$AF$10,J$9)</f>
        <v/>
      </c>
    </row>
    <row r="16" ht="12.75" customHeight="1">
      <c r="C16" s="143" t="inlineStr">
        <is>
          <t>Other current assets</t>
        </is>
      </c>
      <c r="D16" s="52">
        <f>SUMIFS('Balance Sheet'!$E$18:$AF$18,'Balance Sheet'!$E$10:$AF$10,D$9)</f>
        <v/>
      </c>
      <c r="E16" s="52">
        <f>SUMIFS('Balance Sheet'!$E$18:$AF$18,'Balance Sheet'!$E$10:$AF$10,E$9)</f>
        <v/>
      </c>
      <c r="F16" s="52">
        <f>SUMIFS('Balance Sheet'!$E$18:$AF$18,'Balance Sheet'!$E$10:$AF$10,F$9)</f>
        <v/>
      </c>
      <c r="G16" s="52">
        <f>SUMIFS('Balance Sheet'!$E$18:$AF$18,'Balance Sheet'!$E$10:$AF$10,G$9)</f>
        <v/>
      </c>
      <c r="H16" s="52">
        <f>SUMIFS('Balance Sheet'!$E$18:$AF$18,'Balance Sheet'!$E$10:$AF$10,H$9)</f>
        <v/>
      </c>
      <c r="I16" s="315">
        <f>SUMIFS('Balance Sheet'!$E$18:$AF$18,'Balance Sheet'!$E$10:$AF$10,I$9)</f>
        <v/>
      </c>
      <c r="J16" s="305">
        <f>SUMIFS('Balance Sheet'!$E$18:$AF$18,'Balance Sheet'!$E$10:$AF$10,J$9)</f>
        <v/>
      </c>
    </row>
    <row r="17" ht="12.75" customHeight="1">
      <c r="C17" s="229" t="inlineStr">
        <is>
          <t>Total current assets</t>
        </is>
      </c>
      <c r="D17" s="340">
        <f>SUM(D11:D16)</f>
        <v/>
      </c>
      <c r="E17" s="340">
        <f>SUM(E11:E16)</f>
        <v/>
      </c>
      <c r="F17" s="340">
        <f>SUM(F11:F16)</f>
        <v/>
      </c>
      <c r="G17" s="340">
        <f>SUM(G11:G16)</f>
        <v/>
      </c>
      <c r="H17" s="340">
        <f>SUM(H11:H16)</f>
        <v/>
      </c>
      <c r="I17" s="368">
        <f>SUM(I11:I16)</f>
        <v/>
      </c>
      <c r="J17" s="369">
        <f>SUM(J11:J16)</f>
        <v/>
      </c>
    </row>
    <row r="18" ht="12.75" customHeight="1">
      <c r="C18" s="143" t="inlineStr">
        <is>
          <t>Finance receivables due after one year, net</t>
        </is>
      </c>
      <c r="D18" s="52">
        <f>SUMIFS('Balance Sheet'!$E$22:$AF$22,'Balance Sheet'!$E$10:$AF$10,D$9)</f>
        <v/>
      </c>
      <c r="E18" s="52">
        <f>SUMIFS('Balance Sheet'!$E$22:$AF$22,'Balance Sheet'!$E$10:$AF$10,E$9)</f>
        <v/>
      </c>
      <c r="F18" s="52">
        <f>SUMIFS('Balance Sheet'!$E$22:$AF$22,'Balance Sheet'!$E$10:$AF$10,F$9)</f>
        <v/>
      </c>
      <c r="G18" s="52">
        <f>SUMIFS('Balance Sheet'!$E$22:$AF$22,'Balance Sheet'!$E$10:$AF$10,G$9)</f>
        <v/>
      </c>
      <c r="H18" s="52">
        <f>SUMIFS('Balance Sheet'!$E$22:$AF$22,'Balance Sheet'!$E$10:$AF$10,H$9)</f>
        <v/>
      </c>
      <c r="I18" s="315">
        <f>SUMIFS('Balance Sheet'!$E$22:$AF$22,'Balance Sheet'!$E$10:$AF$10,I$9)</f>
        <v/>
      </c>
      <c r="J18" s="305">
        <f>SUMIFS('Balance Sheet'!$E$22:$AF$22,'Balance Sheet'!$E$10:$AF$10,J$9)</f>
        <v/>
      </c>
    </row>
    <row r="19" ht="12.75" customHeight="1">
      <c r="C19" s="143" t="inlineStr">
        <is>
          <t>Equipment on operating leases, net</t>
        </is>
      </c>
      <c r="D19" s="52">
        <f>SUMIFS('Balance Sheet'!$E$23:$AF$23,'Balance Sheet'!$E$10:$AF$10,D$9)</f>
        <v/>
      </c>
      <c r="E19" s="52">
        <f>SUMIFS('Balance Sheet'!$E$23:$AF$23,'Balance Sheet'!$E$10:$AF$10,E$9)</f>
        <v/>
      </c>
      <c r="F19" s="52">
        <f>SUMIFS('Balance Sheet'!$E$23:$AF$23,'Balance Sheet'!$E$10:$AF$10,F$9)</f>
        <v/>
      </c>
      <c r="G19" s="52">
        <f>SUMIFS('Balance Sheet'!$E$23:$AF$23,'Balance Sheet'!$E$10:$AF$10,G$9)</f>
        <v/>
      </c>
      <c r="H19" s="52">
        <f>SUMIFS('Balance Sheet'!$E$23:$AF$23,'Balance Sheet'!$E$10:$AF$10,H$9)</f>
        <v/>
      </c>
      <c r="I19" s="315">
        <f>SUMIFS('Balance Sheet'!$E$23:$AF$23,'Balance Sheet'!$E$10:$AF$10,I$9)</f>
        <v/>
      </c>
      <c r="J19" s="305">
        <f>SUMIFS('Balance Sheet'!$E$23:$AF$23,'Balance Sheet'!$E$10:$AF$10,J$9)</f>
        <v/>
      </c>
    </row>
    <row r="20" ht="12.75" customHeight="1">
      <c r="C20" s="143" t="inlineStr">
        <is>
          <t>Land, buildings and equipment, net</t>
        </is>
      </c>
      <c r="D20" s="52">
        <f>SUMIFS('Balance Sheet'!$E$24:$AF$24,'Balance Sheet'!$E$10:$AF$10,D$9)</f>
        <v/>
      </c>
      <c r="E20" s="52">
        <f>SUMIFS('Balance Sheet'!$E$24:$AF$24,'Balance Sheet'!$E$10:$AF$10,E$9)</f>
        <v/>
      </c>
      <c r="F20" s="52">
        <f>SUMIFS('Balance Sheet'!$E$24:$AF$24,'Balance Sheet'!$E$10:$AF$10,F$9)</f>
        <v/>
      </c>
      <c r="G20" s="52">
        <f>SUMIFS('Balance Sheet'!$E$24:$AF$24,'Balance Sheet'!$E$10:$AF$10,G$9)</f>
        <v/>
      </c>
      <c r="H20" s="52">
        <f>SUMIFS('Balance Sheet'!$E$24:$AF$24,'Balance Sheet'!$E$10:$AF$10,H$9)</f>
        <v/>
      </c>
      <c r="I20" s="315">
        <f>SUMIFS('Balance Sheet'!$E$24:$AF$24,'Balance Sheet'!$E$10:$AF$10,I$9)</f>
        <v/>
      </c>
      <c r="J20" s="305">
        <f>SUMIFS('Balance Sheet'!$E$24:$AF$24,'Balance Sheet'!$E$10:$AF$10,J$9)</f>
        <v/>
      </c>
    </row>
    <row r="21" ht="12.75" customHeight="1">
      <c r="C21" s="143" t="inlineStr">
        <is>
          <t>Intangible assets, net</t>
        </is>
      </c>
      <c r="D21" s="52">
        <f>SUMIFS('Balance Sheet'!$E$25:$AF$25,'Balance Sheet'!$E$10:$AF$10,D$9)</f>
        <v/>
      </c>
      <c r="E21" s="52">
        <f>SUMIFS('Balance Sheet'!$E$25:$AF$25,'Balance Sheet'!$E$10:$AF$10,E$9)</f>
        <v/>
      </c>
      <c r="F21" s="52">
        <f>SUMIFS('Balance Sheet'!$E$25:$AF$25,'Balance Sheet'!$E$10:$AF$10,F$9)</f>
        <v/>
      </c>
      <c r="G21" s="52">
        <f>SUMIFS('Balance Sheet'!$E$25:$AF$25,'Balance Sheet'!$E$10:$AF$10,G$9)</f>
        <v/>
      </c>
      <c r="H21" s="52">
        <f>SUMIFS('Balance Sheet'!$E$25:$AF$25,'Balance Sheet'!$E$10:$AF$10,H$9)</f>
        <v/>
      </c>
      <c r="I21" s="315">
        <f>SUMIFS('Balance Sheet'!$E$25:$AF$25,'Balance Sheet'!$E$10:$AF$10,I$9)</f>
        <v/>
      </c>
      <c r="J21" s="305">
        <f>SUMIFS('Balance Sheet'!$E$25:$AF$25,'Balance Sheet'!$E$10:$AF$10,J$9)</f>
        <v/>
      </c>
    </row>
    <row r="22" ht="12.75" customHeight="1">
      <c r="C22" s="143" t="inlineStr">
        <is>
          <t>Goodwill, net</t>
        </is>
      </c>
      <c r="D22" s="52">
        <f>SUMIFS('Balance Sheet'!$E$26:$AF$26,'Balance Sheet'!$E$10:$AF$10,D$9)</f>
        <v/>
      </c>
      <c r="E22" s="52">
        <f>SUMIFS('Balance Sheet'!$E$26:$AF$26,'Balance Sheet'!$E$10:$AF$10,E$9)</f>
        <v/>
      </c>
      <c r="F22" s="52">
        <f>SUMIFS('Balance Sheet'!$E$26:$AF$26,'Balance Sheet'!$E$10:$AF$10,F$9)</f>
        <v/>
      </c>
      <c r="G22" s="52">
        <f>SUMIFS('Balance Sheet'!$E$26:$AF$26,'Balance Sheet'!$E$10:$AF$10,G$9)</f>
        <v/>
      </c>
      <c r="H22" s="52">
        <f>SUMIFS('Balance Sheet'!$E$26:$AF$26,'Balance Sheet'!$E$10:$AF$10,H$9)</f>
        <v/>
      </c>
      <c r="I22" s="315">
        <f>SUMIFS('Balance Sheet'!$E$26:$AF$26,'Balance Sheet'!$E$10:$AF$10,I$9)</f>
        <v/>
      </c>
      <c r="J22" s="305">
        <f>SUMIFS('Balance Sheet'!$E$26:$AF$26,'Balance Sheet'!$E$10:$AF$10,J$9)</f>
        <v/>
      </c>
    </row>
    <row r="23" ht="12.75" customHeight="1">
      <c r="C23" s="143" t="inlineStr">
        <is>
          <t>Deferred tax assets</t>
        </is>
      </c>
      <c r="D23" s="52">
        <f>SUMIFS('Balance Sheet'!$E$27:$AF$27,'Balance Sheet'!$E$10:$AF$10,D$9)</f>
        <v/>
      </c>
      <c r="E23" s="52">
        <f>SUMIFS('Balance Sheet'!$E$27:$AF$27,'Balance Sheet'!$E$10:$AF$10,E$9)</f>
        <v/>
      </c>
      <c r="F23" s="52">
        <f>SUMIFS('Balance Sheet'!$E$27:$AF$27,'Balance Sheet'!$E$10:$AF$10,F$9)</f>
        <v/>
      </c>
      <c r="G23" s="52">
        <f>SUMIFS('Balance Sheet'!$E$27:$AF$27,'Balance Sheet'!$E$10:$AF$10,G$9)</f>
        <v/>
      </c>
      <c r="H23" s="52">
        <f>SUMIFS('Balance Sheet'!$E$27:$AF$27,'Balance Sheet'!$E$10:$AF$10,H$9)</f>
        <v/>
      </c>
      <c r="I23" s="315">
        <f>SUMIFS('Balance Sheet'!$E$27:$AF$27,'Balance Sheet'!$E$10:$AF$10,I$9)</f>
        <v/>
      </c>
      <c r="J23" s="305">
        <f>SUMIFS('Balance Sheet'!$E$27:$AF$27,'Balance Sheet'!$E$10:$AF$10,J$9)</f>
        <v/>
      </c>
    </row>
    <row r="24" ht="12.75" customHeight="1">
      <c r="C24" s="143" t="inlineStr">
        <is>
          <t>Other long-term assets</t>
        </is>
      </c>
      <c r="D24" s="52">
        <f>SUMIFS('Balance Sheet'!$E$28:$AF$28,'Balance Sheet'!$E$10:$AF$10,D$9)</f>
        <v/>
      </c>
      <c r="E24" s="52">
        <f>SUMIFS('Balance Sheet'!$E$28:$AF$28,'Balance Sheet'!$E$10:$AF$10,E$9)</f>
        <v/>
      </c>
      <c r="F24" s="52">
        <f>SUMIFS('Balance Sheet'!$E$28:$AF$28,'Balance Sheet'!$E$10:$AF$10,F$9)</f>
        <v/>
      </c>
      <c r="G24" s="52">
        <f>SUMIFS('Balance Sheet'!$E$28:$AF$28,'Balance Sheet'!$E$10:$AF$10,G$9)</f>
        <v/>
      </c>
      <c r="H24" s="52">
        <f>SUMIFS('Balance Sheet'!$E$28:$AF$28,'Balance Sheet'!$E$10:$AF$10,H$9)</f>
        <v/>
      </c>
      <c r="I24" s="315">
        <f>SUMIFS('Balance Sheet'!$E$28:$AF$28,'Balance Sheet'!$E$10:$AF$10,I$9)</f>
        <v/>
      </c>
      <c r="J24" s="305">
        <f>SUMIFS('Balance Sheet'!$E$28:$AF$28,'Balance Sheet'!$E$10:$AF$10,J$9)</f>
        <v/>
      </c>
    </row>
    <row r="25" ht="12.75" customHeight="1" thickBot="1">
      <c r="C25" s="218" t="inlineStr">
        <is>
          <t>Total assets</t>
        </is>
      </c>
      <c r="D25" s="345">
        <f>D17+SUM(D18:D24)</f>
        <v/>
      </c>
      <c r="E25" s="345">
        <f>E17+SUM(E18:E24)</f>
        <v/>
      </c>
      <c r="F25" s="345">
        <f>F17+SUM(F18:F24)</f>
        <v/>
      </c>
      <c r="G25" s="345">
        <f>G17+SUM(G18:G24)</f>
        <v/>
      </c>
      <c r="H25" s="345">
        <f>H17+SUM(H18:H24)</f>
        <v/>
      </c>
      <c r="I25" s="370">
        <f>I17+SUM(I18:I24)</f>
        <v/>
      </c>
      <c r="J25" s="371">
        <f>J17+SUM(J18:J24)</f>
        <v/>
      </c>
    </row>
    <row r="26" ht="4.5" customHeight="1">
      <c r="I26" s="314" t="n"/>
      <c r="J26" s="354" t="n"/>
    </row>
    <row r="27" ht="12.75" customHeight="1">
      <c r="C27" s="143" t="inlineStr">
        <is>
          <t>Short-term debt and current portion of long-term debt</t>
        </is>
      </c>
      <c r="D27" s="52">
        <f>SUMIFS('Balance Sheet'!$E$35:$AF$35,'Balance Sheet'!$E$10:$AF$10,D$9)</f>
        <v/>
      </c>
      <c r="E27" s="52">
        <f>SUMIFS('Balance Sheet'!$E$35:$AF$35,'Balance Sheet'!$E$10:$AF$10,E$9)</f>
        <v/>
      </c>
      <c r="F27" s="52">
        <f>SUMIFS('Balance Sheet'!$E$35:$AF$35,'Balance Sheet'!$E$10:$AF$10,F$9)</f>
        <v/>
      </c>
      <c r="G27" s="52">
        <f>SUMIFS('Balance Sheet'!$E$35:$AF$35,'Balance Sheet'!$E$10:$AF$10,G$9)</f>
        <v/>
      </c>
      <c r="H27" s="52">
        <f>SUMIFS('Balance Sheet'!$E$35:$AF$35,'Balance Sheet'!$E$10:$AF$10,H$9)</f>
        <v/>
      </c>
      <c r="I27" s="315">
        <f>SUMIFS('Balance Sheet'!$E$35:$AF$35,'Balance Sheet'!$E$10:$AF$10,I$9)</f>
        <v/>
      </c>
      <c r="J27" s="305">
        <f>SUMIFS('Balance Sheet'!$E$35:$AF$35,'Balance Sheet'!$E$10:$AF$10,J$9)</f>
        <v/>
      </c>
    </row>
    <row r="28" ht="12.75" customHeight="1">
      <c r="C28" s="143" t="inlineStr">
        <is>
          <t>Financing liability, tariff receivables monetization</t>
        </is>
      </c>
      <c r="D28" s="52">
        <f>SUMIFS('Balance Sheet'!$E$36:$AF$36,'Balance Sheet'!$E$10:$AF$10,D$9)</f>
        <v/>
      </c>
      <c r="E28" s="52">
        <f>SUMIFS('Balance Sheet'!$E$36:$AF$36,'Balance Sheet'!$E$10:$AF$10,E$9)</f>
        <v/>
      </c>
      <c r="F28" s="52">
        <f>SUMIFS('Balance Sheet'!$E$36:$AF$36,'Balance Sheet'!$E$10:$AF$10,F$9)</f>
        <v/>
      </c>
      <c r="G28" s="52">
        <f>SUMIFS('Balance Sheet'!$E$36:$AF$36,'Balance Sheet'!$E$10:$AF$10,G$9)</f>
        <v/>
      </c>
      <c r="H28" s="52">
        <f>SUMIFS('Balance Sheet'!$E$36:$AF$36,'Balance Sheet'!$E$10:$AF$10,H$9)</f>
        <v/>
      </c>
      <c r="I28" s="315">
        <f>SUMIFS('Balance Sheet'!$E$36:$AF$36,'Balance Sheet'!$E$10:$AF$10,I$9)</f>
        <v/>
      </c>
      <c r="J28" s="305">
        <f>SUMIFS('Balance Sheet'!$E$36:$AF$36,'Balance Sheet'!$E$10:$AF$10,J$9)</f>
        <v/>
      </c>
    </row>
    <row r="29" ht="12.75" customHeight="1">
      <c r="C29" s="143" t="inlineStr">
        <is>
          <t>Accounts payable</t>
        </is>
      </c>
      <c r="D29" s="52">
        <f>SUMIFS('Balance Sheet'!$E$37:$AF$37,'Balance Sheet'!$E$10:$AF$10,D$9)</f>
        <v/>
      </c>
      <c r="E29" s="52">
        <f>SUMIFS('Balance Sheet'!$E$37:$AF$37,'Balance Sheet'!$E$10:$AF$10,E$9)</f>
        <v/>
      </c>
      <c r="F29" s="52">
        <f>SUMIFS('Balance Sheet'!$E$37:$AF$37,'Balance Sheet'!$E$10:$AF$10,F$9)</f>
        <v/>
      </c>
      <c r="G29" s="52">
        <f>SUMIFS('Balance Sheet'!$E$37:$AF$37,'Balance Sheet'!$E$10:$AF$10,G$9)</f>
        <v/>
      </c>
      <c r="H29" s="52">
        <f>SUMIFS('Balance Sheet'!$E$37:$AF$37,'Balance Sheet'!$E$10:$AF$10,H$9)</f>
        <v/>
      </c>
      <c r="I29" s="315">
        <f>SUMIFS('Balance Sheet'!$E$37:$AF$37,'Balance Sheet'!$E$10:$AF$10,I$9)</f>
        <v/>
      </c>
      <c r="J29" s="305">
        <f>SUMIFS('Balance Sheet'!$E$37:$AF$37,'Balance Sheet'!$E$10:$AF$10,J$9)</f>
        <v/>
      </c>
    </row>
    <row r="30" ht="12.75" customHeight="1">
      <c r="C30" s="143" t="inlineStr">
        <is>
          <t>Accrued compensation and benefits costs</t>
        </is>
      </c>
      <c r="D30" s="52">
        <f>SUMIFS('Balance Sheet'!$E$38:$AF$38,'Balance Sheet'!$E$10:$AF$10,D$9)</f>
        <v/>
      </c>
      <c r="E30" s="52">
        <f>SUMIFS('Balance Sheet'!$E$38:$AF$38,'Balance Sheet'!$E$10:$AF$10,E$9)</f>
        <v/>
      </c>
      <c r="F30" s="52">
        <f>SUMIFS('Balance Sheet'!$E$38:$AF$38,'Balance Sheet'!$E$10:$AF$10,F$9)</f>
        <v/>
      </c>
      <c r="G30" s="52">
        <f>SUMIFS('Balance Sheet'!$E$38:$AF$38,'Balance Sheet'!$E$10:$AF$10,G$9)</f>
        <v/>
      </c>
      <c r="H30" s="52">
        <f>SUMIFS('Balance Sheet'!$E$38:$AF$38,'Balance Sheet'!$E$10:$AF$10,H$9)</f>
        <v/>
      </c>
      <c r="I30" s="315">
        <f>SUMIFS('Balance Sheet'!$E$38:$AF$38,'Balance Sheet'!$E$10:$AF$10,I$9)</f>
        <v/>
      </c>
      <c r="J30" s="305">
        <f>SUMIFS('Balance Sheet'!$E$38:$AF$38,'Balance Sheet'!$E$10:$AF$10,J$9)</f>
        <v/>
      </c>
    </row>
    <row r="31" ht="12.75" customHeight="1">
      <c r="C31" s="143" t="inlineStr">
        <is>
          <t>Accrued expenses and other current liabilities</t>
        </is>
      </c>
      <c r="D31" s="52">
        <f>SUMIFS('Balance Sheet'!$E$39:$AF$39,'Balance Sheet'!$E$10:$AF$10,D$9)</f>
        <v/>
      </c>
      <c r="E31" s="52">
        <f>SUMIFS('Balance Sheet'!$E$39:$AF$39,'Balance Sheet'!$E$10:$AF$10,E$9)</f>
        <v/>
      </c>
      <c r="F31" s="52">
        <f>SUMIFS('Balance Sheet'!$E$39:$AF$39,'Balance Sheet'!$E$10:$AF$10,F$9)</f>
        <v/>
      </c>
      <c r="G31" s="52">
        <f>SUMIFS('Balance Sheet'!$E$39:$AF$39,'Balance Sheet'!$E$10:$AF$10,G$9)</f>
        <v/>
      </c>
      <c r="H31" s="52">
        <f>SUMIFS('Balance Sheet'!$E$39:$AF$39,'Balance Sheet'!$E$10:$AF$10,H$9)</f>
        <v/>
      </c>
      <c r="I31" s="315">
        <f>SUMIFS('Balance Sheet'!$E$39:$AF$39,'Balance Sheet'!$E$10:$AF$10,I$9)</f>
        <v/>
      </c>
      <c r="J31" s="305">
        <f>SUMIFS('Balance Sheet'!$E$39:$AF$39,'Balance Sheet'!$E$10:$AF$10,J$9)</f>
        <v/>
      </c>
    </row>
    <row r="32" ht="12.75" customHeight="1">
      <c r="C32" s="229" t="inlineStr">
        <is>
          <t>Total current liabilities</t>
        </is>
      </c>
      <c r="D32" s="340">
        <f>SUM(D27:D31)</f>
        <v/>
      </c>
      <c r="E32" s="340">
        <f>SUM(E27:E31)</f>
        <v/>
      </c>
      <c r="F32" s="340">
        <f>SUM(F27:F31)</f>
        <v/>
      </c>
      <c r="G32" s="340">
        <f>SUM(G27:G31)</f>
        <v/>
      </c>
      <c r="H32" s="340">
        <f>SUM(H27:H31)</f>
        <v/>
      </c>
      <c r="I32" s="368">
        <f>SUM(I27:I31)</f>
        <v/>
      </c>
      <c r="J32" s="369">
        <f>SUM(J27:J31)</f>
        <v/>
      </c>
    </row>
    <row r="33" ht="12.75" customHeight="1">
      <c r="C33" s="143" t="inlineStr">
        <is>
          <t>Long-term debt</t>
        </is>
      </c>
      <c r="D33" s="52">
        <f>SUMIFS('Balance Sheet'!$E$43:$AF$43,'Balance Sheet'!$E$10:$AF$10,D$9)</f>
        <v/>
      </c>
      <c r="E33" s="52">
        <f>SUMIFS('Balance Sheet'!$E$43:$AF$43,'Balance Sheet'!$E$10:$AF$10,E$9)</f>
        <v/>
      </c>
      <c r="F33" s="52">
        <f>SUMIFS('Balance Sheet'!$E$43:$AF$43,'Balance Sheet'!$E$10:$AF$10,F$9)</f>
        <v/>
      </c>
      <c r="G33" s="52">
        <f>SUMIFS('Balance Sheet'!$E$43:$AF$43,'Balance Sheet'!$E$10:$AF$10,G$9)</f>
        <v/>
      </c>
      <c r="H33" s="52">
        <f>SUMIFS('Balance Sheet'!$E$43:$AF$43,'Balance Sheet'!$E$10:$AF$10,H$9)</f>
        <v/>
      </c>
      <c r="I33" s="315">
        <f>SUMIFS('Balance Sheet'!$E$43:$AF$43,'Balance Sheet'!$E$10:$AF$10,I$9)</f>
        <v/>
      </c>
      <c r="J33" s="305">
        <f>SUMIFS('Balance Sheet'!$E$43:$AF$43,'Balance Sheet'!$E$10:$AF$10,J$9)</f>
        <v/>
      </c>
    </row>
    <row r="34" ht="12.75" customHeight="1">
      <c r="C34" s="143" t="inlineStr">
        <is>
          <t>Pension and other benefit liabilities</t>
        </is>
      </c>
      <c r="D34" s="52">
        <f>SUMIFS('Balance Sheet'!$E$44:$AF$44,'Balance Sheet'!$E$10:$AF$10,D$9)</f>
        <v/>
      </c>
      <c r="E34" s="52">
        <f>SUMIFS('Balance Sheet'!$E$44:$AF$44,'Balance Sheet'!$E$10:$AF$10,E$9)</f>
        <v/>
      </c>
      <c r="F34" s="52">
        <f>SUMIFS('Balance Sheet'!$E$44:$AF$44,'Balance Sheet'!$E$10:$AF$10,F$9)</f>
        <v/>
      </c>
      <c r="G34" s="52">
        <f>SUMIFS('Balance Sheet'!$E$44:$AF$44,'Balance Sheet'!$E$10:$AF$10,G$9)</f>
        <v/>
      </c>
      <c r="H34" s="52">
        <f>SUMIFS('Balance Sheet'!$E$44:$AF$44,'Balance Sheet'!$E$10:$AF$10,H$9)</f>
        <v/>
      </c>
      <c r="I34" s="315">
        <f>SUMIFS('Balance Sheet'!$E$44:$AF$44,'Balance Sheet'!$E$10:$AF$10,I$9)</f>
        <v/>
      </c>
      <c r="J34" s="305">
        <f>SUMIFS('Balance Sheet'!$E$44:$AF$44,'Balance Sheet'!$E$10:$AF$10,J$9)</f>
        <v/>
      </c>
    </row>
    <row r="35" ht="12.75" customHeight="1">
      <c r="C35" s="143" t="inlineStr">
        <is>
          <t>Post-retirement medical benefits</t>
        </is>
      </c>
      <c r="D35" s="52">
        <f>SUMIFS('Balance Sheet'!$E$45:$AF$45,'Balance Sheet'!$E$10:$AF$10,D$9)</f>
        <v/>
      </c>
      <c r="E35" s="52">
        <f>SUMIFS('Balance Sheet'!$E$45:$AF$45,'Balance Sheet'!$E$10:$AF$10,E$9)</f>
        <v/>
      </c>
      <c r="F35" s="52">
        <f>SUMIFS('Balance Sheet'!$E$45:$AF$45,'Balance Sheet'!$E$10:$AF$10,F$9)</f>
        <v/>
      </c>
      <c r="G35" s="52">
        <f>SUMIFS('Balance Sheet'!$E$45:$AF$45,'Balance Sheet'!$E$10:$AF$10,G$9)</f>
        <v/>
      </c>
      <c r="H35" s="52">
        <f>SUMIFS('Balance Sheet'!$E$45:$AF$45,'Balance Sheet'!$E$10:$AF$10,H$9)</f>
        <v/>
      </c>
      <c r="I35" s="315">
        <f>SUMIFS('Balance Sheet'!$E$45:$AF$45,'Balance Sheet'!$E$10:$AF$10,I$9)</f>
        <v/>
      </c>
      <c r="J35" s="305">
        <f>SUMIFS('Balance Sheet'!$E$45:$AF$45,'Balance Sheet'!$E$10:$AF$10,J$9)</f>
        <v/>
      </c>
    </row>
    <row r="36" ht="12.75" customHeight="1">
      <c r="C36" s="143" t="inlineStr">
        <is>
          <t>Other long-term liabilities</t>
        </is>
      </c>
      <c r="D36" s="52">
        <f>SUMIFS('Balance Sheet'!$E$46:$AF$46,'Balance Sheet'!$E$10:$AF$10,D$9)</f>
        <v/>
      </c>
      <c r="E36" s="52">
        <f>SUMIFS('Balance Sheet'!$E$46:$AF$46,'Balance Sheet'!$E$10:$AF$10,E$9)</f>
        <v/>
      </c>
      <c r="F36" s="52">
        <f>SUMIFS('Balance Sheet'!$E$46:$AF$46,'Balance Sheet'!$E$10:$AF$10,F$9)</f>
        <v/>
      </c>
      <c r="G36" s="52">
        <f>SUMIFS('Balance Sheet'!$E$46:$AF$46,'Balance Sheet'!$E$10:$AF$10,G$9)</f>
        <v/>
      </c>
      <c r="H36" s="52">
        <f>SUMIFS('Balance Sheet'!$E$46:$AF$46,'Balance Sheet'!$E$10:$AF$10,H$9)</f>
        <v/>
      </c>
      <c r="I36" s="315">
        <f>SUMIFS('Balance Sheet'!$E$46:$AF$46,'Balance Sheet'!$E$10:$AF$10,I$9)</f>
        <v/>
      </c>
      <c r="J36" s="305">
        <f>SUMIFS('Balance Sheet'!$E$46:$AF$46,'Balance Sheet'!$E$10:$AF$10,J$9)</f>
        <v/>
      </c>
    </row>
    <row r="37" ht="12.75" customHeight="1" thickBot="1">
      <c r="C37" s="218" t="inlineStr">
        <is>
          <t>Total liabilities</t>
        </is>
      </c>
      <c r="D37" s="345">
        <f>D32+SUM(D33:D36)</f>
        <v/>
      </c>
      <c r="E37" s="345">
        <f>E32+SUM(E33:E36)</f>
        <v/>
      </c>
      <c r="F37" s="345">
        <f>F32+SUM(F33:F36)</f>
        <v/>
      </c>
      <c r="G37" s="345">
        <f>G32+SUM(G33:G36)</f>
        <v/>
      </c>
      <c r="H37" s="345">
        <f>H32+SUM(H33:H36)</f>
        <v/>
      </c>
      <c r="I37" s="370">
        <f>I32+SUM(I33:I36)</f>
        <v/>
      </c>
      <c r="J37" s="371">
        <f>J32+SUM(J33:J36)</f>
        <v/>
      </c>
    </row>
    <row r="38" ht="4.5" customHeight="1">
      <c r="I38" s="314" t="n"/>
      <c r="J38" s="354" t="n"/>
    </row>
    <row r="39" ht="12.75" customHeight="1">
      <c r="C39" s="143" t="inlineStr">
        <is>
          <t>Noncontrolling interests (temporary equity)</t>
        </is>
      </c>
      <c r="D39" s="52">
        <f>SUMIFS('Balance Sheet'!$E$52:$AF$52,'Balance Sheet'!$E$10:$AF$10,D$9)</f>
        <v/>
      </c>
      <c r="E39" s="52">
        <f>SUMIFS('Balance Sheet'!$E$52:$AF$52,'Balance Sheet'!$E$10:$AF$10,E$9)</f>
        <v/>
      </c>
      <c r="F39" s="52">
        <f>SUMIFS('Balance Sheet'!$E$52:$AF$52,'Balance Sheet'!$E$10:$AF$10,F$9)</f>
        <v/>
      </c>
      <c r="G39" s="52">
        <f>SUMIFS('Balance Sheet'!$E$52:$AF$52,'Balance Sheet'!$E$10:$AF$10,G$9)</f>
        <v/>
      </c>
      <c r="H39" s="52">
        <f>SUMIFS('Balance Sheet'!$E$52:$AF$52,'Balance Sheet'!$E$10:$AF$10,H$9)</f>
        <v/>
      </c>
      <c r="I39" s="315">
        <f>SUMIFS('Balance Sheet'!$E$52:$AF$52,'Balance Sheet'!$E$10:$AF$10,I$9)</f>
        <v/>
      </c>
      <c r="J39" s="305">
        <f>SUMIFS('Balance Sheet'!$E$52:$AF$52,'Balance Sheet'!$E$10:$AF$10,J$9)</f>
        <v/>
      </c>
    </row>
    <row r="40" ht="12.75" customHeight="1">
      <c r="C40" s="143" t="inlineStr">
        <is>
          <t>Convertible preferred stock</t>
        </is>
      </c>
      <c r="D40" s="52">
        <f>SUMIFS('Balance Sheet'!$E$53:$AF$53,'Balance Sheet'!$E$10:$AF$10,D$9)</f>
        <v/>
      </c>
      <c r="E40" s="52">
        <f>SUMIFS('Balance Sheet'!$E$53:$AF$53,'Balance Sheet'!$E$10:$AF$10,E$9)</f>
        <v/>
      </c>
      <c r="F40" s="52">
        <f>SUMIFS('Balance Sheet'!$E$53:$AF$53,'Balance Sheet'!$E$10:$AF$10,F$9)</f>
        <v/>
      </c>
      <c r="G40" s="52">
        <f>SUMIFS('Balance Sheet'!$E$53:$AF$53,'Balance Sheet'!$E$10:$AF$10,G$9)</f>
        <v/>
      </c>
      <c r="H40" s="52">
        <f>SUMIFS('Balance Sheet'!$E$53:$AF$53,'Balance Sheet'!$E$10:$AF$10,H$9)</f>
        <v/>
      </c>
      <c r="I40" s="315">
        <f>SUMIFS('Balance Sheet'!$E$53:$AF$53,'Balance Sheet'!$E$10:$AF$10,I$9)</f>
        <v/>
      </c>
      <c r="J40" s="305">
        <f>SUMIFS('Balance Sheet'!$E$53:$AF$53,'Balance Sheet'!$E$10:$AF$10,J$9)</f>
        <v/>
      </c>
    </row>
    <row r="41" ht="12.75" customHeight="1">
      <c r="C41" s="143" t="inlineStr">
        <is>
          <t>Common stock</t>
        </is>
      </c>
      <c r="D41" s="52">
        <f>SUMIFS('Balance Sheet'!$E$55:$AF$55,'Balance Sheet'!$E$10:$AF$10,D$9)</f>
        <v/>
      </c>
      <c r="E41" s="52">
        <f>SUMIFS('Balance Sheet'!$E$55:$AF$55,'Balance Sheet'!$E$10:$AF$10,E$9)</f>
        <v/>
      </c>
      <c r="F41" s="52">
        <f>SUMIFS('Balance Sheet'!$E$55:$AF$55,'Balance Sheet'!$E$10:$AF$10,F$9)</f>
        <v/>
      </c>
      <c r="G41" s="52">
        <f>SUMIFS('Balance Sheet'!$E$55:$AF$55,'Balance Sheet'!$E$10:$AF$10,G$9)</f>
        <v/>
      </c>
      <c r="H41" s="52">
        <f>SUMIFS('Balance Sheet'!$E$55:$AF$55,'Balance Sheet'!$E$10:$AF$10,H$9)</f>
        <v/>
      </c>
      <c r="I41" s="315">
        <f>SUMIFS('Balance Sheet'!$E$55:$AF$55,'Balance Sheet'!$E$10:$AF$10,I$9)</f>
        <v/>
      </c>
      <c r="J41" s="305">
        <f>SUMIFS('Balance Sheet'!$E$55:$AF$55,'Balance Sheet'!$E$10:$AF$10,J$9)</f>
        <v/>
      </c>
    </row>
    <row r="42" ht="12.75" customHeight="1">
      <c r="C42" s="143" t="inlineStr">
        <is>
          <t>Additional paid-in capital</t>
        </is>
      </c>
      <c r="D42" s="52">
        <f>SUMIFS('Balance Sheet'!$E$56:$AF$56,'Balance Sheet'!$E$10:$AF$10,D$9)</f>
        <v/>
      </c>
      <c r="E42" s="52">
        <f>SUMIFS('Balance Sheet'!$E$56:$AF$56,'Balance Sheet'!$E$10:$AF$10,E$9)</f>
        <v/>
      </c>
      <c r="F42" s="52">
        <f>SUMIFS('Balance Sheet'!$E$56:$AF$56,'Balance Sheet'!$E$10:$AF$10,F$9)</f>
        <v/>
      </c>
      <c r="G42" s="52">
        <f>SUMIFS('Balance Sheet'!$E$56:$AF$56,'Balance Sheet'!$E$10:$AF$10,G$9)</f>
        <v/>
      </c>
      <c r="H42" s="52">
        <f>SUMIFS('Balance Sheet'!$E$56:$AF$56,'Balance Sheet'!$E$10:$AF$10,H$9)</f>
        <v/>
      </c>
      <c r="I42" s="315">
        <f>SUMIFS('Balance Sheet'!$E$56:$AF$56,'Balance Sheet'!$E$10:$AF$10,I$9)</f>
        <v/>
      </c>
      <c r="J42" s="305">
        <f>SUMIFS('Balance Sheet'!$E$56:$AF$56,'Balance Sheet'!$E$10:$AF$10,J$9)</f>
        <v/>
      </c>
    </row>
    <row r="43" ht="12.75" customHeight="1">
      <c r="C43" s="143" t="inlineStr">
        <is>
          <t>Treasury stock, at cost</t>
        </is>
      </c>
      <c r="D43" s="52">
        <f>SUMIFS('Balance Sheet'!$E$57:$AF$57,'Balance Sheet'!$E$10:$AF$10,D$9)</f>
        <v/>
      </c>
      <c r="E43" s="52">
        <f>SUMIFS('Balance Sheet'!$E$57:$AF$57,'Balance Sheet'!$E$10:$AF$10,E$9)</f>
        <v/>
      </c>
      <c r="F43" s="52">
        <f>SUMIFS('Balance Sheet'!$E$57:$AF$57,'Balance Sheet'!$E$10:$AF$10,F$9)</f>
        <v/>
      </c>
      <c r="G43" s="52">
        <f>SUMIFS('Balance Sheet'!$E$57:$AF$57,'Balance Sheet'!$E$10:$AF$10,G$9)</f>
        <v/>
      </c>
      <c r="H43" s="52">
        <f>SUMIFS('Balance Sheet'!$E$57:$AF$57,'Balance Sheet'!$E$10:$AF$10,H$9)</f>
        <v/>
      </c>
      <c r="I43" s="315">
        <f>SUMIFS('Balance Sheet'!$E$57:$AF$57,'Balance Sheet'!$E$10:$AF$10,I$9)</f>
        <v/>
      </c>
      <c r="J43" s="305">
        <f>SUMIFS('Balance Sheet'!$E$57:$AF$57,'Balance Sheet'!$E$10:$AF$10,J$9)</f>
        <v/>
      </c>
    </row>
    <row r="44" ht="12.75" customHeight="1">
      <c r="C44" s="143" t="inlineStr">
        <is>
          <t>Retained earnings</t>
        </is>
      </c>
      <c r="D44" s="52">
        <f>SUMIFS('Balance Sheet'!$E$58:$AF$58,'Balance Sheet'!$E$10:$AF$10,D$9)</f>
        <v/>
      </c>
      <c r="E44" s="52">
        <f>SUMIFS('Balance Sheet'!$E$58:$AF$58,'Balance Sheet'!$E$10:$AF$10,E$9)</f>
        <v/>
      </c>
      <c r="F44" s="52">
        <f>SUMIFS('Balance Sheet'!$E$58:$AF$58,'Balance Sheet'!$E$10:$AF$10,F$9)</f>
        <v/>
      </c>
      <c r="G44" s="52">
        <f>SUMIFS('Balance Sheet'!$E$58:$AF$58,'Balance Sheet'!$E$10:$AF$10,G$9)</f>
        <v/>
      </c>
      <c r="H44" s="52">
        <f>SUMIFS('Balance Sheet'!$E$58:$AF$58,'Balance Sheet'!$E$10:$AF$10,H$9)</f>
        <v/>
      </c>
      <c r="I44" s="315">
        <f>SUMIFS('Balance Sheet'!$E$58:$AF$58,'Balance Sheet'!$E$10:$AF$10,I$9)</f>
        <v/>
      </c>
      <c r="J44" s="305">
        <f>SUMIFS('Balance Sheet'!$E$58:$AF$58,'Balance Sheet'!$E$10:$AF$10,J$9)</f>
        <v/>
      </c>
    </row>
    <row r="45" ht="12.75" customHeight="1">
      <c r="C45" s="143" t="inlineStr">
        <is>
          <t>Accumulated other comprehensive loss</t>
        </is>
      </c>
      <c r="D45" s="52">
        <f>SUMIFS('Balance Sheet'!$E$59:$AF$59,'Balance Sheet'!$E$10:$AF$10,D$9)</f>
        <v/>
      </c>
      <c r="E45" s="52">
        <f>SUMIFS('Balance Sheet'!$E$59:$AF$59,'Balance Sheet'!$E$10:$AF$10,E$9)</f>
        <v/>
      </c>
      <c r="F45" s="52">
        <f>SUMIFS('Balance Sheet'!$E$59:$AF$59,'Balance Sheet'!$E$10:$AF$10,F$9)</f>
        <v/>
      </c>
      <c r="G45" s="52">
        <f>SUMIFS('Balance Sheet'!$E$59:$AF$59,'Balance Sheet'!$E$10:$AF$10,G$9)</f>
        <v/>
      </c>
      <c r="H45" s="52">
        <f>SUMIFS('Balance Sheet'!$E$59:$AF$59,'Balance Sheet'!$E$10:$AF$10,H$9)</f>
        <v/>
      </c>
      <c r="I45" s="315">
        <f>SUMIFS('Balance Sheet'!$E$59:$AF$59,'Balance Sheet'!$E$10:$AF$10,I$9)</f>
        <v/>
      </c>
      <c r="J45" s="305">
        <f>SUMIFS('Balance Sheet'!$E$59:$AF$59,'Balance Sheet'!$E$10:$AF$10,J$9)</f>
        <v/>
      </c>
    </row>
    <row r="46" ht="12.75" customHeight="1" thickBot="1">
      <c r="C46" s="218" t="inlineStr">
        <is>
          <t>Xerox Holdings shareholders' equity</t>
        </is>
      </c>
      <c r="D46" s="345">
        <f>SUM(D41:D45)</f>
        <v/>
      </c>
      <c r="E46" s="345">
        <f>SUM(E41:E45)</f>
        <v/>
      </c>
      <c r="F46" s="345">
        <f>SUM(F41:F45)</f>
        <v/>
      </c>
      <c r="G46" s="345">
        <f>SUM(G41:G45)</f>
        <v/>
      </c>
      <c r="H46" s="345">
        <f>SUM(H41:H45)</f>
        <v/>
      </c>
      <c r="I46" s="370">
        <f>SUM(I41:I45)</f>
        <v/>
      </c>
      <c r="J46" s="371">
        <f>SUM(J41:J45)</f>
        <v/>
      </c>
    </row>
    <row r="47" ht="12.75" customHeight="1">
      <c r="C47" s="143" t="inlineStr">
        <is>
          <t>Noncontrolling interests</t>
        </is>
      </c>
      <c r="D47" s="52">
        <f>SUMIFS('Balance Sheet'!$E$63:$AF$63,'Balance Sheet'!$E$10:$AF$10,D$9)</f>
        <v/>
      </c>
      <c r="E47" s="52">
        <f>SUMIFS('Balance Sheet'!$E$63:$AF$63,'Balance Sheet'!$E$10:$AF$10,E$9)</f>
        <v/>
      </c>
      <c r="F47" s="52">
        <f>SUMIFS('Balance Sheet'!$E$63:$AF$63,'Balance Sheet'!$E$10:$AF$10,F$9)</f>
        <v/>
      </c>
      <c r="G47" s="52">
        <f>SUMIFS('Balance Sheet'!$E$63:$AF$63,'Balance Sheet'!$E$10:$AF$10,G$9)</f>
        <v/>
      </c>
      <c r="H47" s="52">
        <f>SUMIFS('Balance Sheet'!$E$63:$AF$63,'Balance Sheet'!$E$10:$AF$10,H$9)</f>
        <v/>
      </c>
      <c r="I47" s="315">
        <f>SUMIFS('Balance Sheet'!$E$63:$AF$63,'Balance Sheet'!$E$10:$AF$10,I$9)</f>
        <v/>
      </c>
      <c r="J47" s="305">
        <f>SUMIFS('Balance Sheet'!$E$63:$AF$63,'Balance Sheet'!$E$10:$AF$10,J$9)</f>
        <v/>
      </c>
    </row>
    <row r="48" ht="12.75" customHeight="1">
      <c r="C48" s="146" t="inlineStr">
        <is>
          <t>Total equity</t>
        </is>
      </c>
      <c r="D48" s="63">
        <f>D46+D47</f>
        <v/>
      </c>
      <c r="E48" s="63">
        <f>E46+E47</f>
        <v/>
      </c>
      <c r="F48" s="63">
        <f>F46+F47</f>
        <v/>
      </c>
      <c r="G48" s="63">
        <f>G46+G47</f>
        <v/>
      </c>
      <c r="H48" s="168">
        <f>H46+H47</f>
        <v/>
      </c>
      <c r="I48" s="361">
        <f>I46+I47</f>
        <v/>
      </c>
      <c r="J48" s="355">
        <f>J46+J47</f>
        <v/>
      </c>
    </row>
    <row r="49" ht="12.75" customHeight="1" thickBot="1">
      <c r="C49" s="347" t="inlineStr">
        <is>
          <t>Total liabilities and equity</t>
        </is>
      </c>
      <c r="D49" s="349">
        <f>D37+D39+D40+D48</f>
        <v/>
      </c>
      <c r="E49" s="349">
        <f>E37+E39+E40+E48</f>
        <v/>
      </c>
      <c r="F49" s="349">
        <f>F37+F39+F40+F48</f>
        <v/>
      </c>
      <c r="G49" s="349">
        <f>G37+G39+G40+G48</f>
        <v/>
      </c>
      <c r="H49" s="349">
        <f>H37+H39+H40+H48</f>
        <v/>
      </c>
      <c r="I49" s="366">
        <f>I37+I39+I40+I48</f>
        <v/>
      </c>
      <c r="J49" s="367">
        <f>J37+J39+J40+J48</f>
        <v/>
      </c>
    </row>
    <row r="50" hidden="1" ht="12" customHeight="1">
      <c r="C50" s="149" t="inlineStr">
        <is>
          <t>Check</t>
        </is>
      </c>
      <c r="D50" s="55">
        <f>D49-D25</f>
        <v/>
      </c>
      <c r="E50" s="55">
        <f>E49-E25</f>
        <v/>
      </c>
      <c r="F50" s="55">
        <f>F49-F25</f>
        <v/>
      </c>
      <c r="G50" s="55">
        <f>G49-G25</f>
        <v/>
      </c>
      <c r="H50" s="55">
        <f>H49-H25</f>
        <v/>
      </c>
      <c r="I50" s="362">
        <f>I49-I25</f>
        <v/>
      </c>
      <c r="J50" s="356">
        <f>J49-J25</f>
        <v/>
      </c>
    </row>
    <row r="51" ht="3" customHeight="1" thickTop="1">
      <c r="I51" s="314" t="n"/>
      <c r="J51" s="354" t="n"/>
    </row>
    <row r="52" ht="10" customFormat="1" customHeight="1" s="203">
      <c r="I52" s="314" t="n"/>
      <c r="J52" s="354" t="n"/>
    </row>
    <row r="53" ht="12.75" customHeight="1">
      <c r="C53" s="110" t="inlineStr">
        <is>
          <t>Memo: Leverage</t>
        </is>
      </c>
      <c r="D53" s="150" t="n"/>
      <c r="E53" s="150" t="n"/>
      <c r="F53" s="150" t="n"/>
      <c r="G53" s="150" t="n"/>
      <c r="H53" s="150" t="n"/>
      <c r="I53" s="190" t="n"/>
      <c r="J53" s="200" t="n"/>
    </row>
    <row r="54" ht="12.75" customHeight="1">
      <c r="C54" s="112" t="inlineStr">
        <is>
          <t>Adj. EBITDA (LTM)</t>
        </is>
      </c>
      <c r="D54" s="172">
        <f>'Income Statement'!AA55</f>
        <v/>
      </c>
      <c r="E54" s="172">
        <f>'Income Statement'!AB55</f>
        <v/>
      </c>
      <c r="F54" s="172">
        <f>'Income Statement'!AC55</f>
        <v/>
      </c>
      <c r="G54" s="172">
        <f>'Income Statement'!AD55</f>
        <v/>
      </c>
      <c r="H54" s="172">
        <f>'Income Statement'!AE55</f>
        <v/>
      </c>
      <c r="I54" s="363">
        <f>'Income Statement'!AG55</f>
        <v/>
      </c>
      <c r="J54" s="357">
        <f>'Income Statement'!AH55</f>
        <v/>
      </c>
    </row>
    <row r="55" ht="12.75" customHeight="1">
      <c r="C55" s="112" t="inlineStr">
        <is>
          <t>Adj. EBITDA excl. IEEPA tariff benefit (LTM)</t>
        </is>
      </c>
      <c r="D55" s="172">
        <f>'Income Statement'!AA57</f>
        <v/>
      </c>
      <c r="E55" s="172">
        <f>'Income Statement'!AB57</f>
        <v/>
      </c>
      <c r="F55" s="172">
        <f>'Income Statement'!AC57</f>
        <v/>
      </c>
      <c r="G55" s="172">
        <f>'Income Statement'!AD57</f>
        <v/>
      </c>
      <c r="H55" s="172">
        <f>'Income Statement'!AE57</f>
        <v/>
      </c>
      <c r="I55" s="363">
        <f>'Income Statement'!AG57</f>
        <v/>
      </c>
      <c r="J55" s="357">
        <f>'Income Statement'!AH57</f>
        <v/>
      </c>
    </row>
    <row r="56" ht="12.75" customHeight="1">
      <c r="C56" s="112" t="inlineStr">
        <is>
          <t>Gross leverage</t>
        </is>
      </c>
      <c r="D56" s="175">
        <f>IFERROR((D27+D33)/D54,"n/a")</f>
        <v/>
      </c>
      <c r="E56" s="175">
        <f>IFERROR((E27+E33)/E54,"n/a")</f>
        <v/>
      </c>
      <c r="F56" s="175">
        <f>IFERROR((F27+F33)/F54,"n/a")</f>
        <v/>
      </c>
      <c r="G56" s="175">
        <f>IFERROR((G27+G33)/G54,"n/a")</f>
        <v/>
      </c>
      <c r="H56" s="175">
        <f>IFERROR((H27+H33)/H54,"n/a")</f>
        <v/>
      </c>
      <c r="I56" s="364">
        <f>IFERROR((I27+I33)/I54,"n/a")</f>
        <v/>
      </c>
      <c r="J56" s="358">
        <f>IFERROR((J27+J33)/J54,"n/a")</f>
        <v/>
      </c>
    </row>
    <row r="57" ht="12.75" customHeight="1">
      <c r="C57" s="112" t="inlineStr">
        <is>
          <t>Net leverage</t>
        </is>
      </c>
      <c r="D57" s="175">
        <f>IFERROR(((D27+D33)-D11)/D54,"n/a")</f>
        <v/>
      </c>
      <c r="E57" s="175">
        <f>IFERROR(((E27+E33)-E11)/E54,"n/a")</f>
        <v/>
      </c>
      <c r="F57" s="175">
        <f>IFERROR(((F27+F33)-F11)/F54,"n/a")</f>
        <v/>
      </c>
      <c r="G57" s="175">
        <f>IFERROR(((G27+G33)-G11)/G54,"n/a")</f>
        <v/>
      </c>
      <c r="H57" s="175">
        <f>IFERROR(((H27+H33)-H11)/H54,"n/a")</f>
        <v/>
      </c>
      <c r="I57" s="364">
        <f>IFERROR(((I27+I33)-I11)/I54,"n/a")</f>
        <v/>
      </c>
      <c r="J57" s="358">
        <f>IFERROR(((J27+J33)-J11)/J54,"n/a")</f>
        <v/>
      </c>
    </row>
    <row r="58" ht="12.75" customHeight="1">
      <c r="C58" s="112" t="inlineStr">
        <is>
          <t>Gross leverage excl. IEEPA</t>
        </is>
      </c>
      <c r="D58" s="175">
        <f>IFERROR((D27+D33)/D55,"n/a")</f>
        <v/>
      </c>
      <c r="E58" s="175">
        <f>IFERROR((E27+E33)/E55,"n/a")</f>
        <v/>
      </c>
      <c r="F58" s="175">
        <f>IFERROR((F27+F33)/F55,"n/a")</f>
        <v/>
      </c>
      <c r="G58" s="175">
        <f>IFERROR((G27+G33)/G55,"n/a")</f>
        <v/>
      </c>
      <c r="H58" s="175">
        <f>IFERROR((H27+H33)/H55,"n/a")</f>
        <v/>
      </c>
      <c r="I58" s="364">
        <f>IFERROR((I27+I33)/I55,"n/a")</f>
        <v/>
      </c>
      <c r="J58" s="358">
        <f>IFERROR((J27+J33)/J55,"n/a")</f>
        <v/>
      </c>
    </row>
    <row r="59" ht="12.75" customHeight="1">
      <c r="A59" s="94" t="inlineStr">
        <is>
          <t>x</t>
        </is>
      </c>
      <c r="B59" s="94" t="inlineStr">
        <is>
          <t>x</t>
        </is>
      </c>
      <c r="C59" s="115" t="inlineStr">
        <is>
          <t>Net leverage excl. IEEPA</t>
        </is>
      </c>
      <c r="D59" s="176">
        <f>IFERROR(((D27+D33)-D11)/D55,"n/a")</f>
        <v/>
      </c>
      <c r="E59" s="176">
        <f>IFERROR(((E27+E33)-E11)/E55,"n/a")</f>
        <v/>
      </c>
      <c r="F59" s="176">
        <f>IFERROR(((F27+F33)-F11)/F55,"n/a")</f>
        <v/>
      </c>
      <c r="G59" s="176">
        <f>IFERROR(((G27+G33)-G11)/G55,"n/a")</f>
        <v/>
      </c>
      <c r="H59" s="176">
        <f>IFERROR(((H27+H33)-H11)/H55,"n/a")</f>
        <v/>
      </c>
      <c r="I59" s="365">
        <f>IFERROR(((I27+I33)-I11)/I55,"n/a")</f>
        <v/>
      </c>
      <c r="J59" s="359">
        <f>IFERROR(((J27+J33)-J11)/J55,"n/a")</f>
        <v/>
      </c>
    </row>
    <row r="60" ht="12.75" customHeight="1">
      <c r="A60" s="94" t="inlineStr">
        <is>
          <t>End</t>
        </is>
      </c>
    </row>
    <row r="61" ht="12.75" customHeight="1">
      <c r="C61" s="61" t="n"/>
    </row>
    <row r="62" ht="12.75" customHeight="1"/>
  </sheetData>
  <hyperlinks>
    <hyperlink ref="B1" location="'Cover Page'!A1" display="Return to Cover"/>
  </hyperlinks>
  <pageMargins left="0.75" right="0.75" top="1" bottom="1" header="0.511811023622047" footer="0.511811023622047"/>
  <pageSetup orientation="landscape" scale="70" horizontalDpi="300" verticalDpi="300"/>
  <legacyDrawing xmlns:r="http://schemas.openxmlformats.org/officeDocument/2006/relationships" r:id="anysvml"/>
</worksheet>
</file>

<file path=xl/worksheets/sheet9.xml><?xml version="1.0" encoding="utf-8"?>
<worksheet xmlns="http://schemas.openxmlformats.org/spreadsheetml/2006/main">
  <sheetPr>
    <tabColor theme="3" tint="0.249977111117893"/>
    <outlinePr summaryBelow="1" summaryRight="1"/>
    <pageSetUpPr fitToPage="1"/>
  </sheetPr>
  <dimension ref="A1:L65"/>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5" customWidth="1" min="3" max="3"/>
    <col width="12.1796875" customWidth="1" min="4" max="4"/>
    <col width="10.453125" customWidth="1" min="5" max="8"/>
    <col width="12.54296875" customWidth="1" min="9" max="9"/>
    <col width="12.1796875" customWidth="1" min="10" max="10"/>
    <col width="10.453125" customWidth="1" min="11" max="11"/>
    <col width="1.7265625" customWidth="1" min="12" max="12"/>
  </cols>
  <sheetData>
    <row r="1" ht="12.75" customHeight="1">
      <c r="A1" s="137">
        <f>C3</f>
        <v/>
      </c>
      <c r="B1" s="138">
        <f>'Cover Page'!A1</f>
        <v/>
      </c>
    </row>
    <row r="2" ht="12.75" customHeight="1"/>
    <row r="3" ht="14.25" customHeight="1">
      <c r="A3" s="30" t="n"/>
      <c r="B3" s="30" t="n"/>
      <c r="C3" s="31" t="inlineStr">
        <is>
          <t>Cash Flow Statement Summary</t>
        </is>
      </c>
      <c r="D3" s="32" t="n"/>
      <c r="E3" s="32" t="n"/>
      <c r="F3" s="32" t="n"/>
      <c r="G3" s="32" t="n"/>
      <c r="H3" s="32" t="n"/>
      <c r="I3" s="32" t="n"/>
      <c r="J3" s="32" t="n"/>
      <c r="K3" s="93" t="inlineStr">
        <is>
          <t>Xerox Holdings Corporation</t>
        </is>
      </c>
      <c r="L3" s="58" t="n"/>
    </row>
    <row r="4" ht="12.75" customHeight="1">
      <c r="A4" s="30" t="n"/>
      <c r="B4" s="30" t="n"/>
      <c r="C4" s="139" t="inlineStr">
        <is>
          <t>All values in $ millions (USD)</t>
        </is>
      </c>
      <c r="D4" s="33" t="n"/>
      <c r="E4" s="33" t="n"/>
      <c r="F4" s="33" t="n"/>
      <c r="G4" s="33" t="n"/>
      <c r="H4" s="33" t="n"/>
      <c r="I4" s="33" t="n"/>
      <c r="J4" s="33" t="n"/>
      <c r="K4" s="33" t="n"/>
      <c r="L4" s="301" t="n"/>
    </row>
    <row r="5" ht="12.75" customHeight="1">
      <c r="A5" s="140" t="n"/>
      <c r="B5" s="140" t="n"/>
      <c r="C5" s="140" t="n"/>
      <c r="D5" s="140" t="n"/>
      <c r="E5" s="140" t="n"/>
      <c r="F5" s="140" t="n"/>
      <c r="G5" s="140" t="n"/>
      <c r="H5" s="140" t="n"/>
      <c r="I5" s="140" t="n"/>
      <c r="J5" s="140" t="n"/>
      <c r="K5" s="140" t="n"/>
      <c r="L5" s="142" t="n"/>
    </row>
    <row r="6" hidden="1" ht="15" customHeight="1">
      <c r="A6" s="140" t="n"/>
      <c r="B6" s="140" t="n"/>
      <c r="C6" s="139" t="n"/>
      <c r="D6" s="140" t="n"/>
      <c r="E6" s="140" t="n"/>
      <c r="F6" s="140" t="n"/>
      <c r="G6" s="140" t="n"/>
      <c r="H6" s="140" t="n"/>
      <c r="I6" s="140" t="n"/>
      <c r="J6" s="140" t="n"/>
      <c r="K6" s="140" t="n"/>
      <c r="L6" s="140" t="n"/>
    </row>
    <row r="7" hidden="1" ht="15" customHeight="1">
      <c r="A7" s="140" t="n"/>
      <c r="B7" s="140" t="n"/>
      <c r="C7" s="140" t="n"/>
      <c r="D7" s="140" t="n"/>
      <c r="E7" s="140" t="n"/>
      <c r="F7" s="140" t="n"/>
      <c r="G7" s="140" t="n"/>
      <c r="H7" s="140" t="n"/>
      <c r="I7" s="140" t="n"/>
      <c r="J7" s="140" t="n"/>
      <c r="K7" s="140" t="n"/>
      <c r="L7" s="140" t="n"/>
    </row>
    <row r="8" ht="12.75" customHeight="1">
      <c r="A8" s="94" t="inlineStr">
        <is>
          <t>x</t>
        </is>
      </c>
      <c r="B8" s="94" t="inlineStr">
        <is>
          <t>x</t>
        </is>
      </c>
      <c r="C8" s="35" t="inlineStr">
        <is>
          <t>Cash Flow Statement Summary</t>
        </is>
      </c>
      <c r="D8" s="36" t="inlineStr">
        <is>
          <t>Fiscal Year</t>
        </is>
      </c>
      <c r="E8" s="204" t="n"/>
      <c r="F8" s="204" t="n"/>
      <c r="G8" s="204" t="n"/>
      <c r="H8" s="204" t="n"/>
      <c r="I8" s="317" t="inlineStr">
        <is>
          <t>LTM</t>
        </is>
      </c>
      <c r="J8" s="132" t="inlineStr">
        <is>
          <t>Quarter Ended</t>
        </is>
      </c>
      <c r="K8" s="302" t="n"/>
      <c r="L8" s="30" t="n"/>
    </row>
    <row r="9" hidden="1" ht="3" customHeight="1">
      <c r="A9" s="140" t="n"/>
      <c r="B9" s="140" t="n"/>
      <c r="C9" s="140" t="n"/>
      <c r="D9" s="140" t="n"/>
      <c r="E9" s="140" t="n"/>
      <c r="F9" s="140" t="n"/>
      <c r="G9" s="140" t="n"/>
      <c r="H9" s="140" t="n"/>
      <c r="I9" s="318" t="n"/>
      <c r="J9" s="142" t="n"/>
      <c r="K9" s="193" t="n"/>
      <c r="L9" s="140" t="n"/>
    </row>
    <row r="10" ht="12.75" customHeight="1">
      <c r="A10" s="30" t="n"/>
      <c r="B10" s="30" t="n"/>
      <c r="C10" s="97" t="n"/>
      <c r="D10" s="98" t="n">
        <v>2021</v>
      </c>
      <c r="E10" s="98" t="n">
        <v>2022</v>
      </c>
      <c r="F10" s="98" t="n">
        <v>2023</v>
      </c>
      <c r="G10" s="98" t="n">
        <v>2024</v>
      </c>
      <c r="H10" s="98" t="n">
        <v>2025</v>
      </c>
      <c r="I10" s="319" t="inlineStr">
        <is>
          <t>LTM 2Q'26</t>
        </is>
      </c>
      <c r="J10" s="98" t="inlineStr">
        <is>
          <t>2Q'25</t>
        </is>
      </c>
      <c r="K10" s="195" t="inlineStr">
        <is>
          <t>2Q'26</t>
        </is>
      </c>
      <c r="L10" s="30" t="n"/>
    </row>
    <row r="11" ht="3" customHeight="1">
      <c r="I11" s="320" t="n"/>
      <c r="J11" s="203" t="n"/>
      <c r="K11" s="303" t="n"/>
    </row>
    <row r="12" ht="12.75" customHeight="1">
      <c r="C12" s="68" t="inlineStr">
        <is>
          <t>Net (loss) income</t>
        </is>
      </c>
      <c r="D12" s="59">
        <f>SUMIFS('Cash Flow Statement'!$E$14:$AI$14,'Cash Flow Statement'!$E$11:$AI$11,D$10)</f>
        <v/>
      </c>
      <c r="E12" s="59">
        <f>SUMIFS('Cash Flow Statement'!$E$14:$AI$14,'Cash Flow Statement'!$E$11:$AI$11,E$10)</f>
        <v/>
      </c>
      <c r="F12" s="59">
        <f>SUMIFS('Cash Flow Statement'!$E$14:$AI$14,'Cash Flow Statement'!$E$11:$AI$11,F$10)</f>
        <v/>
      </c>
      <c r="G12" s="59">
        <f>SUMIFS('Cash Flow Statement'!$E$14:$AI$14,'Cash Flow Statement'!$E$11:$AI$11,G$10)</f>
        <v/>
      </c>
      <c r="H12" s="59">
        <f>SUMIFS('Cash Flow Statement'!$E$14:$AI$14,'Cash Flow Statement'!$E$11:$AI$11,H$10)</f>
        <v/>
      </c>
      <c r="I12" s="321">
        <f>SUMIFS('Cash Flow Statement'!$E$14:$AI$14,'Cash Flow Statement'!$E$11:$AI$11,I$10)</f>
        <v/>
      </c>
      <c r="J12" s="156">
        <f>SUMIFS('Cash Flow Statement'!$E$14:$AI$14,'Cash Flow Statement'!$E$11:$AI$11,J$10)</f>
        <v/>
      </c>
      <c r="K12" s="304">
        <f>SUMIFS('Cash Flow Statement'!$E$14:$AI$14,'Cash Flow Statement'!$E$11:$AI$11,K$10)</f>
        <v/>
      </c>
    </row>
    <row r="13" ht="12.75" customHeight="1">
      <c r="C13" s="143" t="inlineStr">
        <is>
          <t>Depreciation and amortization</t>
        </is>
      </c>
      <c r="D13" s="52">
        <f>SUMIFS('Cash Flow Statement'!$E$16:$AI$16,'Cash Flow Statement'!$E$11:$AI$11,D$10)</f>
        <v/>
      </c>
      <c r="E13" s="52">
        <f>SUMIFS('Cash Flow Statement'!$E$16:$AI$16,'Cash Flow Statement'!$E$11:$AI$11,E$10)</f>
        <v/>
      </c>
      <c r="F13" s="52">
        <f>SUMIFS('Cash Flow Statement'!$E$16:$AI$16,'Cash Flow Statement'!$E$11:$AI$11,F$10)</f>
        <v/>
      </c>
      <c r="G13" s="52">
        <f>SUMIFS('Cash Flow Statement'!$E$16:$AI$16,'Cash Flow Statement'!$E$11:$AI$11,G$10)</f>
        <v/>
      </c>
      <c r="H13" s="52">
        <f>SUMIFS('Cash Flow Statement'!$E$16:$AI$16,'Cash Flow Statement'!$E$11:$AI$11,H$10)</f>
        <v/>
      </c>
      <c r="I13" s="322">
        <f>SUMIFS('Cash Flow Statement'!$E$16:$AI$16,'Cash Flow Statement'!$E$11:$AI$11,I$10)</f>
        <v/>
      </c>
      <c r="J13" s="157">
        <f>SUMIFS('Cash Flow Statement'!$E$16:$AI$16,'Cash Flow Statement'!$E$11:$AI$11,J$10)</f>
        <v/>
      </c>
      <c r="K13" s="305">
        <f>SUMIFS('Cash Flow Statement'!$E$16:$AI$16,'Cash Flow Statement'!$E$11:$AI$11,K$10)</f>
        <v/>
      </c>
    </row>
    <row r="14" ht="12.75" customHeight="1">
      <c r="C14" s="143" t="inlineStr">
        <is>
          <t>Goodwill impairment</t>
        </is>
      </c>
      <c r="D14" s="52">
        <f>SUMIFS('Cash Flow Statement'!$E$24:$AI$24,'Cash Flow Statement'!$E$11:$AI$11,D$10)</f>
        <v/>
      </c>
      <c r="E14" s="52">
        <f>SUMIFS('Cash Flow Statement'!$E$24:$AI$24,'Cash Flow Statement'!$E$11:$AI$11,E$10)</f>
        <v/>
      </c>
      <c r="F14" s="52">
        <f>SUMIFS('Cash Flow Statement'!$E$24:$AI$24,'Cash Flow Statement'!$E$11:$AI$11,F$10)</f>
        <v/>
      </c>
      <c r="G14" s="52">
        <f>SUMIFS('Cash Flow Statement'!$E$24:$AI$24,'Cash Flow Statement'!$E$11:$AI$11,G$10)</f>
        <v/>
      </c>
      <c r="H14" s="52">
        <f>SUMIFS('Cash Flow Statement'!$E$24:$AI$24,'Cash Flow Statement'!$E$11:$AI$11,H$10)</f>
        <v/>
      </c>
      <c r="I14" s="322">
        <f>SUMIFS('Cash Flow Statement'!$E$24:$AI$24,'Cash Flow Statement'!$E$11:$AI$11,I$10)</f>
        <v/>
      </c>
      <c r="J14" s="157">
        <f>SUMIFS('Cash Flow Statement'!$E$24:$AI$24,'Cash Flow Statement'!$E$11:$AI$11,J$10)</f>
        <v/>
      </c>
      <c r="K14" s="305">
        <f>SUMIFS('Cash Flow Statement'!$E$24:$AI$24,'Cash Flow Statement'!$E$11:$AI$11,K$10)</f>
        <v/>
      </c>
    </row>
    <row r="15" ht="12.75" customHeight="1">
      <c r="C15" s="143" t="inlineStr">
        <is>
          <t>Stock-based compensation</t>
        </is>
      </c>
      <c r="D15" s="52">
        <f>SUMIFS('Cash Flow Statement'!$E$25:$AI$25,'Cash Flow Statement'!$E$11:$AI$11,D$10)</f>
        <v/>
      </c>
      <c r="E15" s="52">
        <f>SUMIFS('Cash Flow Statement'!$E$25:$AI$25,'Cash Flow Statement'!$E$11:$AI$11,E$10)</f>
        <v/>
      </c>
      <c r="F15" s="52">
        <f>SUMIFS('Cash Flow Statement'!$E$25:$AI$25,'Cash Flow Statement'!$E$11:$AI$11,F$10)</f>
        <v/>
      </c>
      <c r="G15" s="52">
        <f>SUMIFS('Cash Flow Statement'!$E$25:$AI$25,'Cash Flow Statement'!$E$11:$AI$11,G$10)</f>
        <v/>
      </c>
      <c r="H15" s="52">
        <f>SUMIFS('Cash Flow Statement'!$E$25:$AI$25,'Cash Flow Statement'!$E$11:$AI$11,H$10)</f>
        <v/>
      </c>
      <c r="I15" s="322">
        <f>SUMIFS('Cash Flow Statement'!$E$25:$AI$25,'Cash Flow Statement'!$E$11:$AI$11,I$10)</f>
        <v/>
      </c>
      <c r="J15" s="157">
        <f>SUMIFS('Cash Flow Statement'!$E$25:$AI$25,'Cash Flow Statement'!$E$11:$AI$11,J$10)</f>
        <v/>
      </c>
      <c r="K15" s="305">
        <f>SUMIFS('Cash Flow Statement'!$E$25:$AI$25,'Cash Flow Statement'!$E$11:$AI$11,K$10)</f>
        <v/>
      </c>
    </row>
    <row r="16" ht="12.75" customHeight="1">
      <c r="C16" s="143" t="inlineStr">
        <is>
          <t>Provisions</t>
        </is>
      </c>
      <c r="D16" s="52">
        <f>SUMIFS('Cash Flow Statement'!$E$17:$AI$17,'Cash Flow Statement'!$E$11:$AI$11,D$10)</f>
        <v/>
      </c>
      <c r="E16" s="52">
        <f>SUMIFS('Cash Flow Statement'!$E$17:$AI$17,'Cash Flow Statement'!$E$11:$AI$11,E$10)</f>
        <v/>
      </c>
      <c r="F16" s="52">
        <f>SUMIFS('Cash Flow Statement'!$E$17:$AI$17,'Cash Flow Statement'!$E$11:$AI$11,F$10)</f>
        <v/>
      </c>
      <c r="G16" s="52">
        <f>SUMIFS('Cash Flow Statement'!$E$17:$AI$17,'Cash Flow Statement'!$E$11:$AI$11,G$10)</f>
        <v/>
      </c>
      <c r="H16" s="52">
        <f>SUMIFS('Cash Flow Statement'!$E$17:$AI$17,'Cash Flow Statement'!$E$11:$AI$11,H$10)</f>
        <v/>
      </c>
      <c r="I16" s="322">
        <f>SUMIFS('Cash Flow Statement'!$E$17:$AI$17,'Cash Flow Statement'!$E$11:$AI$11,I$10)</f>
        <v/>
      </c>
      <c r="J16" s="157">
        <f>SUMIFS('Cash Flow Statement'!$E$17:$AI$17,'Cash Flow Statement'!$E$11:$AI$11,J$10)</f>
        <v/>
      </c>
      <c r="K16" s="305">
        <f>SUMIFS('Cash Flow Statement'!$E$17:$AI$17,'Cash Flow Statement'!$E$11:$AI$11,K$10)</f>
        <v/>
      </c>
    </row>
    <row r="17" ht="12.75" customHeight="1">
      <c r="C17" s="143" t="inlineStr">
        <is>
          <t>Restructuring and asset impairment charges</t>
        </is>
      </c>
      <c r="D17" s="52">
        <f>SUMIFS('Cash Flow Statement'!$E$26:$AI$26,'Cash Flow Statement'!$E$11:$AI$11,D$10)</f>
        <v/>
      </c>
      <c r="E17" s="52">
        <f>SUMIFS('Cash Flow Statement'!$E$26:$AI$26,'Cash Flow Statement'!$E$11:$AI$11,E$10)</f>
        <v/>
      </c>
      <c r="F17" s="52">
        <f>SUMIFS('Cash Flow Statement'!$E$26:$AI$26,'Cash Flow Statement'!$E$11:$AI$11,F$10)</f>
        <v/>
      </c>
      <c r="G17" s="52">
        <f>SUMIFS('Cash Flow Statement'!$E$26:$AI$26,'Cash Flow Statement'!$E$11:$AI$11,G$10)</f>
        <v/>
      </c>
      <c r="H17" s="52">
        <f>SUMIFS('Cash Flow Statement'!$E$26:$AI$26,'Cash Flow Statement'!$E$11:$AI$11,H$10)</f>
        <v/>
      </c>
      <c r="I17" s="322">
        <f>SUMIFS('Cash Flow Statement'!$E$26:$AI$26,'Cash Flow Statement'!$E$11:$AI$11,I$10)</f>
        <v/>
      </c>
      <c r="J17" s="157">
        <f>SUMIFS('Cash Flow Statement'!$E$26:$AI$26,'Cash Flow Statement'!$E$11:$AI$11,J$10)</f>
        <v/>
      </c>
      <c r="K17" s="305">
        <f>SUMIFS('Cash Flow Statement'!$E$26:$AI$26,'Cash Flow Statement'!$E$11:$AI$11,K$10)</f>
        <v/>
      </c>
    </row>
    <row r="18" ht="12.75" customHeight="1">
      <c r="C18" s="143" t="inlineStr">
        <is>
          <t>Payments for restructurings</t>
        </is>
      </c>
      <c r="D18" s="52">
        <f>SUMIFS('Cash Flow Statement'!$E$27:$AI$27,'Cash Flow Statement'!$E$11:$AI$11,D$10)</f>
        <v/>
      </c>
      <c r="E18" s="52">
        <f>SUMIFS('Cash Flow Statement'!$E$27:$AI$27,'Cash Flow Statement'!$E$11:$AI$11,E$10)</f>
        <v/>
      </c>
      <c r="F18" s="52">
        <f>SUMIFS('Cash Flow Statement'!$E$27:$AI$27,'Cash Flow Statement'!$E$11:$AI$11,F$10)</f>
        <v/>
      </c>
      <c r="G18" s="52">
        <f>SUMIFS('Cash Flow Statement'!$E$27:$AI$27,'Cash Flow Statement'!$E$11:$AI$11,G$10)</f>
        <v/>
      </c>
      <c r="H18" s="52">
        <f>SUMIFS('Cash Flow Statement'!$E$27:$AI$27,'Cash Flow Statement'!$E$11:$AI$11,H$10)</f>
        <v/>
      </c>
      <c r="I18" s="322">
        <f>SUMIFS('Cash Flow Statement'!$E$27:$AI$27,'Cash Flow Statement'!$E$11:$AI$11,I$10)</f>
        <v/>
      </c>
      <c r="J18" s="157">
        <f>SUMIFS('Cash Flow Statement'!$E$27:$AI$27,'Cash Flow Statement'!$E$11:$AI$11,J$10)</f>
        <v/>
      </c>
      <c r="K18" s="305">
        <f>SUMIFS('Cash Flow Statement'!$E$27:$AI$27,'Cash Flow Statement'!$E$11:$AI$11,K$10)</f>
        <v/>
      </c>
    </row>
    <row r="19" ht="12.75" customHeight="1">
      <c r="C19" s="143" t="inlineStr">
        <is>
          <t>Contributions to retirement plans</t>
        </is>
      </c>
      <c r="D19" s="52">
        <f>SUMIFS('Cash Flow Statement'!$E$29:$AI$29,'Cash Flow Statement'!$E$11:$AI$11,D$10)</f>
        <v/>
      </c>
      <c r="E19" s="52">
        <f>SUMIFS('Cash Flow Statement'!$E$29:$AI$29,'Cash Flow Statement'!$E$11:$AI$11,E$10)</f>
        <v/>
      </c>
      <c r="F19" s="52">
        <f>SUMIFS('Cash Flow Statement'!$E$29:$AI$29,'Cash Flow Statement'!$E$11:$AI$11,F$10)</f>
        <v/>
      </c>
      <c r="G19" s="52">
        <f>SUMIFS('Cash Flow Statement'!$E$29:$AI$29,'Cash Flow Statement'!$E$11:$AI$11,G$10)</f>
        <v/>
      </c>
      <c r="H19" s="52">
        <f>SUMIFS('Cash Flow Statement'!$E$29:$AI$29,'Cash Flow Statement'!$E$11:$AI$11,H$10)</f>
        <v/>
      </c>
      <c r="I19" s="322">
        <f>SUMIFS('Cash Flow Statement'!$E$29:$AI$29,'Cash Flow Statement'!$E$11:$AI$11,I$10)</f>
        <v/>
      </c>
      <c r="J19" s="157">
        <f>SUMIFS('Cash Flow Statement'!$E$29:$AI$29,'Cash Flow Statement'!$E$11:$AI$11,J$10)</f>
        <v/>
      </c>
      <c r="K19" s="305">
        <f>SUMIFS('Cash Flow Statement'!$E$29:$AI$29,'Cash Flow Statement'!$E$11:$AI$11,K$10)</f>
        <v/>
      </c>
    </row>
    <row r="20" ht="12.75" customHeight="1">
      <c r="C20" s="143" t="inlineStr">
        <is>
          <t>Decrease (increase) in finance receivables</t>
        </is>
      </c>
      <c r="D20" s="52">
        <f>SUMIFS('Cash Flow Statement'!$E$34:$AI$34,'Cash Flow Statement'!$E$11:$AI$11,D$10)</f>
        <v/>
      </c>
      <c r="E20" s="52">
        <f>SUMIFS('Cash Flow Statement'!$E$34:$AI$34,'Cash Flow Statement'!$E$11:$AI$11,E$10)</f>
        <v/>
      </c>
      <c r="F20" s="52">
        <f>SUMIFS('Cash Flow Statement'!$E$34:$AI$34,'Cash Flow Statement'!$E$11:$AI$11,F$10)</f>
        <v/>
      </c>
      <c r="G20" s="52">
        <f>SUMIFS('Cash Flow Statement'!$E$34:$AI$34,'Cash Flow Statement'!$E$11:$AI$11,G$10)</f>
        <v/>
      </c>
      <c r="H20" s="52">
        <f>SUMIFS('Cash Flow Statement'!$E$34:$AI$34,'Cash Flow Statement'!$E$11:$AI$11,H$10)</f>
        <v/>
      </c>
      <c r="I20" s="322">
        <f>SUMIFS('Cash Flow Statement'!$E$34:$AI$34,'Cash Flow Statement'!$E$11:$AI$11,I$10)</f>
        <v/>
      </c>
      <c r="J20" s="157">
        <f>SUMIFS('Cash Flow Statement'!$E$34:$AI$34,'Cash Flow Statement'!$E$11:$AI$11,J$10)</f>
        <v/>
      </c>
      <c r="K20" s="305">
        <f>SUMIFS('Cash Flow Statement'!$E$34:$AI$34,'Cash Flow Statement'!$E$11:$AI$11,K$10)</f>
        <v/>
      </c>
    </row>
    <row r="21" ht="12.75" customHeight="1">
      <c r="C21" s="143" t="inlineStr">
        <is>
          <t>Increase in equipment on operating leases</t>
        </is>
      </c>
      <c r="D21" s="52">
        <f>SUMIFS('Cash Flow Statement'!$E$33:$AI$33,'Cash Flow Statement'!$E$11:$AI$11,D$10)</f>
        <v/>
      </c>
      <c r="E21" s="52">
        <f>SUMIFS('Cash Flow Statement'!$E$33:$AI$33,'Cash Flow Statement'!$E$11:$AI$11,E$10)</f>
        <v/>
      </c>
      <c r="F21" s="52">
        <f>SUMIFS('Cash Flow Statement'!$E$33:$AI$33,'Cash Flow Statement'!$E$11:$AI$11,F$10)</f>
        <v/>
      </c>
      <c r="G21" s="52">
        <f>SUMIFS('Cash Flow Statement'!$E$33:$AI$33,'Cash Flow Statement'!$E$11:$AI$11,G$10)</f>
        <v/>
      </c>
      <c r="H21" s="52">
        <f>SUMIFS('Cash Flow Statement'!$E$33:$AI$33,'Cash Flow Statement'!$E$11:$AI$11,H$10)</f>
        <v/>
      </c>
      <c r="I21" s="322">
        <f>SUMIFS('Cash Flow Statement'!$E$33:$AI$33,'Cash Flow Statement'!$E$11:$AI$11,I$10)</f>
        <v/>
      </c>
      <c r="J21" s="157">
        <f>SUMIFS('Cash Flow Statement'!$E$33:$AI$33,'Cash Flow Statement'!$E$11:$AI$11,J$10)</f>
        <v/>
      </c>
      <c r="K21" s="305">
        <f>SUMIFS('Cash Flow Statement'!$E$33:$AI$33,'Cash Flow Statement'!$E$11:$AI$11,K$10)</f>
        <v/>
      </c>
    </row>
    <row r="22" ht="12.75" customHeight="1">
      <c r="C22" s="143" t="inlineStr">
        <is>
          <t>Change in NWC</t>
        </is>
      </c>
      <c r="D22" s="52">
        <f>SUMIFS('Cash Flow Statement'!$E$46:$AI$46,'Cash Flow Statement'!$E$11:$AI$11,D$10)</f>
        <v/>
      </c>
      <c r="E22" s="52">
        <f>SUMIFS('Cash Flow Statement'!$E$46:$AI$46,'Cash Flow Statement'!$E$11:$AI$11,E$10)</f>
        <v/>
      </c>
      <c r="F22" s="52">
        <f>SUMIFS('Cash Flow Statement'!$E$46:$AI$46,'Cash Flow Statement'!$E$11:$AI$11,F$10)</f>
        <v/>
      </c>
      <c r="G22" s="52">
        <f>SUMIFS('Cash Flow Statement'!$E$46:$AI$46,'Cash Flow Statement'!$E$11:$AI$11,G$10)</f>
        <v/>
      </c>
      <c r="H22" s="52">
        <f>SUMIFS('Cash Flow Statement'!$E$46:$AI$46,'Cash Flow Statement'!$E$11:$AI$11,H$10)</f>
        <v/>
      </c>
      <c r="I22" s="322">
        <f>SUMIFS('Cash Flow Statement'!$E$46:$AI$46,'Cash Flow Statement'!$E$11:$AI$11,I$10)</f>
        <v/>
      </c>
      <c r="J22" s="157">
        <f>SUMIFS('Cash Flow Statement'!$E$46:$AI$46,'Cash Flow Statement'!$E$11:$AI$11,J$10)</f>
        <v/>
      </c>
      <c r="K22" s="305">
        <f>SUMIFS('Cash Flow Statement'!$E$46:$AI$46,'Cash Flow Statement'!$E$11:$AI$11,K$10)</f>
        <v/>
      </c>
    </row>
    <row r="23" ht="12.75" customHeight="1">
      <c r="C23" s="143" t="inlineStr">
        <is>
          <t>Other operating activities</t>
        </is>
      </c>
      <c r="D23" s="52">
        <f>SUM(D24:D31)</f>
        <v/>
      </c>
      <c r="E23" s="52">
        <f>SUM(E24:E31)</f>
        <v/>
      </c>
      <c r="F23" s="52">
        <f>SUM(F24:F31)</f>
        <v/>
      </c>
      <c r="G23" s="52">
        <f>SUM(G24:G31)</f>
        <v/>
      </c>
      <c r="H23" s="52">
        <f>SUM(H24:H31)</f>
        <v/>
      </c>
      <c r="I23" s="322">
        <f>SUM(I24:I31)</f>
        <v/>
      </c>
      <c r="J23" s="157">
        <f>SUM(J24:J31)</f>
        <v/>
      </c>
      <c r="K23" s="305">
        <f>SUM(K24:K31)</f>
        <v/>
      </c>
    </row>
    <row r="24" ht="12.75" customHeight="1">
      <c r="C24" s="143" t="inlineStr">
        <is>
          <t>Non-service retirement-related costs</t>
        </is>
      </c>
      <c r="D24" s="52">
        <f>SUMIFS('Cash Flow Statement'!$E$28:$AI$28,'Cash Flow Statement'!$E$11:$AI$11,D$10)</f>
        <v/>
      </c>
      <c r="E24" s="52">
        <f>SUMIFS('Cash Flow Statement'!$E$28:$AI$28,'Cash Flow Statement'!$E$11:$AI$11,E$10)</f>
        <v/>
      </c>
      <c r="F24" s="52">
        <f>SUMIFS('Cash Flow Statement'!$E$28:$AI$28,'Cash Flow Statement'!$E$11:$AI$11,F$10)</f>
        <v/>
      </c>
      <c r="G24" s="52">
        <f>SUMIFS('Cash Flow Statement'!$E$28:$AI$28,'Cash Flow Statement'!$E$11:$AI$11,G$10)</f>
        <v/>
      </c>
      <c r="H24" s="52">
        <f>SUMIFS('Cash Flow Statement'!$E$28:$AI$28,'Cash Flow Statement'!$E$11:$AI$11,H$10)</f>
        <v/>
      </c>
      <c r="I24" s="322">
        <f>SUMIFS('Cash Flow Statement'!$E$28:$AI$28,'Cash Flow Statement'!$E$11:$AI$11,I$10)</f>
        <v/>
      </c>
      <c r="J24" s="157">
        <f>SUMIFS('Cash Flow Statement'!$E$28:$AI$28,'Cash Flow Statement'!$E$11:$AI$11,J$10)</f>
        <v/>
      </c>
      <c r="K24" s="305">
        <f>SUMIFS('Cash Flow Statement'!$E$28:$AI$28,'Cash Flow Statement'!$E$11:$AI$11,K$10)</f>
        <v/>
      </c>
    </row>
    <row r="25" ht="12.75" customHeight="1">
      <c r="C25" s="143" t="inlineStr">
        <is>
          <t>Net (gain) loss on sales of businesses and assets</t>
        </is>
      </c>
      <c r="D25" s="52">
        <f>SUMIFS('Cash Flow Statement'!$E$19:$AI$19,'Cash Flow Statement'!$E$11:$AI$11,D$10)</f>
        <v/>
      </c>
      <c r="E25" s="52">
        <f>SUMIFS('Cash Flow Statement'!$E$19:$AI$19,'Cash Flow Statement'!$E$11:$AI$11,E$10)</f>
        <v/>
      </c>
      <c r="F25" s="52">
        <f>SUMIFS('Cash Flow Statement'!$E$19:$AI$19,'Cash Flow Statement'!$E$11:$AI$11,F$10)</f>
        <v/>
      </c>
      <c r="G25" s="52">
        <f>SUMIFS('Cash Flow Statement'!$E$19:$AI$19,'Cash Flow Statement'!$E$11:$AI$11,G$10)</f>
        <v/>
      </c>
      <c r="H25" s="52">
        <f>SUMIFS('Cash Flow Statement'!$E$19:$AI$19,'Cash Flow Statement'!$E$11:$AI$11,H$10)</f>
        <v/>
      </c>
      <c r="I25" s="322">
        <f>SUMIFS('Cash Flow Statement'!$E$19:$AI$19,'Cash Flow Statement'!$E$11:$AI$11,I$10)</f>
        <v/>
      </c>
      <c r="J25" s="157">
        <f>SUMIFS('Cash Flow Statement'!$E$19:$AI$19,'Cash Flow Statement'!$E$11:$AI$11,J$10)</f>
        <v/>
      </c>
      <c r="K25" s="305">
        <f>SUMIFS('Cash Flow Statement'!$E$19:$AI$19,'Cash Flow Statement'!$E$11:$AI$11,K$10)</f>
        <v/>
      </c>
    </row>
    <row r="26" ht="12.75" customHeight="1">
      <c r="C26" s="143" t="inlineStr">
        <is>
          <t>Net (gain) loss on early extinguishment of debt</t>
        </is>
      </c>
      <c r="D26" s="52">
        <f>SUMIFS('Cash Flow Statement'!$E$18:$AI$18,'Cash Flow Statement'!$E$11:$AI$11,D$10)</f>
        <v/>
      </c>
      <c r="E26" s="52">
        <f>SUMIFS('Cash Flow Statement'!$E$18:$AI$18,'Cash Flow Statement'!$E$11:$AI$11,E$10)</f>
        <v/>
      </c>
      <c r="F26" s="52">
        <f>SUMIFS('Cash Flow Statement'!$E$18:$AI$18,'Cash Flow Statement'!$E$11:$AI$11,F$10)</f>
        <v/>
      </c>
      <c r="G26" s="52">
        <f>SUMIFS('Cash Flow Statement'!$E$18:$AI$18,'Cash Flow Statement'!$E$11:$AI$11,G$10)</f>
        <v/>
      </c>
      <c r="H26" s="52">
        <f>SUMIFS('Cash Flow Statement'!$E$18:$AI$18,'Cash Flow Statement'!$E$11:$AI$11,H$10)</f>
        <v/>
      </c>
      <c r="I26" s="322">
        <f>SUMIFS('Cash Flow Statement'!$E$18:$AI$18,'Cash Flow Statement'!$E$11:$AI$11,I$10)</f>
        <v/>
      </c>
      <c r="J26" s="157">
        <f>SUMIFS('Cash Flow Statement'!$E$18:$AI$18,'Cash Flow Statement'!$E$11:$AI$11,J$10)</f>
        <v/>
      </c>
      <c r="K26" s="305">
        <f>SUMIFS('Cash Flow Statement'!$E$18:$AI$18,'Cash Flow Statement'!$E$11:$AI$11,K$10)</f>
        <v/>
      </c>
    </row>
    <row r="27" ht="12.75" customHeight="1">
      <c r="C27" s="143" t="inlineStr">
        <is>
          <t>Lexmark inventory purchase accounting adjustment, noncash</t>
        </is>
      </c>
      <c r="D27" s="52">
        <f>SUMIFS('Cash Flow Statement'!$E$20:$AI$20,'Cash Flow Statement'!$E$11:$AI$11,D$10)</f>
        <v/>
      </c>
      <c r="E27" s="52">
        <f>SUMIFS('Cash Flow Statement'!$E$20:$AI$20,'Cash Flow Statement'!$E$11:$AI$11,E$10)</f>
        <v/>
      </c>
      <c r="F27" s="52">
        <f>SUMIFS('Cash Flow Statement'!$E$20:$AI$20,'Cash Flow Statement'!$E$11:$AI$11,F$10)</f>
        <v/>
      </c>
      <c r="G27" s="52">
        <f>SUMIFS('Cash Flow Statement'!$E$20:$AI$20,'Cash Flow Statement'!$E$11:$AI$11,G$10)</f>
        <v/>
      </c>
      <c r="H27" s="52">
        <f>SUMIFS('Cash Flow Statement'!$E$20:$AI$20,'Cash Flow Statement'!$E$11:$AI$11,H$10)</f>
        <v/>
      </c>
      <c r="I27" s="322">
        <f>SUMIFS('Cash Flow Statement'!$E$20:$AI$20,'Cash Flow Statement'!$E$11:$AI$11,I$10)</f>
        <v/>
      </c>
      <c r="J27" s="157">
        <f>SUMIFS('Cash Flow Statement'!$E$20:$AI$20,'Cash Flow Statement'!$E$11:$AI$11,J$10)</f>
        <v/>
      </c>
      <c r="K27" s="305">
        <f>SUMIFS('Cash Flow Statement'!$E$20:$AI$20,'Cash Flow Statement'!$E$11:$AI$11,K$10)</f>
        <v/>
      </c>
    </row>
    <row r="28" ht="12.75" customHeight="1">
      <c r="C28" s="143" t="inlineStr">
        <is>
          <t>Effective settlement of pre-existing Lexmark relationship</t>
        </is>
      </c>
      <c r="D28" s="52">
        <f>SUMIFS('Cash Flow Statement'!$E$21:$AI$21,'Cash Flow Statement'!$E$11:$AI$11,D$10)</f>
        <v/>
      </c>
      <c r="E28" s="52">
        <f>SUMIFS('Cash Flow Statement'!$E$21:$AI$21,'Cash Flow Statement'!$E$11:$AI$11,E$10)</f>
        <v/>
      </c>
      <c r="F28" s="52">
        <f>SUMIFS('Cash Flow Statement'!$E$21:$AI$21,'Cash Flow Statement'!$E$11:$AI$11,F$10)</f>
        <v/>
      </c>
      <c r="G28" s="52">
        <f>SUMIFS('Cash Flow Statement'!$E$21:$AI$21,'Cash Flow Statement'!$E$11:$AI$11,G$10)</f>
        <v/>
      </c>
      <c r="H28" s="52">
        <f>SUMIFS('Cash Flow Statement'!$E$21:$AI$21,'Cash Flow Statement'!$E$11:$AI$11,H$10)</f>
        <v/>
      </c>
      <c r="I28" s="322">
        <f>SUMIFS('Cash Flow Statement'!$E$21:$AI$21,'Cash Flow Statement'!$E$11:$AI$11,I$10)</f>
        <v/>
      </c>
      <c r="J28" s="157">
        <f>SUMIFS('Cash Flow Statement'!$E$21:$AI$21,'Cash Flow Statement'!$E$11:$AI$11,J$10)</f>
        <v/>
      </c>
      <c r="K28" s="305">
        <f>SUMIFS('Cash Flow Statement'!$E$21:$AI$21,'Cash Flow Statement'!$E$11:$AI$11,K$10)</f>
        <v/>
      </c>
    </row>
    <row r="29" ht="12.75" customHeight="1">
      <c r="C29" s="143" t="inlineStr">
        <is>
          <t>Divestitures</t>
        </is>
      </c>
      <c r="D29" s="52">
        <f>SUMIFS('Cash Flow Statement'!$E$22:$AI$22,'Cash Flow Statement'!$E$11:$AI$11,D$10)</f>
        <v/>
      </c>
      <c r="E29" s="52">
        <f>SUMIFS('Cash Flow Statement'!$E$22:$AI$22,'Cash Flow Statement'!$E$11:$AI$11,E$10)</f>
        <v/>
      </c>
      <c r="F29" s="52">
        <f>SUMIFS('Cash Flow Statement'!$E$22:$AI$22,'Cash Flow Statement'!$E$11:$AI$11,F$10)</f>
        <v/>
      </c>
      <c r="G29" s="52">
        <f>SUMIFS('Cash Flow Statement'!$E$22:$AI$22,'Cash Flow Statement'!$E$11:$AI$11,G$10)</f>
        <v/>
      </c>
      <c r="H29" s="52">
        <f>SUMIFS('Cash Flow Statement'!$E$22:$AI$22,'Cash Flow Statement'!$E$11:$AI$11,H$10)</f>
        <v/>
      </c>
      <c r="I29" s="322">
        <f>SUMIFS('Cash Flow Statement'!$E$22:$AI$22,'Cash Flow Statement'!$E$11:$AI$11,I$10)</f>
        <v/>
      </c>
      <c r="J29" s="157">
        <f>SUMIFS('Cash Flow Statement'!$E$22:$AI$22,'Cash Flow Statement'!$E$11:$AI$11,J$10)</f>
        <v/>
      </c>
      <c r="K29" s="305">
        <f>SUMIFS('Cash Flow Statement'!$E$22:$AI$22,'Cash Flow Statement'!$E$11:$AI$11,K$10)</f>
        <v/>
      </c>
    </row>
    <row r="30" ht="12.75" customHeight="1">
      <c r="C30" s="143" t="inlineStr">
        <is>
          <t>PARC donation</t>
        </is>
      </c>
      <c r="D30" s="52">
        <f>SUMIFS('Cash Flow Statement'!$E$23:$AI$23,'Cash Flow Statement'!$E$11:$AI$11,D$10)</f>
        <v/>
      </c>
      <c r="E30" s="52">
        <f>SUMIFS('Cash Flow Statement'!$E$23:$AI$23,'Cash Flow Statement'!$E$11:$AI$11,E$10)</f>
        <v/>
      </c>
      <c r="F30" s="52">
        <f>SUMIFS('Cash Flow Statement'!$E$23:$AI$23,'Cash Flow Statement'!$E$11:$AI$11,F$10)</f>
        <v/>
      </c>
      <c r="G30" s="52">
        <f>SUMIFS('Cash Flow Statement'!$E$23:$AI$23,'Cash Flow Statement'!$E$11:$AI$11,G$10)</f>
        <v/>
      </c>
      <c r="H30" s="52">
        <f>SUMIFS('Cash Flow Statement'!$E$23:$AI$23,'Cash Flow Statement'!$E$11:$AI$11,H$10)</f>
        <v/>
      </c>
      <c r="I30" s="322">
        <f>SUMIFS('Cash Flow Statement'!$E$23:$AI$23,'Cash Flow Statement'!$E$11:$AI$11,I$10)</f>
        <v/>
      </c>
      <c r="J30" s="157">
        <f>SUMIFS('Cash Flow Statement'!$E$23:$AI$23,'Cash Flow Statement'!$E$11:$AI$11,J$10)</f>
        <v/>
      </c>
      <c r="K30" s="305">
        <f>SUMIFS('Cash Flow Statement'!$E$23:$AI$23,'Cash Flow Statement'!$E$11:$AI$11,K$10)</f>
        <v/>
      </c>
    </row>
    <row r="31" ht="12.75" customHeight="1">
      <c r="C31" s="143" t="inlineStr">
        <is>
          <t>Other operating, net</t>
        </is>
      </c>
      <c r="D31" s="52">
        <f>SUMIFS('Cash Flow Statement'!$E$41:$AI$41,'Cash Flow Statement'!$E$11:$AI$11,D$10)</f>
        <v/>
      </c>
      <c r="E31" s="52">
        <f>SUMIFS('Cash Flow Statement'!$E$41:$AI$41,'Cash Flow Statement'!$E$11:$AI$11,E$10)</f>
        <v/>
      </c>
      <c r="F31" s="52">
        <f>SUMIFS('Cash Flow Statement'!$E$41:$AI$41,'Cash Flow Statement'!$E$11:$AI$11,F$10)</f>
        <v/>
      </c>
      <c r="G31" s="52">
        <f>SUMIFS('Cash Flow Statement'!$E$41:$AI$41,'Cash Flow Statement'!$E$11:$AI$11,G$10)</f>
        <v/>
      </c>
      <c r="H31" s="52">
        <f>SUMIFS('Cash Flow Statement'!$E$41:$AI$41,'Cash Flow Statement'!$E$11:$AI$11,H$10)</f>
        <v/>
      </c>
      <c r="I31" s="322">
        <f>SUMIFS('Cash Flow Statement'!$E$41:$AI$41,'Cash Flow Statement'!$E$11:$AI$11,I$10)</f>
        <v/>
      </c>
      <c r="J31" s="157">
        <f>SUMIFS('Cash Flow Statement'!$E$41:$AI$41,'Cash Flow Statement'!$E$11:$AI$11,J$10)</f>
        <v/>
      </c>
      <c r="K31" s="305">
        <f>SUMIFS('Cash Flow Statement'!$E$41:$AI$41,'Cash Flow Statement'!$E$11:$AI$11,K$10)</f>
        <v/>
      </c>
    </row>
    <row r="32" ht="12.75" customHeight="1" thickBot="1">
      <c r="C32" s="296" t="inlineStr">
        <is>
          <t>Cash Flow from Operations</t>
        </is>
      </c>
      <c r="D32" s="297">
        <f>SUM(D12:D23)</f>
        <v/>
      </c>
      <c r="E32" s="297">
        <f>SUM(E12:E23)</f>
        <v/>
      </c>
      <c r="F32" s="297">
        <f>SUM(F12:F23)</f>
        <v/>
      </c>
      <c r="G32" s="297">
        <f>SUM(G12:G23)</f>
        <v/>
      </c>
      <c r="H32" s="297">
        <f>SUM(H12:H23)</f>
        <v/>
      </c>
      <c r="I32" s="323">
        <f>SUM(I12:I23)</f>
        <v/>
      </c>
      <c r="J32" s="297">
        <f>SUM(J12:J23)</f>
        <v/>
      </c>
      <c r="K32" s="306">
        <f>SUM(K12:K23)</f>
        <v/>
      </c>
    </row>
    <row r="33" hidden="1" ht="12.75" customHeight="1">
      <c r="C33" s="149" t="inlineStr">
        <is>
          <t>CFO</t>
        </is>
      </c>
      <c r="D33" s="158">
        <f>SUMIFS('Cash Flow Statement'!$E$43:$AI$43,'Cash Flow Statement'!$E$11:$AI$11,D$10)</f>
        <v/>
      </c>
      <c r="E33" s="158">
        <f>SUMIFS('Cash Flow Statement'!$E$43:$AI$43,'Cash Flow Statement'!$E$11:$AI$11,E$10)</f>
        <v/>
      </c>
      <c r="F33" s="158">
        <f>SUMIFS('Cash Flow Statement'!$E$43:$AI$43,'Cash Flow Statement'!$E$11:$AI$11,F$10)</f>
        <v/>
      </c>
      <c r="G33" s="158">
        <f>SUMIFS('Cash Flow Statement'!$E$43:$AI$43,'Cash Flow Statement'!$E$11:$AI$11,G$10)</f>
        <v/>
      </c>
      <c r="H33" s="158">
        <f>SUMIFS('Cash Flow Statement'!$E$43:$AI$43,'Cash Flow Statement'!$E$11:$AI$11,H$10)</f>
        <v/>
      </c>
      <c r="I33" s="324">
        <f>SUMIFS('Cash Flow Statement'!$E$43:$AI$43,'Cash Flow Statement'!$E$11:$AI$11,I$10)</f>
        <v/>
      </c>
      <c r="J33" s="159">
        <f>SUMIFS('Cash Flow Statement'!$E$43:$AI$43,'Cash Flow Statement'!$E$11:$AI$11,J$10)</f>
        <v/>
      </c>
      <c r="K33" s="307">
        <f>SUMIFS('Cash Flow Statement'!$E$43:$AI$43,'Cash Flow Statement'!$E$11:$AI$11,K$10)</f>
        <v/>
      </c>
    </row>
    <row r="34" hidden="1" ht="12.75" customHeight="1">
      <c r="C34" s="149" t="inlineStr">
        <is>
          <t>Check</t>
        </is>
      </c>
      <c r="D34" s="60">
        <f>D32-D33</f>
        <v/>
      </c>
      <c r="E34" s="60">
        <f>E32-E33</f>
        <v/>
      </c>
      <c r="F34" s="60">
        <f>F32-F33</f>
        <v/>
      </c>
      <c r="G34" s="60">
        <f>G32-G33</f>
        <v/>
      </c>
      <c r="H34" s="60">
        <f>H32-H33</f>
        <v/>
      </c>
      <c r="I34" s="325">
        <f>I32-I33</f>
        <v/>
      </c>
      <c r="J34" s="160">
        <f>J32-J33</f>
        <v/>
      </c>
      <c r="K34" s="308">
        <f>K32-K33</f>
        <v/>
      </c>
    </row>
    <row r="35" ht="4.5" customHeight="1">
      <c r="I35" s="320" t="n"/>
      <c r="J35" s="203" t="n"/>
      <c r="K35" s="303" t="n"/>
    </row>
    <row r="36" ht="12.75" customHeight="1">
      <c r="C36" s="143" t="inlineStr">
        <is>
          <t>Capital expenditures</t>
        </is>
      </c>
      <c r="D36" s="49">
        <f>SUMIFS('Cash Flow Statement'!$E$49:$AI$49,'Cash Flow Statement'!$E$11:$AI$11,D$10)</f>
        <v/>
      </c>
      <c r="E36" s="49">
        <f>SUMIFS('Cash Flow Statement'!$E$49:$AI$49,'Cash Flow Statement'!$E$11:$AI$11,E$10)</f>
        <v/>
      </c>
      <c r="F36" s="49">
        <f>SUMIFS('Cash Flow Statement'!$E$49:$AI$49,'Cash Flow Statement'!$E$11:$AI$11,F$10)</f>
        <v/>
      </c>
      <c r="G36" s="49">
        <f>SUMIFS('Cash Flow Statement'!$E$49:$AI$49,'Cash Flow Statement'!$E$11:$AI$11,G$10)</f>
        <v/>
      </c>
      <c r="H36" s="49">
        <f>SUMIFS('Cash Flow Statement'!$E$49:$AI$49,'Cash Flow Statement'!$E$11:$AI$11,H$10)</f>
        <v/>
      </c>
      <c r="I36" s="326">
        <f>SUMIFS('Cash Flow Statement'!$E$49:$AI$49,'Cash Flow Statement'!$E$11:$AI$11,I$10)</f>
        <v/>
      </c>
      <c r="J36" s="161">
        <f>SUMIFS('Cash Flow Statement'!$E$49:$AI$49,'Cash Flow Statement'!$E$11:$AI$11,J$10)</f>
        <v/>
      </c>
      <c r="K36" s="309">
        <f>SUMIFS('Cash Flow Statement'!$E$49:$AI$49,'Cash Flow Statement'!$E$11:$AI$11,K$10)</f>
        <v/>
      </c>
    </row>
    <row r="37" ht="12.75" customHeight="1">
      <c r="C37" s="143" t="inlineStr">
        <is>
          <t>Acquisitions, net of cash acquired</t>
        </is>
      </c>
      <c r="D37" s="52">
        <f>SUMIFS('Cash Flow Statement'!$E$51:$AI$51,'Cash Flow Statement'!$E$11:$AI$11,D$10)</f>
        <v/>
      </c>
      <c r="E37" s="52">
        <f>SUMIFS('Cash Flow Statement'!$E$51:$AI$51,'Cash Flow Statement'!$E$11:$AI$11,E$10)</f>
        <v/>
      </c>
      <c r="F37" s="52">
        <f>SUMIFS('Cash Flow Statement'!$E$51:$AI$51,'Cash Flow Statement'!$E$11:$AI$11,F$10)</f>
        <v/>
      </c>
      <c r="G37" s="52">
        <f>SUMIFS('Cash Flow Statement'!$E$51:$AI$51,'Cash Flow Statement'!$E$11:$AI$11,G$10)</f>
        <v/>
      </c>
      <c r="H37" s="52">
        <f>SUMIFS('Cash Flow Statement'!$E$51:$AI$51,'Cash Flow Statement'!$E$11:$AI$11,H$10)</f>
        <v/>
      </c>
      <c r="I37" s="322">
        <f>SUMIFS('Cash Flow Statement'!$E$51:$AI$51,'Cash Flow Statement'!$E$11:$AI$11,I$10)</f>
        <v/>
      </c>
      <c r="J37" s="157">
        <f>SUMIFS('Cash Flow Statement'!$E$51:$AI$51,'Cash Flow Statement'!$E$11:$AI$11,J$10)</f>
        <v/>
      </c>
      <c r="K37" s="305">
        <f>SUMIFS('Cash Flow Statement'!$E$51:$AI$51,'Cash Flow Statement'!$E$11:$AI$11,K$10)</f>
        <v/>
      </c>
    </row>
    <row r="38" ht="12.75" customHeight="1">
      <c r="C38" s="143" t="inlineStr">
        <is>
          <t>Proceeds from sales of businesses and assets</t>
        </is>
      </c>
      <c r="D38" s="52">
        <f>SUMIFS('Cash Flow Statement'!$E$50:$AI$50,'Cash Flow Statement'!$E$11:$AI$11,D$10)</f>
        <v/>
      </c>
      <c r="E38" s="52">
        <f>SUMIFS('Cash Flow Statement'!$E$50:$AI$50,'Cash Flow Statement'!$E$11:$AI$11,E$10)</f>
        <v/>
      </c>
      <c r="F38" s="52">
        <f>SUMIFS('Cash Flow Statement'!$E$50:$AI$50,'Cash Flow Statement'!$E$11:$AI$11,F$10)</f>
        <v/>
      </c>
      <c r="G38" s="52">
        <f>SUMIFS('Cash Flow Statement'!$E$50:$AI$50,'Cash Flow Statement'!$E$11:$AI$11,G$10)</f>
        <v/>
      </c>
      <c r="H38" s="52">
        <f>SUMIFS('Cash Flow Statement'!$E$50:$AI$50,'Cash Flow Statement'!$E$11:$AI$11,H$10)</f>
        <v/>
      </c>
      <c r="I38" s="322">
        <f>SUMIFS('Cash Flow Statement'!$E$50:$AI$50,'Cash Flow Statement'!$E$11:$AI$11,I$10)</f>
        <v/>
      </c>
      <c r="J38" s="157">
        <f>SUMIFS('Cash Flow Statement'!$E$50:$AI$50,'Cash Flow Statement'!$E$11:$AI$11,J$10)</f>
        <v/>
      </c>
      <c r="K38" s="305">
        <f>SUMIFS('Cash Flow Statement'!$E$50:$AI$50,'Cash Flow Statement'!$E$11:$AI$11,K$10)</f>
        <v/>
      </c>
    </row>
    <row r="39" ht="12.75" customHeight="1">
      <c r="C39" s="143" t="inlineStr">
        <is>
          <t>Other investing activities</t>
        </is>
      </c>
      <c r="D39" s="52">
        <f>SUM(D40:D40)</f>
        <v/>
      </c>
      <c r="E39" s="52">
        <f>SUM(E40:E40)</f>
        <v/>
      </c>
      <c r="F39" s="52">
        <f>SUM(F40:F40)</f>
        <v/>
      </c>
      <c r="G39" s="52">
        <f>SUM(G40:G40)</f>
        <v/>
      </c>
      <c r="H39" s="52">
        <f>SUM(H40:H40)</f>
        <v/>
      </c>
      <c r="I39" s="322">
        <f>SUM(I40:I40)</f>
        <v/>
      </c>
      <c r="J39" s="157">
        <f>SUM(J40:J40)</f>
        <v/>
      </c>
      <c r="K39" s="305">
        <f>SUM(K40:K40)</f>
        <v/>
      </c>
    </row>
    <row r="40" ht="12.75" customHeight="1">
      <c r="C40" s="143" t="inlineStr">
        <is>
          <t>Other investing, net</t>
        </is>
      </c>
      <c r="D40" s="52">
        <f>SUMIFS('Cash Flow Statement'!$E$52:$AI$52,'Cash Flow Statement'!$E$11:$AI$11,D$10)</f>
        <v/>
      </c>
      <c r="E40" s="52">
        <f>SUMIFS('Cash Flow Statement'!$E$52:$AI$52,'Cash Flow Statement'!$E$11:$AI$11,E$10)</f>
        <v/>
      </c>
      <c r="F40" s="52">
        <f>SUMIFS('Cash Flow Statement'!$E$52:$AI$52,'Cash Flow Statement'!$E$11:$AI$11,F$10)</f>
        <v/>
      </c>
      <c r="G40" s="52">
        <f>SUMIFS('Cash Flow Statement'!$E$52:$AI$52,'Cash Flow Statement'!$E$11:$AI$11,G$10)</f>
        <v/>
      </c>
      <c r="H40" s="52">
        <f>SUMIFS('Cash Flow Statement'!$E$52:$AI$52,'Cash Flow Statement'!$E$11:$AI$11,H$10)</f>
        <v/>
      </c>
      <c r="I40" s="322">
        <f>SUMIFS('Cash Flow Statement'!$E$52:$AI$52,'Cash Flow Statement'!$E$11:$AI$11,I$10)</f>
        <v/>
      </c>
      <c r="J40" s="157">
        <f>SUMIFS('Cash Flow Statement'!$E$52:$AI$52,'Cash Flow Statement'!$E$11:$AI$11,J$10)</f>
        <v/>
      </c>
      <c r="K40" s="305">
        <f>SUMIFS('Cash Flow Statement'!$E$52:$AI$52,'Cash Flow Statement'!$E$11:$AI$11,K$10)</f>
        <v/>
      </c>
    </row>
    <row r="41" ht="12.75" customHeight="1" thickBot="1">
      <c r="C41" s="296" t="inlineStr">
        <is>
          <t>Cash Flow from Investing</t>
        </is>
      </c>
      <c r="D41" s="297">
        <f>SUM(D36:D39)</f>
        <v/>
      </c>
      <c r="E41" s="297">
        <f>SUM(E36:E39)</f>
        <v/>
      </c>
      <c r="F41" s="297">
        <f>SUM(F36:F39)</f>
        <v/>
      </c>
      <c r="G41" s="297">
        <f>SUM(G36:G39)</f>
        <v/>
      </c>
      <c r="H41" s="297">
        <f>SUM(H36:H39)</f>
        <v/>
      </c>
      <c r="I41" s="323">
        <f>SUM(I36:I39)</f>
        <v/>
      </c>
      <c r="J41" s="297">
        <f>SUM(J36:J39)</f>
        <v/>
      </c>
      <c r="K41" s="306">
        <f>SUM(K36:K39)</f>
        <v/>
      </c>
    </row>
    <row r="42" hidden="1" ht="12.75" customHeight="1">
      <c r="C42" s="149" t="inlineStr">
        <is>
          <t>CFI</t>
        </is>
      </c>
      <c r="D42" s="158">
        <f>SUMIFS('Cash Flow Statement'!$E$54:$AI$54,'Cash Flow Statement'!$E$11:$AI$11,D$10)</f>
        <v/>
      </c>
      <c r="E42" s="158">
        <f>SUMIFS('Cash Flow Statement'!$E$54:$AI$54,'Cash Flow Statement'!$E$11:$AI$11,E$10)</f>
        <v/>
      </c>
      <c r="F42" s="158">
        <f>SUMIFS('Cash Flow Statement'!$E$54:$AI$54,'Cash Flow Statement'!$E$11:$AI$11,F$10)</f>
        <v/>
      </c>
      <c r="G42" s="158">
        <f>SUMIFS('Cash Flow Statement'!$E$54:$AI$54,'Cash Flow Statement'!$E$11:$AI$11,G$10)</f>
        <v/>
      </c>
      <c r="H42" s="158">
        <f>SUMIFS('Cash Flow Statement'!$E$54:$AI$54,'Cash Flow Statement'!$E$11:$AI$11,H$10)</f>
        <v/>
      </c>
      <c r="I42" s="324">
        <f>SUMIFS('Cash Flow Statement'!$E$54:$AI$54,'Cash Flow Statement'!$E$11:$AI$11,I$10)</f>
        <v/>
      </c>
      <c r="J42" s="159">
        <f>SUMIFS('Cash Flow Statement'!$E$54:$AI$54,'Cash Flow Statement'!$E$11:$AI$11,J$10)</f>
        <v/>
      </c>
      <c r="K42" s="307">
        <f>SUMIFS('Cash Flow Statement'!$E$54:$AI$54,'Cash Flow Statement'!$E$11:$AI$11,K$10)</f>
        <v/>
      </c>
    </row>
    <row r="43" hidden="1" ht="12.75" customHeight="1">
      <c r="C43" s="149" t="inlineStr">
        <is>
          <t>Check</t>
        </is>
      </c>
      <c r="D43" s="60">
        <f>D41-D42</f>
        <v/>
      </c>
      <c r="E43" s="60">
        <f>E41-E42</f>
        <v/>
      </c>
      <c r="F43" s="60">
        <f>F41-F42</f>
        <v/>
      </c>
      <c r="G43" s="60">
        <f>G41-G42</f>
        <v/>
      </c>
      <c r="H43" s="60">
        <f>H41-H42</f>
        <v/>
      </c>
      <c r="I43" s="325">
        <f>I41-I42</f>
        <v/>
      </c>
      <c r="J43" s="160">
        <f>J41-J42</f>
        <v/>
      </c>
      <c r="K43" s="308">
        <f>K41-K42</f>
        <v/>
      </c>
    </row>
    <row r="44" ht="4.5" customHeight="1">
      <c r="I44" s="320" t="n"/>
      <c r="J44" s="203" t="n"/>
      <c r="K44" s="303" t="n"/>
    </row>
    <row r="45" ht="12.75" customHeight="1">
      <c r="C45" s="143" t="inlineStr">
        <is>
          <t>Proceeds from issuance of long-term debt</t>
        </is>
      </c>
      <c r="D45" s="49">
        <f>SUMIFS('Cash Flow Statement'!$E$59:$AI$59,'Cash Flow Statement'!$E$11:$AI$11,D$10)</f>
        <v/>
      </c>
      <c r="E45" s="49">
        <f>SUMIFS('Cash Flow Statement'!$E$59:$AI$59,'Cash Flow Statement'!$E$11:$AI$11,E$10)</f>
        <v/>
      </c>
      <c r="F45" s="49">
        <f>SUMIFS('Cash Flow Statement'!$E$59:$AI$59,'Cash Flow Statement'!$E$11:$AI$11,F$10)</f>
        <v/>
      </c>
      <c r="G45" s="49">
        <f>SUMIFS('Cash Flow Statement'!$E$59:$AI$59,'Cash Flow Statement'!$E$11:$AI$11,G$10)</f>
        <v/>
      </c>
      <c r="H45" s="49">
        <f>SUMIFS('Cash Flow Statement'!$E$59:$AI$59,'Cash Flow Statement'!$E$11:$AI$11,H$10)</f>
        <v/>
      </c>
      <c r="I45" s="326">
        <f>SUMIFS('Cash Flow Statement'!$E$59:$AI$59,'Cash Flow Statement'!$E$11:$AI$11,I$10)</f>
        <v/>
      </c>
      <c r="J45" s="161">
        <f>SUMIFS('Cash Flow Statement'!$E$59:$AI$59,'Cash Flow Statement'!$E$11:$AI$11,J$10)</f>
        <v/>
      </c>
      <c r="K45" s="309">
        <f>SUMIFS('Cash Flow Statement'!$E$59:$AI$59,'Cash Flow Statement'!$E$11:$AI$11,K$10)</f>
        <v/>
      </c>
    </row>
    <row r="46" ht="12.75" customHeight="1">
      <c r="C46" s="143" t="inlineStr">
        <is>
          <t>Payments on long-term debt</t>
        </is>
      </c>
      <c r="D46" s="52">
        <f>SUMIFS('Cash Flow Statement'!$E$60:$AI$60,'Cash Flow Statement'!$E$11:$AI$11,D$10)</f>
        <v/>
      </c>
      <c r="E46" s="52">
        <f>SUMIFS('Cash Flow Statement'!$E$60:$AI$60,'Cash Flow Statement'!$E$11:$AI$11,E$10)</f>
        <v/>
      </c>
      <c r="F46" s="52">
        <f>SUMIFS('Cash Flow Statement'!$E$60:$AI$60,'Cash Flow Statement'!$E$11:$AI$11,F$10)</f>
        <v/>
      </c>
      <c r="G46" s="52">
        <f>SUMIFS('Cash Flow Statement'!$E$60:$AI$60,'Cash Flow Statement'!$E$11:$AI$11,G$10)</f>
        <v/>
      </c>
      <c r="H46" s="52">
        <f>SUMIFS('Cash Flow Statement'!$E$60:$AI$60,'Cash Flow Statement'!$E$11:$AI$11,H$10)</f>
        <v/>
      </c>
      <c r="I46" s="322">
        <f>SUMIFS('Cash Flow Statement'!$E$60:$AI$60,'Cash Flow Statement'!$E$11:$AI$11,I$10)</f>
        <v/>
      </c>
      <c r="J46" s="157">
        <f>SUMIFS('Cash Flow Statement'!$E$60:$AI$60,'Cash Flow Statement'!$E$11:$AI$11,J$10)</f>
        <v/>
      </c>
      <c r="K46" s="305">
        <f>SUMIFS('Cash Flow Statement'!$E$60:$AI$60,'Cash Flow Statement'!$E$11:$AI$11,K$10)</f>
        <v/>
      </c>
    </row>
    <row r="47" ht="12.75" customHeight="1">
      <c r="C47" s="143" t="inlineStr">
        <is>
          <t>Net proceeds (payments) on short-term debt</t>
        </is>
      </c>
      <c r="D47" s="52">
        <f>SUMIFS('Cash Flow Statement'!$E$58:$AI$58,'Cash Flow Statement'!$E$11:$AI$11,D$10)</f>
        <v/>
      </c>
      <c r="E47" s="52">
        <f>SUMIFS('Cash Flow Statement'!$E$58:$AI$58,'Cash Flow Statement'!$E$11:$AI$11,E$10)</f>
        <v/>
      </c>
      <c r="F47" s="52">
        <f>SUMIFS('Cash Flow Statement'!$E$58:$AI$58,'Cash Flow Statement'!$E$11:$AI$11,F$10)</f>
        <v/>
      </c>
      <c r="G47" s="52">
        <f>SUMIFS('Cash Flow Statement'!$E$58:$AI$58,'Cash Flow Statement'!$E$11:$AI$11,G$10)</f>
        <v/>
      </c>
      <c r="H47" s="52">
        <f>SUMIFS('Cash Flow Statement'!$E$58:$AI$58,'Cash Flow Statement'!$E$11:$AI$11,H$10)</f>
        <v/>
      </c>
      <c r="I47" s="322">
        <f>SUMIFS('Cash Flow Statement'!$E$58:$AI$58,'Cash Flow Statement'!$E$11:$AI$11,I$10)</f>
        <v/>
      </c>
      <c r="J47" s="157">
        <f>SUMIFS('Cash Flow Statement'!$E$58:$AI$58,'Cash Flow Statement'!$E$11:$AI$11,J$10)</f>
        <v/>
      </c>
      <c r="K47" s="305">
        <f>SUMIFS('Cash Flow Statement'!$E$58:$AI$58,'Cash Flow Statement'!$E$11:$AI$11,K$10)</f>
        <v/>
      </c>
    </row>
    <row r="48" ht="12.75" customHeight="1">
      <c r="C48" s="143" t="inlineStr">
        <is>
          <t>Dividends</t>
        </is>
      </c>
      <c r="D48" s="52">
        <f>SUMIFS('Cash Flow Statement'!$E$63:$AI$63,'Cash Flow Statement'!$E$11:$AI$11,D$10)</f>
        <v/>
      </c>
      <c r="E48" s="52">
        <f>SUMIFS('Cash Flow Statement'!$E$63:$AI$63,'Cash Flow Statement'!$E$11:$AI$11,E$10)</f>
        <v/>
      </c>
      <c r="F48" s="52">
        <f>SUMIFS('Cash Flow Statement'!$E$63:$AI$63,'Cash Flow Statement'!$E$11:$AI$11,F$10)</f>
        <v/>
      </c>
      <c r="G48" s="52">
        <f>SUMIFS('Cash Flow Statement'!$E$63:$AI$63,'Cash Flow Statement'!$E$11:$AI$11,G$10)</f>
        <v/>
      </c>
      <c r="H48" s="52">
        <f>SUMIFS('Cash Flow Statement'!$E$63:$AI$63,'Cash Flow Statement'!$E$11:$AI$11,H$10)</f>
        <v/>
      </c>
      <c r="I48" s="322">
        <f>SUMIFS('Cash Flow Statement'!$E$63:$AI$63,'Cash Flow Statement'!$E$11:$AI$11,I$10)</f>
        <v/>
      </c>
      <c r="J48" s="157">
        <f>SUMIFS('Cash Flow Statement'!$E$63:$AI$63,'Cash Flow Statement'!$E$11:$AI$11,J$10)</f>
        <v/>
      </c>
      <c r="K48" s="305">
        <f>SUMIFS('Cash Flow Statement'!$E$63:$AI$63,'Cash Flow Statement'!$E$11:$AI$11,K$10)</f>
        <v/>
      </c>
    </row>
    <row r="49" ht="12.75" customHeight="1">
      <c r="C49" s="143" t="inlineStr">
        <is>
          <t>Share repurchases (treasury stock, incl. fees)</t>
        </is>
      </c>
      <c r="D49" s="52">
        <f>SUMIFS('Cash Flow Statement'!$E$64:$AI$64,'Cash Flow Statement'!$E$11:$AI$11,D$10)</f>
        <v/>
      </c>
      <c r="E49" s="52">
        <f>SUMIFS('Cash Flow Statement'!$E$64:$AI$64,'Cash Flow Statement'!$E$11:$AI$11,E$10)</f>
        <v/>
      </c>
      <c r="F49" s="52">
        <f>SUMIFS('Cash Flow Statement'!$E$64:$AI$64,'Cash Flow Statement'!$E$11:$AI$11,F$10)</f>
        <v/>
      </c>
      <c r="G49" s="52">
        <f>SUMIFS('Cash Flow Statement'!$E$64:$AI$64,'Cash Flow Statement'!$E$11:$AI$11,G$10)</f>
        <v/>
      </c>
      <c r="H49" s="52">
        <f>SUMIFS('Cash Flow Statement'!$E$64:$AI$64,'Cash Flow Statement'!$E$11:$AI$11,H$10)</f>
        <v/>
      </c>
      <c r="I49" s="322">
        <f>SUMIFS('Cash Flow Statement'!$E$64:$AI$64,'Cash Flow Statement'!$E$11:$AI$11,I$10)</f>
        <v/>
      </c>
      <c r="J49" s="157">
        <f>SUMIFS('Cash Flow Statement'!$E$64:$AI$64,'Cash Flow Statement'!$E$11:$AI$11,J$10)</f>
        <v/>
      </c>
      <c r="K49" s="305">
        <f>SUMIFS('Cash Flow Statement'!$E$64:$AI$64,'Cash Flow Statement'!$E$11:$AI$11,K$10)</f>
        <v/>
      </c>
    </row>
    <row r="50" ht="12.75" customHeight="1">
      <c r="C50" s="143" t="inlineStr">
        <is>
          <t>Other financing activities</t>
        </is>
      </c>
      <c r="D50" s="52">
        <f>SUM(D51:D53)</f>
        <v/>
      </c>
      <c r="E50" s="52">
        <f>SUM(E51:E53)</f>
        <v/>
      </c>
      <c r="F50" s="52">
        <f>SUM(F51:F53)</f>
        <v/>
      </c>
      <c r="G50" s="52">
        <f>SUM(G51:G53)</f>
        <v/>
      </c>
      <c r="H50" s="52">
        <f>SUM(H51:H53)</f>
        <v/>
      </c>
      <c r="I50" s="322">
        <f>SUM(I51:I53)</f>
        <v/>
      </c>
      <c r="J50" s="157">
        <f>SUM(J51:J53)</f>
        <v/>
      </c>
      <c r="K50" s="305">
        <f>SUM(K51:K53)</f>
        <v/>
      </c>
    </row>
    <row r="51" ht="12.75" customHeight="1">
      <c r="C51" s="143" t="inlineStr">
        <is>
          <t>Tariff receivables monetization</t>
        </is>
      </c>
      <c r="D51" s="52">
        <f>SUMIFS('Cash Flow Statement'!$E$61:$AI$61,'Cash Flow Statement'!$E$11:$AI$11,D$10)</f>
        <v/>
      </c>
      <c r="E51" s="52">
        <f>SUMIFS('Cash Flow Statement'!$E$61:$AI$61,'Cash Flow Statement'!$E$11:$AI$11,E$10)</f>
        <v/>
      </c>
      <c r="F51" s="52">
        <f>SUMIFS('Cash Flow Statement'!$E$61:$AI$61,'Cash Flow Statement'!$E$11:$AI$11,F$10)</f>
        <v/>
      </c>
      <c r="G51" s="52">
        <f>SUMIFS('Cash Flow Statement'!$E$61:$AI$61,'Cash Flow Statement'!$E$11:$AI$11,G$10)</f>
        <v/>
      </c>
      <c r="H51" s="52">
        <f>SUMIFS('Cash Flow Statement'!$E$61:$AI$61,'Cash Flow Statement'!$E$11:$AI$11,H$10)</f>
        <v/>
      </c>
      <c r="I51" s="322">
        <f>SUMIFS('Cash Flow Statement'!$E$61:$AI$61,'Cash Flow Statement'!$E$11:$AI$11,I$10)</f>
        <v/>
      </c>
      <c r="J51" s="157">
        <f>SUMIFS('Cash Flow Statement'!$E$61:$AI$61,'Cash Flow Statement'!$E$11:$AI$11,J$10)</f>
        <v/>
      </c>
      <c r="K51" s="305">
        <f>SUMIFS('Cash Flow Statement'!$E$61:$AI$61,'Cash Flow Statement'!$E$11:$AI$11,K$10)</f>
        <v/>
      </c>
    </row>
    <row r="52" ht="12.75" customHeight="1">
      <c r="C52" s="143" t="inlineStr">
        <is>
          <t>Purchases of capped calls</t>
        </is>
      </c>
      <c r="D52" s="52">
        <f>SUMIFS('Cash Flow Statement'!$E$62:$AI$62,'Cash Flow Statement'!$E$11:$AI$11,D$10)</f>
        <v/>
      </c>
      <c r="E52" s="52">
        <f>SUMIFS('Cash Flow Statement'!$E$62:$AI$62,'Cash Flow Statement'!$E$11:$AI$11,E$10)</f>
        <v/>
      </c>
      <c r="F52" s="52">
        <f>SUMIFS('Cash Flow Statement'!$E$62:$AI$62,'Cash Flow Statement'!$E$11:$AI$11,F$10)</f>
        <v/>
      </c>
      <c r="G52" s="52">
        <f>SUMIFS('Cash Flow Statement'!$E$62:$AI$62,'Cash Flow Statement'!$E$11:$AI$11,G$10)</f>
        <v/>
      </c>
      <c r="H52" s="52">
        <f>SUMIFS('Cash Flow Statement'!$E$62:$AI$62,'Cash Flow Statement'!$E$11:$AI$11,H$10)</f>
        <v/>
      </c>
      <c r="I52" s="322">
        <f>SUMIFS('Cash Flow Statement'!$E$62:$AI$62,'Cash Flow Statement'!$E$11:$AI$11,I$10)</f>
        <v/>
      </c>
      <c r="J52" s="157">
        <f>SUMIFS('Cash Flow Statement'!$E$62:$AI$62,'Cash Flow Statement'!$E$11:$AI$11,J$10)</f>
        <v/>
      </c>
      <c r="K52" s="305">
        <f>SUMIFS('Cash Flow Statement'!$E$62:$AI$62,'Cash Flow Statement'!$E$11:$AI$11,K$10)</f>
        <v/>
      </c>
    </row>
    <row r="53" ht="12.75" customHeight="1">
      <c r="C53" s="143" t="inlineStr">
        <is>
          <t>Other financing, net</t>
        </is>
      </c>
      <c r="D53" s="52">
        <f>SUMIFS('Cash Flow Statement'!$E$65:$AI$65,'Cash Flow Statement'!$E$11:$AI$11,D$10)</f>
        <v/>
      </c>
      <c r="E53" s="52">
        <f>SUMIFS('Cash Flow Statement'!$E$65:$AI$65,'Cash Flow Statement'!$E$11:$AI$11,E$10)</f>
        <v/>
      </c>
      <c r="F53" s="52">
        <f>SUMIFS('Cash Flow Statement'!$E$65:$AI$65,'Cash Flow Statement'!$E$11:$AI$11,F$10)</f>
        <v/>
      </c>
      <c r="G53" s="52">
        <f>SUMIFS('Cash Flow Statement'!$E$65:$AI$65,'Cash Flow Statement'!$E$11:$AI$11,G$10)</f>
        <v/>
      </c>
      <c r="H53" s="52">
        <f>SUMIFS('Cash Flow Statement'!$E$65:$AI$65,'Cash Flow Statement'!$E$11:$AI$11,H$10)</f>
        <v/>
      </c>
      <c r="I53" s="322">
        <f>SUMIFS('Cash Flow Statement'!$E$65:$AI$65,'Cash Flow Statement'!$E$11:$AI$11,I$10)</f>
        <v/>
      </c>
      <c r="J53" s="157">
        <f>SUMIFS('Cash Flow Statement'!$E$65:$AI$65,'Cash Flow Statement'!$E$11:$AI$11,J$10)</f>
        <v/>
      </c>
      <c r="K53" s="305">
        <f>SUMIFS('Cash Flow Statement'!$E$65:$AI$65,'Cash Flow Statement'!$E$11:$AI$11,K$10)</f>
        <v/>
      </c>
    </row>
    <row r="54" ht="12.75" customHeight="1" thickBot="1">
      <c r="C54" s="296" t="inlineStr">
        <is>
          <t>Cash Flow from Financing</t>
        </is>
      </c>
      <c r="D54" s="297">
        <f>SUM(D45:D50)</f>
        <v/>
      </c>
      <c r="E54" s="297">
        <f>SUM(E45:E50)</f>
        <v/>
      </c>
      <c r="F54" s="297">
        <f>SUM(F45:F50)</f>
        <v/>
      </c>
      <c r="G54" s="297">
        <f>SUM(G45:G50)</f>
        <v/>
      </c>
      <c r="H54" s="297">
        <f>SUM(H45:H50)</f>
        <v/>
      </c>
      <c r="I54" s="323">
        <f>SUM(I45:I50)</f>
        <v/>
      </c>
      <c r="J54" s="297">
        <f>SUM(J45:J50)</f>
        <v/>
      </c>
      <c r="K54" s="306">
        <f>SUM(K45:K50)</f>
        <v/>
      </c>
    </row>
    <row r="55" hidden="1" ht="12.75" customHeight="1">
      <c r="C55" s="149" t="inlineStr">
        <is>
          <t>CFF</t>
        </is>
      </c>
      <c r="D55" s="158">
        <f>SUMIFS('Cash Flow Statement'!$E$67:$AI$67,'Cash Flow Statement'!$E$11:$AI$11,D$10)</f>
        <v/>
      </c>
      <c r="E55" s="158">
        <f>SUMIFS('Cash Flow Statement'!$E$67:$AI$67,'Cash Flow Statement'!$E$11:$AI$11,E$10)</f>
        <v/>
      </c>
      <c r="F55" s="158">
        <f>SUMIFS('Cash Flow Statement'!$E$67:$AI$67,'Cash Flow Statement'!$E$11:$AI$11,F$10)</f>
        <v/>
      </c>
      <c r="G55" s="158">
        <f>SUMIFS('Cash Flow Statement'!$E$67:$AI$67,'Cash Flow Statement'!$E$11:$AI$11,G$10)</f>
        <v/>
      </c>
      <c r="H55" s="158">
        <f>SUMIFS('Cash Flow Statement'!$E$67:$AI$67,'Cash Flow Statement'!$E$11:$AI$11,H$10)</f>
        <v/>
      </c>
      <c r="I55" s="324">
        <f>SUMIFS('Cash Flow Statement'!$E$67:$AI$67,'Cash Flow Statement'!$E$11:$AI$11,I$10)</f>
        <v/>
      </c>
      <c r="J55" s="159">
        <f>SUMIFS('Cash Flow Statement'!$E$67:$AI$67,'Cash Flow Statement'!$E$11:$AI$11,J$10)</f>
        <v/>
      </c>
      <c r="K55" s="307">
        <f>SUMIFS('Cash Flow Statement'!$E$67:$AI$67,'Cash Flow Statement'!$E$11:$AI$11,K$10)</f>
        <v/>
      </c>
    </row>
    <row r="56" hidden="1" ht="12.75" customHeight="1">
      <c r="C56" s="149" t="inlineStr">
        <is>
          <t>Check</t>
        </is>
      </c>
      <c r="D56" s="60">
        <f>D54-D55</f>
        <v/>
      </c>
      <c r="E56" s="60">
        <f>E54-E55</f>
        <v/>
      </c>
      <c r="F56" s="60">
        <f>F54-F55</f>
        <v/>
      </c>
      <c r="G56" s="60">
        <f>G54-G55</f>
        <v/>
      </c>
      <c r="H56" s="60">
        <f>H54-H55</f>
        <v/>
      </c>
      <c r="I56" s="325">
        <f>I54-I55</f>
        <v/>
      </c>
      <c r="J56" s="160">
        <f>J54-J55</f>
        <v/>
      </c>
      <c r="K56" s="308">
        <f>K54-K55</f>
        <v/>
      </c>
    </row>
    <row r="57" ht="12.75" customHeight="1">
      <c r="C57" s="143" t="inlineStr">
        <is>
          <t>Effect of foreign currency exchange rates on cash</t>
        </is>
      </c>
      <c r="D57" s="52">
        <f>SUMIFS('Cash Flow Statement'!$E$69:$AI$69,'Cash Flow Statement'!$E$11:$AI$11,D$10)</f>
        <v/>
      </c>
      <c r="E57" s="52">
        <f>SUMIFS('Cash Flow Statement'!$E$69:$AI$69,'Cash Flow Statement'!$E$11:$AI$11,E$10)</f>
        <v/>
      </c>
      <c r="F57" s="52">
        <f>SUMIFS('Cash Flow Statement'!$E$69:$AI$69,'Cash Flow Statement'!$E$11:$AI$11,F$10)</f>
        <v/>
      </c>
      <c r="G57" s="52">
        <f>SUMIFS('Cash Flow Statement'!$E$69:$AI$69,'Cash Flow Statement'!$E$11:$AI$11,G$10)</f>
        <v/>
      </c>
      <c r="H57" s="52">
        <f>SUMIFS('Cash Flow Statement'!$E$69:$AI$69,'Cash Flow Statement'!$E$11:$AI$11,H$10)</f>
        <v/>
      </c>
      <c r="I57" s="322">
        <f>SUMIFS('Cash Flow Statement'!$E$69:$AI$69,'Cash Flow Statement'!$E$11:$AI$11,I$10)</f>
        <v/>
      </c>
      <c r="J57" s="157">
        <f>SUMIFS('Cash Flow Statement'!$E$69:$AI$69,'Cash Flow Statement'!$E$11:$AI$11,J$10)</f>
        <v/>
      </c>
      <c r="K57" s="305">
        <f>SUMIFS('Cash Flow Statement'!$E$69:$AI$69,'Cash Flow Statement'!$E$11:$AI$11,K$10)</f>
        <v/>
      </c>
    </row>
    <row r="58" ht="12.75" customHeight="1">
      <c r="C58" s="206" t="inlineStr">
        <is>
          <t>Net increase (decrease) in cash</t>
        </is>
      </c>
      <c r="D58" s="298">
        <f>D32+D41+D54+D57</f>
        <v/>
      </c>
      <c r="E58" s="298">
        <f>E32+E41+E54+E57</f>
        <v/>
      </c>
      <c r="F58" s="298">
        <f>F32+F41+F54+F57</f>
        <v/>
      </c>
      <c r="G58" s="298">
        <f>G32+G41+G54+G57</f>
        <v/>
      </c>
      <c r="H58" s="298">
        <f>H32+H41+H54+H57</f>
        <v/>
      </c>
      <c r="I58" s="327">
        <f>I32+I41+I54+I57</f>
        <v/>
      </c>
      <c r="J58" s="298">
        <f>J32+J41+J54+J57</f>
        <v/>
      </c>
      <c r="K58" s="310">
        <f>K32+K41+K54+K57</f>
        <v/>
      </c>
    </row>
    <row r="59" ht="12.75" customHeight="1">
      <c r="C59" s="214" t="inlineStr">
        <is>
          <t>Cash at beginning of period</t>
        </is>
      </c>
      <c r="D59" s="300">
        <f>SUMIFS('Cash Flow Statement'!$E$73:$AI$73,'Cash Flow Statement'!$E$11:$AI$11,D$10)</f>
        <v/>
      </c>
      <c r="E59" s="300">
        <f>D60</f>
        <v/>
      </c>
      <c r="F59" s="300">
        <f>E60</f>
        <v/>
      </c>
      <c r="G59" s="300">
        <f>F60</f>
        <v/>
      </c>
      <c r="H59" s="300">
        <f>G60</f>
        <v/>
      </c>
      <c r="I59" s="328">
        <f>SUMIFS('Cash Flow Statement'!$E$73:$AI$73,'Cash Flow Statement'!$E$11:$AI$11,I$10)</f>
        <v/>
      </c>
      <c r="J59" s="300">
        <f>SUMIFS('Cash Flow Statement'!$E$73:$AI$73,'Cash Flow Statement'!$E$11:$AI$11,J$10)</f>
        <v/>
      </c>
      <c r="K59" s="311">
        <f>SUMIFS('Cash Flow Statement'!$E$73:$AI$73,'Cash Flow Statement'!$E$11:$AI$11,K$10)</f>
        <v/>
      </c>
    </row>
    <row r="60" ht="12.75" customHeight="1">
      <c r="C60" s="216" t="inlineStr">
        <is>
          <t>Cash at end of period</t>
        </is>
      </c>
      <c r="D60" s="299">
        <f>SUM(D58:D59)</f>
        <v/>
      </c>
      <c r="E60" s="299">
        <f>SUM(E58:E59)</f>
        <v/>
      </c>
      <c r="F60" s="299">
        <f>SUM(F58:F59)</f>
        <v/>
      </c>
      <c r="G60" s="299">
        <f>SUM(G58:G59)</f>
        <v/>
      </c>
      <c r="H60" s="299">
        <f>SUM(H58:H59)</f>
        <v/>
      </c>
      <c r="I60" s="329">
        <f>SUM(I58:I59)</f>
        <v/>
      </c>
      <c r="J60" s="299">
        <f>SUM(J58:J59)</f>
        <v/>
      </c>
      <c r="K60" s="312">
        <f>SUM(K58:K59)</f>
        <v/>
      </c>
    </row>
    <row r="61" ht="4.5" customHeight="1">
      <c r="I61" s="320" t="n"/>
      <c r="J61" s="203" t="n"/>
      <c r="K61" s="303" t="n"/>
    </row>
    <row r="62" ht="12.75" customHeight="1">
      <c r="A62" s="94" t="inlineStr">
        <is>
          <t>x</t>
        </is>
      </c>
      <c r="B62" s="94" t="inlineStr">
        <is>
          <t>x</t>
        </is>
      </c>
      <c r="C62" s="280" t="inlineStr">
        <is>
          <t>Memo: Free Cash Flow</t>
        </is>
      </c>
      <c r="D62" s="281">
        <f>D32+D36</f>
        <v/>
      </c>
      <c r="E62" s="281">
        <f>E32+E36</f>
        <v/>
      </c>
      <c r="F62" s="281">
        <f>F32+F36</f>
        <v/>
      </c>
      <c r="G62" s="281">
        <f>G32+G36</f>
        <v/>
      </c>
      <c r="H62" s="281">
        <f>H32+H36</f>
        <v/>
      </c>
      <c r="I62" s="330">
        <f>I32+I36</f>
        <v/>
      </c>
      <c r="J62" s="281">
        <f>J32+J36</f>
        <v/>
      </c>
      <c r="K62" s="313">
        <f>K32+K36</f>
        <v/>
      </c>
    </row>
    <row r="63" ht="12.75" customHeight="1">
      <c r="A63" s="94" t="inlineStr">
        <is>
          <t>End</t>
        </is>
      </c>
    </row>
    <row r="64" ht="12.75" customHeight="1"/>
    <row r="65" ht="12.75" customHeight="1">
      <c r="C65" s="61" t="n"/>
    </row>
    <row r="66" ht="12.75" customHeight="1"/>
  </sheetData>
  <hyperlinks>
    <hyperlink ref="B1" location="'Cover Page'!A1" display="Return to Cover"/>
  </hyperlinks>
  <pageMargins left="0.75" right="0.75" top="1" bottom="1" header="0.511811023622047" footer="0.511811023622047"/>
  <pageSetup orientation="landscape" scale="74" horizontalDpi="300" verticalDpi="300"/>
</worksheet>
</file>

<file path=xl/worksheets/sheet10.xml><?xml version="1.0" encoding="utf-8"?>
<worksheet xmlns="http://schemas.openxmlformats.org/spreadsheetml/2006/main">
  <sheetPr>
    <tabColor theme="3" tint="0.499984740745262"/>
    <outlinePr summaryBelow="1" summaryRight="1"/>
    <pageSetUpPr/>
  </sheetPr>
  <dimension ref="A1:B1"/>
  <sheetViews>
    <sheetView showGridLines="0" tabSelected="0" view="pageBreakPreview" zoomScale="60" zoomScaleNormal="100" workbookViewId="0">
      <selection activeCell="F18" sqref="F18"/>
    </sheetView>
  </sheetViews>
  <sheetFormatPr baseColWidth="8" defaultRowHeight="14.5"/>
  <cols>
    <col width="24" customWidth="1" min="1" max="1"/>
  </cols>
  <sheetData>
    <row r="1">
      <c r="A1" s="27" t="inlineStr">
        <is>
          <t>Credit Analysis &gt;</t>
        </is>
      </c>
      <c r="B1" s="28">
        <f>'Cover Page'!A1</f>
        <v/>
      </c>
    </row>
  </sheetData>
  <hyperlinks>
    <hyperlink ref="B1" location="'Cover Page'!A1" display="'Cover Page'!A1"/>
  </hyperlinks>
  <pageMargins left="0.75" right="0.75" top="1" bottom="1" header="0.5" footer="0.5"/>
  <pageSetup orientation="portrait" verticalDpi="0"/>
</worksheet>
</file>

<file path=xl/worksheets/sheet11.xml><?xml version="1.0" encoding="utf-8"?>
<worksheet xmlns="http://schemas.openxmlformats.org/spreadsheetml/2006/main">
  <sheetPr>
    <tabColor theme="3" tint="0.499984740745262"/>
    <outlinePr summaryBelow="1" summaryRight="1"/>
    <pageSetUpPr fitToPage="1"/>
  </sheetPr>
  <dimension ref="A1:V54"/>
  <sheetViews>
    <sheetView showGridLines="0" tabSelected="0" view="pageBreakPreview" zoomScaleNormal="81" zoomScaleSheetLayoutView="100" workbookViewId="0">
      <selection activeCell="A1" sqref="A1"/>
    </sheetView>
  </sheetViews>
  <sheetFormatPr baseColWidth="8" defaultColWidth="9.1796875" defaultRowHeight="13"/>
  <cols>
    <col width="1.7265625" customWidth="1" style="273" min="1" max="2"/>
    <col width="26" customWidth="1" style="273" min="3" max="3"/>
    <col width="1.54296875" customWidth="1" style="273" min="4" max="5"/>
    <col width="12.1796875" customWidth="1" style="273" min="6" max="6"/>
    <col width="10.453125" customWidth="1" style="273" min="7" max="10"/>
    <col width="12.1796875" customWidth="1" style="273" min="11" max="11"/>
    <col width="10.453125" customWidth="1" style="273" min="12" max="12"/>
    <col width="10.7265625" customWidth="1" style="273" min="13" max="13"/>
    <col width="26" customWidth="1" style="273" min="14" max="14"/>
    <col width="1.54296875" customWidth="1" style="273" min="15" max="16"/>
    <col width="12.1796875" customWidth="1" style="273" min="17" max="17"/>
    <col width="10.453125" customWidth="1" style="273" min="18" max="21"/>
    <col width="1.7265625" customWidth="1" style="273" min="22" max="22"/>
    <col width="9.1796875" customWidth="1" style="273" min="23" max="23"/>
    <col width="9.1796875" customWidth="1" style="273" min="24" max="16384"/>
  </cols>
  <sheetData>
    <row r="1" ht="12.75" customHeight="1">
      <c r="A1" s="232">
        <f>C3</f>
        <v/>
      </c>
      <c r="B1" s="272">
        <f>'Cover Page'!A1</f>
        <v/>
      </c>
    </row>
    <row r="2" ht="12.75" customHeight="1"/>
    <row r="3" ht="14.25" customHeight="1">
      <c r="C3" s="234" t="inlineStr">
        <is>
          <t>Net Working Capital Analysis</t>
        </is>
      </c>
      <c r="D3" s="235" t="n"/>
      <c r="E3" s="235" t="n"/>
      <c r="F3" s="235" t="n"/>
      <c r="G3" s="235" t="n"/>
      <c r="H3" s="235" t="n"/>
      <c r="I3" s="391" t="n"/>
      <c r="J3" s="391" t="n"/>
      <c r="K3" s="391" t="n"/>
      <c r="L3" s="235" t="n"/>
      <c r="M3" s="235" t="n"/>
      <c r="N3" s="235" t="n"/>
      <c r="O3" s="235" t="n"/>
      <c r="P3" s="235" t="n"/>
      <c r="Q3" s="235" t="n"/>
      <c r="R3" s="235" t="n"/>
      <c r="S3" s="235" t="n"/>
      <c r="T3" s="235" t="n"/>
      <c r="U3" s="236" t="inlineStr">
        <is>
          <t>Xerox Holdings Corporation</t>
        </is>
      </c>
    </row>
    <row r="4" ht="12.75" customHeight="1">
      <c r="C4" s="237" t="inlineStr">
        <is>
          <t>All values in $ millions (USD)</t>
        </is>
      </c>
      <c r="D4" s="372" t="n"/>
      <c r="E4" s="372" t="n"/>
      <c r="F4" s="372" t="n"/>
      <c r="G4" s="372" t="n"/>
      <c r="H4" s="372" t="n"/>
      <c r="I4" s="406" t="n"/>
      <c r="J4" s="284" t="n"/>
      <c r="K4" s="407" t="n"/>
      <c r="L4" s="372" t="n"/>
      <c r="M4" s="372" t="n"/>
      <c r="N4" s="372" t="n"/>
      <c r="O4" s="372" t="n"/>
      <c r="P4" s="372" t="n"/>
      <c r="Q4" s="372" t="n"/>
      <c r="R4" s="372" t="n"/>
      <c r="S4" s="372" t="n"/>
      <c r="T4" s="372" t="n"/>
      <c r="U4" s="373" t="n"/>
    </row>
    <row r="5" ht="12.75" customHeight="1">
      <c r="A5" s="274" t="n"/>
      <c r="B5" s="274" t="n"/>
      <c r="C5" s="374" t="n"/>
      <c r="D5" s="274" t="n"/>
      <c r="E5" s="274" t="n"/>
      <c r="F5" s="274" t="n"/>
      <c r="G5" s="274" t="n"/>
      <c r="H5" s="274" t="n"/>
      <c r="I5" s="274" t="n"/>
      <c r="J5" s="274" t="n"/>
      <c r="K5" s="274" t="n"/>
      <c r="L5" s="274" t="n"/>
      <c r="M5" s="274" t="n"/>
      <c r="N5" s="274" t="n"/>
      <c r="O5" s="274" t="n"/>
      <c r="P5" s="274" t="n"/>
      <c r="Q5" s="274" t="n"/>
      <c r="R5" s="274" t="n"/>
      <c r="S5" s="274" t="n"/>
      <c r="T5" s="274" t="n"/>
      <c r="U5" s="274" t="n"/>
      <c r="V5" s="274" t="n"/>
    </row>
    <row r="6" hidden="1">
      <c r="A6" s="274" t="n"/>
      <c r="B6" s="274" t="n"/>
      <c r="C6" s="375" t="n"/>
      <c r="D6" s="274" t="n"/>
      <c r="E6" s="274" t="n"/>
      <c r="F6" s="274" t="n"/>
      <c r="G6" s="274" t="n"/>
      <c r="H6" s="274" t="n"/>
      <c r="I6" s="274" t="n"/>
      <c r="J6" s="274" t="n"/>
      <c r="K6" s="274" t="n"/>
      <c r="L6" s="274" t="n"/>
      <c r="M6" s="274" t="n"/>
      <c r="N6" s="274" t="n"/>
      <c r="O6" s="274" t="n"/>
      <c r="P6" s="274" t="n"/>
      <c r="Q6" s="274" t="n"/>
      <c r="R6" s="274" t="n"/>
      <c r="S6" s="274" t="n"/>
      <c r="T6" s="274" t="n"/>
      <c r="U6" s="274" t="n"/>
      <c r="V6" s="274" t="n"/>
    </row>
    <row r="7" hidden="1">
      <c r="A7" s="274" t="n"/>
      <c r="B7" s="274" t="n"/>
      <c r="C7" s="274" t="n"/>
      <c r="D7" s="274" t="n"/>
      <c r="E7" s="274" t="n"/>
      <c r="F7" s="274" t="n"/>
      <c r="G7" s="274" t="n"/>
      <c r="H7" s="274" t="n"/>
      <c r="I7" s="274" t="n"/>
      <c r="J7" s="274" t="n"/>
      <c r="K7" s="274" t="n"/>
      <c r="L7" s="274" t="n"/>
      <c r="M7" s="274" t="n"/>
      <c r="N7" s="274" t="n"/>
      <c r="O7" s="274" t="n"/>
      <c r="P7" s="274" t="n"/>
      <c r="Q7" s="274" t="n"/>
      <c r="R7" s="274" t="n"/>
      <c r="S7" s="274" t="n"/>
      <c r="T7" s="274" t="n"/>
      <c r="U7" s="274" t="n"/>
      <c r="V7" s="274" t="n"/>
    </row>
    <row r="8" ht="12.75" customHeight="1">
      <c r="A8" s="247" t="inlineStr">
        <is>
          <t>x</t>
        </is>
      </c>
      <c r="B8" s="247" t="inlineStr">
        <is>
          <t>x</t>
        </is>
      </c>
      <c r="C8" s="248" t="inlineStr">
        <is>
          <t>Net Working Capital</t>
        </is>
      </c>
      <c r="D8" s="249" t="n"/>
      <c r="E8" s="249" t="n"/>
      <c r="F8" s="249" t="inlineStr">
        <is>
          <t xml:space="preserve">Fiscal Year </t>
        </is>
      </c>
      <c r="G8" s="249" t="n"/>
      <c r="H8" s="249" t="n"/>
      <c r="I8" s="249" t="n"/>
      <c r="J8" s="249" t="n"/>
      <c r="K8" s="376" t="inlineStr">
        <is>
          <t>Quarter Ended</t>
        </is>
      </c>
      <c r="L8" s="377" t="n"/>
      <c r="M8" s="250" t="n"/>
      <c r="N8" s="248" t="inlineStr">
        <is>
          <t>Change in NWC</t>
        </is>
      </c>
      <c r="O8" s="249" t="n"/>
      <c r="P8" s="249" t="n"/>
      <c r="Q8" s="249" t="inlineStr">
        <is>
          <t xml:space="preserve">Fiscal Year </t>
        </is>
      </c>
      <c r="R8" s="249" t="n"/>
      <c r="S8" s="249" t="n"/>
      <c r="T8" s="249" t="n"/>
      <c r="U8" s="249" t="n"/>
    </row>
    <row r="9" hidden="1" ht="4" customHeight="1">
      <c r="A9" s="274" t="n"/>
      <c r="B9" s="274" t="n"/>
      <c r="C9" s="274" t="n"/>
      <c r="D9" s="274" t="n"/>
      <c r="E9" s="274" t="n"/>
      <c r="F9" s="274" t="n"/>
      <c r="G9" s="274" t="n"/>
      <c r="H9" s="274" t="n"/>
      <c r="I9" s="274" t="n"/>
      <c r="J9" s="274" t="n"/>
      <c r="K9" s="401" t="n"/>
      <c r="L9" s="402" t="n"/>
      <c r="M9" s="274" t="n"/>
      <c r="N9" s="274" t="n"/>
      <c r="O9" s="274" t="n"/>
      <c r="P9" s="274" t="n"/>
      <c r="Q9" s="274" t="n"/>
      <c r="R9" s="274" t="n"/>
      <c r="S9" s="274" t="n"/>
      <c r="T9" s="274" t="n"/>
      <c r="U9" s="274" t="n"/>
      <c r="V9" s="274" t="n"/>
    </row>
    <row r="10" ht="12.75" customHeight="1">
      <c r="C10" s="253" t="n"/>
      <c r="D10" s="254" t="n"/>
      <c r="E10" s="254" t="n"/>
      <c r="F10" s="254" t="n">
        <v>2021</v>
      </c>
      <c r="G10" s="254">
        <f>F10+1</f>
        <v/>
      </c>
      <c r="H10" s="254">
        <f>G10+1</f>
        <v/>
      </c>
      <c r="I10" s="254">
        <f>H10+1</f>
        <v/>
      </c>
      <c r="J10" s="254">
        <f>I10+1</f>
        <v/>
      </c>
      <c r="K10" s="378" t="inlineStr">
        <is>
          <t>1Q'26</t>
        </is>
      </c>
      <c r="L10" s="379" t="inlineStr">
        <is>
          <t>2Q'26</t>
        </is>
      </c>
      <c r="M10" s="255" t="n"/>
      <c r="N10" s="253" t="n"/>
      <c r="O10" s="253" t="n"/>
      <c r="P10" s="253" t="n"/>
      <c r="Q10" s="254" t="n">
        <v>2021</v>
      </c>
      <c r="R10" s="254">
        <f>Q10+1</f>
        <v/>
      </c>
      <c r="S10" s="254">
        <f>R10+1</f>
        <v/>
      </c>
      <c r="T10" s="254">
        <f>S10+1</f>
        <v/>
      </c>
      <c r="U10" s="254">
        <f>T10+1</f>
        <v/>
      </c>
    </row>
    <row r="11" ht="12.75" customHeight="1">
      <c r="C11" s="270" t="inlineStr">
        <is>
          <t>Accounts receivable, net</t>
        </is>
      </c>
      <c r="F11" s="257">
        <f>SUMIFS('Balance Sheet'!14:14,'Balance Sheet'!$10:$10,NWC!F$10)</f>
        <v/>
      </c>
      <c r="G11" s="257">
        <f>SUMIFS('Balance Sheet'!14:14,'Balance Sheet'!$10:$10,NWC!G$10)</f>
        <v/>
      </c>
      <c r="H11" s="257">
        <f>SUMIFS('Balance Sheet'!14:14,'Balance Sheet'!$10:$10,NWC!H$10)</f>
        <v/>
      </c>
      <c r="I11" s="257">
        <f>SUMIFS('Balance Sheet'!14:14,'Balance Sheet'!$10:$10,NWC!I$10)</f>
        <v/>
      </c>
      <c r="J11" s="257">
        <f>SUMIFS('Balance Sheet'!14:14,'Balance Sheet'!$10:$10,NWC!J$10)</f>
        <v/>
      </c>
      <c r="K11" s="380">
        <f>SUMIFS('Balance Sheet'!14:14,'Balance Sheet'!$10:$10,NWC!K$10)</f>
        <v/>
      </c>
      <c r="L11" s="381">
        <f>SUMIFS('Balance Sheet'!14:14,'Balance Sheet'!$10:$10,NWC!L$10)</f>
        <v/>
      </c>
      <c r="N11" s="270">
        <f>C11</f>
        <v/>
      </c>
      <c r="Q11" s="258" t="n"/>
      <c r="R11" s="258">
        <f>G11-F11</f>
        <v/>
      </c>
      <c r="S11" s="258">
        <f>H11-G11</f>
        <v/>
      </c>
      <c r="T11" s="258">
        <f>I11-H11</f>
        <v/>
      </c>
      <c r="U11" s="258">
        <f>J11-I11</f>
        <v/>
      </c>
    </row>
    <row r="12" ht="12.75" customHeight="1">
      <c r="C12" s="270" t="inlineStr">
        <is>
          <t>Billed finance receivables</t>
        </is>
      </c>
      <c r="F12" s="262">
        <f>SUMIFS('Balance Sheet'!15:15,'Balance Sheet'!$10:$10,NWC!F$10)</f>
        <v/>
      </c>
      <c r="G12" s="262">
        <f>SUMIFS('Balance Sheet'!15:15,'Balance Sheet'!$10:$10,NWC!G$10)</f>
        <v/>
      </c>
      <c r="H12" s="262">
        <f>SUMIFS('Balance Sheet'!15:15,'Balance Sheet'!$10:$10,NWC!H$10)</f>
        <v/>
      </c>
      <c r="I12" s="262">
        <f>SUMIFS('Balance Sheet'!15:15,'Balance Sheet'!$10:$10,NWC!I$10)</f>
        <v/>
      </c>
      <c r="J12" s="262">
        <f>SUMIFS('Balance Sheet'!15:15,'Balance Sheet'!$10:$10,NWC!J$10)</f>
        <v/>
      </c>
      <c r="K12" s="382">
        <f>SUMIFS('Balance Sheet'!15:15,'Balance Sheet'!$10:$10,NWC!K$10)</f>
        <v/>
      </c>
      <c r="L12" s="383">
        <f>SUMIFS('Balance Sheet'!15:15,'Balance Sheet'!$10:$10,NWC!L$10)</f>
        <v/>
      </c>
      <c r="N12" s="270">
        <f>C12</f>
        <v/>
      </c>
      <c r="Q12" s="261" t="n"/>
      <c r="R12" s="261">
        <f>G12-F12</f>
        <v/>
      </c>
      <c r="S12" s="261">
        <f>H12-G12</f>
        <v/>
      </c>
      <c r="T12" s="261">
        <f>I12-H12</f>
        <v/>
      </c>
      <c r="U12" s="261">
        <f>J12-I12</f>
        <v/>
      </c>
    </row>
    <row r="13" ht="12.75" customHeight="1">
      <c r="C13" s="270" t="inlineStr">
        <is>
          <t>Inventories</t>
        </is>
      </c>
      <c r="F13" s="262">
        <f>SUMIFS('Balance Sheet'!17:17,'Balance Sheet'!$10:$10,NWC!F$10)</f>
        <v/>
      </c>
      <c r="G13" s="262">
        <f>SUMIFS('Balance Sheet'!17:17,'Balance Sheet'!$10:$10,NWC!G$10)</f>
        <v/>
      </c>
      <c r="H13" s="262">
        <f>SUMIFS('Balance Sheet'!17:17,'Balance Sheet'!$10:$10,NWC!H$10)</f>
        <v/>
      </c>
      <c r="I13" s="262">
        <f>SUMIFS('Balance Sheet'!17:17,'Balance Sheet'!$10:$10,NWC!I$10)</f>
        <v/>
      </c>
      <c r="J13" s="262">
        <f>SUMIFS('Balance Sheet'!17:17,'Balance Sheet'!$10:$10,NWC!J$10)</f>
        <v/>
      </c>
      <c r="K13" s="382">
        <f>SUMIFS('Balance Sheet'!17:17,'Balance Sheet'!$10:$10,NWC!K$10)</f>
        <v/>
      </c>
      <c r="L13" s="383">
        <f>SUMIFS('Balance Sheet'!17:17,'Balance Sheet'!$10:$10,NWC!L$10)</f>
        <v/>
      </c>
      <c r="N13" s="270">
        <f>C13</f>
        <v/>
      </c>
      <c r="Q13" s="261" t="n"/>
      <c r="R13" s="261">
        <f>G13-F13</f>
        <v/>
      </c>
      <c r="S13" s="261">
        <f>H13-G13</f>
        <v/>
      </c>
      <c r="T13" s="261">
        <f>I13-H13</f>
        <v/>
      </c>
      <c r="U13" s="261">
        <f>J13-I13</f>
        <v/>
      </c>
    </row>
    <row r="14" ht="12.75" customHeight="1">
      <c r="C14" s="270" t="inlineStr">
        <is>
          <t>Other current assets</t>
        </is>
      </c>
      <c r="F14" s="262">
        <f>SUMIFS('Balance Sheet'!18:18,'Balance Sheet'!$10:$10,NWC!F$10)</f>
        <v/>
      </c>
      <c r="G14" s="262">
        <f>SUMIFS('Balance Sheet'!18:18,'Balance Sheet'!$10:$10,NWC!G$10)</f>
        <v/>
      </c>
      <c r="H14" s="262">
        <f>SUMIFS('Balance Sheet'!18:18,'Balance Sheet'!$10:$10,NWC!H$10)</f>
        <v/>
      </c>
      <c r="I14" s="262">
        <f>SUMIFS('Balance Sheet'!18:18,'Balance Sheet'!$10:$10,NWC!I$10)</f>
        <v/>
      </c>
      <c r="J14" s="262">
        <f>SUMIFS('Balance Sheet'!18:18,'Balance Sheet'!$10:$10,NWC!J$10)</f>
        <v/>
      </c>
      <c r="K14" s="382">
        <f>SUMIFS('Balance Sheet'!18:18,'Balance Sheet'!$10:$10,NWC!K$10)</f>
        <v/>
      </c>
      <c r="L14" s="383">
        <f>SUMIFS('Balance Sheet'!18:18,'Balance Sheet'!$10:$10,NWC!L$10)</f>
        <v/>
      </c>
      <c r="N14" s="270">
        <f>C14</f>
        <v/>
      </c>
      <c r="Q14" s="261" t="n"/>
      <c r="R14" s="261">
        <f>G14-F14</f>
        <v/>
      </c>
      <c r="S14" s="261">
        <f>H14-G14</f>
        <v/>
      </c>
      <c r="T14" s="261">
        <f>I14-H14</f>
        <v/>
      </c>
      <c r="U14" s="261">
        <f>J14-I14</f>
        <v/>
      </c>
    </row>
    <row r="15" ht="12.75" customHeight="1">
      <c r="C15" s="270" t="inlineStr">
        <is>
          <t>Accounts payable</t>
        </is>
      </c>
      <c r="F15" s="262">
        <f>-SUMIFS('Balance Sheet'!37:37,'Balance Sheet'!$10:$10,NWC!F$10)</f>
        <v/>
      </c>
      <c r="G15" s="262">
        <f>-SUMIFS('Balance Sheet'!37:37,'Balance Sheet'!$10:$10,NWC!G$10)</f>
        <v/>
      </c>
      <c r="H15" s="262">
        <f>-SUMIFS('Balance Sheet'!37:37,'Balance Sheet'!$10:$10,NWC!H$10)</f>
        <v/>
      </c>
      <c r="I15" s="262">
        <f>-SUMIFS('Balance Sheet'!37:37,'Balance Sheet'!$10:$10,NWC!I$10)</f>
        <v/>
      </c>
      <c r="J15" s="262">
        <f>-SUMIFS('Balance Sheet'!37:37,'Balance Sheet'!$10:$10,NWC!J$10)</f>
        <v/>
      </c>
      <c r="K15" s="382">
        <f>-SUMIFS('Balance Sheet'!37:37,'Balance Sheet'!$10:$10,NWC!K$10)</f>
        <v/>
      </c>
      <c r="L15" s="383">
        <f>-SUMIFS('Balance Sheet'!37:37,'Balance Sheet'!$10:$10,NWC!L$10)</f>
        <v/>
      </c>
      <c r="N15" s="270">
        <f>C15</f>
        <v/>
      </c>
      <c r="Q15" s="261" t="n"/>
      <c r="R15" s="261">
        <f>G15-F15</f>
        <v/>
      </c>
      <c r="S15" s="261">
        <f>H15-G15</f>
        <v/>
      </c>
      <c r="T15" s="261">
        <f>I15-H15</f>
        <v/>
      </c>
      <c r="U15" s="261">
        <f>J15-I15</f>
        <v/>
      </c>
    </row>
    <row r="16" ht="12.75" customHeight="1">
      <c r="C16" s="270" t="inlineStr">
        <is>
          <t>Accrued compensation &amp; benefits</t>
        </is>
      </c>
      <c r="F16" s="262">
        <f>-SUMIFS('Balance Sheet'!38:38,'Balance Sheet'!$10:$10,NWC!F$10)</f>
        <v/>
      </c>
      <c r="G16" s="262">
        <f>-SUMIFS('Balance Sheet'!38:38,'Balance Sheet'!$10:$10,NWC!G$10)</f>
        <v/>
      </c>
      <c r="H16" s="262">
        <f>-SUMIFS('Balance Sheet'!38:38,'Balance Sheet'!$10:$10,NWC!H$10)</f>
        <v/>
      </c>
      <c r="I16" s="262">
        <f>-SUMIFS('Balance Sheet'!38:38,'Balance Sheet'!$10:$10,NWC!I$10)</f>
        <v/>
      </c>
      <c r="J16" s="262">
        <f>-SUMIFS('Balance Sheet'!38:38,'Balance Sheet'!$10:$10,NWC!J$10)</f>
        <v/>
      </c>
      <c r="K16" s="382">
        <f>-SUMIFS('Balance Sheet'!38:38,'Balance Sheet'!$10:$10,NWC!K$10)</f>
        <v/>
      </c>
      <c r="L16" s="383">
        <f>-SUMIFS('Balance Sheet'!38:38,'Balance Sheet'!$10:$10,NWC!L$10)</f>
        <v/>
      </c>
      <c r="N16" s="270">
        <f>C16</f>
        <v/>
      </c>
      <c r="Q16" s="261" t="n"/>
      <c r="R16" s="261">
        <f>G16-F16</f>
        <v/>
      </c>
      <c r="S16" s="261">
        <f>H16-G16</f>
        <v/>
      </c>
      <c r="T16" s="261">
        <f>I16-H16</f>
        <v/>
      </c>
      <c r="U16" s="261">
        <f>J16-I16</f>
        <v/>
      </c>
    </row>
    <row r="17" ht="12.75" customHeight="1">
      <c r="C17" s="270" t="inlineStr">
        <is>
          <t>Accrued exp. &amp; other CL</t>
        </is>
      </c>
      <c r="F17" s="262">
        <f>-SUMIFS('Balance Sheet'!39:39,'Balance Sheet'!$10:$10,NWC!F$10)</f>
        <v/>
      </c>
      <c r="G17" s="262">
        <f>-SUMIFS('Balance Sheet'!39:39,'Balance Sheet'!$10:$10,NWC!G$10)</f>
        <v/>
      </c>
      <c r="H17" s="262">
        <f>-SUMIFS('Balance Sheet'!39:39,'Balance Sheet'!$10:$10,NWC!H$10)</f>
        <v/>
      </c>
      <c r="I17" s="262">
        <f>-SUMIFS('Balance Sheet'!39:39,'Balance Sheet'!$10:$10,NWC!I$10)</f>
        <v/>
      </c>
      <c r="J17" s="262">
        <f>-SUMIFS('Balance Sheet'!39:39,'Balance Sheet'!$10:$10,NWC!J$10)</f>
        <v/>
      </c>
      <c r="K17" s="382">
        <f>-SUMIFS('Balance Sheet'!39:39,'Balance Sheet'!$10:$10,NWC!K$10)</f>
        <v/>
      </c>
      <c r="L17" s="383">
        <f>-SUMIFS('Balance Sheet'!39:39,'Balance Sheet'!$10:$10,NWC!L$10)</f>
        <v/>
      </c>
      <c r="N17" s="270">
        <f>C17</f>
        <v/>
      </c>
      <c r="Q17" s="261" t="n"/>
      <c r="R17" s="261">
        <f>G17-F17</f>
        <v/>
      </c>
      <c r="S17" s="261">
        <f>H17-G17</f>
        <v/>
      </c>
      <c r="T17" s="261">
        <f>I17-H17</f>
        <v/>
      </c>
      <c r="U17" s="261">
        <f>J17-I17</f>
        <v/>
      </c>
    </row>
    <row r="18" ht="12.75" customHeight="1">
      <c r="C18" s="263" t="inlineStr">
        <is>
          <t>Total NWC</t>
        </is>
      </c>
      <c r="D18" s="384" t="n"/>
      <c r="E18" s="384" t="n"/>
      <c r="F18" s="385">
        <f>SUM(F11:F17)</f>
        <v/>
      </c>
      <c r="G18" s="385">
        <f>SUM(G11:G17)</f>
        <v/>
      </c>
      <c r="H18" s="385">
        <f>SUM(H11:H17)</f>
        <v/>
      </c>
      <c r="I18" s="385">
        <f>SUM(I11:I17)</f>
        <v/>
      </c>
      <c r="J18" s="385">
        <f>SUM(J11:J17)</f>
        <v/>
      </c>
      <c r="K18" s="386">
        <f>SUM(K11:K17)</f>
        <v/>
      </c>
      <c r="L18" s="387">
        <f>SUM(L11:L17)</f>
        <v/>
      </c>
      <c r="N18" s="263" t="inlineStr">
        <is>
          <t>Change in NWC</t>
        </is>
      </c>
      <c r="O18" s="384" t="n"/>
      <c r="P18" s="384" t="n"/>
      <c r="Q18" s="385" t="n"/>
      <c r="R18" s="385">
        <f>SUM(R11:R17)</f>
        <v/>
      </c>
      <c r="S18" s="385">
        <f>SUM(S11:S17)</f>
        <v/>
      </c>
      <c r="T18" s="385">
        <f>SUM(T11:T17)</f>
        <v/>
      </c>
      <c r="U18" s="388">
        <f>SUM(U11:U17)</f>
        <v/>
      </c>
    </row>
    <row r="19" ht="4" customHeight="1">
      <c r="K19" s="401" t="n"/>
      <c r="L19" s="402" t="n"/>
    </row>
    <row r="20" ht="12.75" customHeight="1">
      <c r="C20" s="263" t="inlineStr">
        <is>
          <t>Change in NWC</t>
        </is>
      </c>
      <c r="D20" s="384" t="n"/>
      <c r="E20" s="384" t="n"/>
      <c r="F20" s="385">
        <f>Q18</f>
        <v/>
      </c>
      <c r="G20" s="385">
        <f>R18</f>
        <v/>
      </c>
      <c r="H20" s="385">
        <f>S18</f>
        <v/>
      </c>
      <c r="I20" s="385">
        <f>T18</f>
        <v/>
      </c>
      <c r="J20" s="385">
        <f>U18</f>
        <v/>
      </c>
      <c r="K20" s="386">
        <f>K18-J18</f>
        <v/>
      </c>
      <c r="L20" s="387">
        <f>L18-K18</f>
        <v/>
      </c>
      <c r="N20" s="389" t="inlineStr">
        <is>
          <t>Check</t>
        </is>
      </c>
      <c r="R20" s="390">
        <f>SUMIFS('Quarterly NWC'!47:47,'Quarterly NWC'!$31:$31,NWC!R$10)+R18</f>
        <v/>
      </c>
      <c r="S20" s="390">
        <f>SUMIFS('Quarterly NWC'!47:47,'Quarterly NWC'!$31:$31,NWC!S$10)+S18</f>
        <v/>
      </c>
      <c r="T20" s="390">
        <f>SUMIFS('Quarterly NWC'!47:47,'Quarterly NWC'!$31:$31,NWC!T$10)+T18</f>
        <v/>
      </c>
      <c r="U20" s="390">
        <f>SUMIFS('Quarterly NWC'!47:47,'Quarterly NWC'!$31:$31,NWC!U$10)+U18</f>
        <v/>
      </c>
    </row>
    <row r="21" ht="4" customHeight="1"/>
    <row r="22" ht="12.75" customHeight="1">
      <c r="C22" s="268" t="inlineStr">
        <is>
          <t>Memo:</t>
        </is>
      </c>
      <c r="D22" s="269" t="n"/>
      <c r="E22" s="269" t="n"/>
      <c r="F22" s="269" t="n"/>
      <c r="G22" s="269" t="n"/>
      <c r="H22" s="269" t="n"/>
      <c r="I22" s="269" t="n"/>
      <c r="J22" s="269" t="n"/>
      <c r="K22" s="269" t="n"/>
      <c r="L22" s="269" t="n"/>
      <c r="M22" s="391" t="n"/>
      <c r="N22" s="391" t="n"/>
      <c r="O22" s="391" t="n"/>
      <c r="P22" s="391" t="n"/>
      <c r="Q22" s="391" t="n"/>
      <c r="R22" s="391" t="n"/>
      <c r="S22" s="391" t="n"/>
      <c r="T22" s="391" t="n"/>
      <c r="U22" s="391" t="n"/>
    </row>
    <row r="23" ht="12.75" customHeight="1">
      <c r="C23" s="392" t="inlineStr">
        <is>
          <t>DSO</t>
        </is>
      </c>
      <c r="D23" s="393" t="n"/>
      <c r="E23" s="393" t="n"/>
      <c r="F23" s="394">
        <f>F11/F26*F28</f>
        <v/>
      </c>
      <c r="G23" s="394">
        <f>G11/G26*G28</f>
        <v/>
      </c>
      <c r="H23" s="394">
        <f>H11/H26*H28</f>
        <v/>
      </c>
      <c r="I23" s="394">
        <f>I11/I26*I28</f>
        <v/>
      </c>
      <c r="J23" s="394">
        <f>J11/J26*J28</f>
        <v/>
      </c>
      <c r="K23" s="394">
        <f>K11/K26*K28</f>
        <v/>
      </c>
      <c r="L23" s="394">
        <f>L11/L26*L28</f>
        <v/>
      </c>
      <c r="M23" s="391" t="n"/>
      <c r="N23" s="391" t="n"/>
      <c r="O23" s="391" t="n"/>
      <c r="P23" s="391" t="n"/>
      <c r="Q23" s="391" t="n"/>
      <c r="R23" s="391" t="n"/>
      <c r="S23" s="391" t="n"/>
      <c r="T23" s="391" t="n"/>
      <c r="U23" s="391" t="n"/>
    </row>
    <row r="24" ht="12.75" customHeight="1">
      <c r="C24" s="395" t="inlineStr">
        <is>
          <t>DPO</t>
        </is>
      </c>
      <c r="D24" s="396" t="n"/>
      <c r="E24" s="396" t="n"/>
      <c r="F24" s="397">
        <f>-F15/F27*F28</f>
        <v/>
      </c>
      <c r="G24" s="397">
        <f>-G15/G27*G28</f>
        <v/>
      </c>
      <c r="H24" s="397">
        <f>-H15/H27*H28</f>
        <v/>
      </c>
      <c r="I24" s="397">
        <f>-I15/I27*I28</f>
        <v/>
      </c>
      <c r="J24" s="397">
        <f>-J15/J27*J28</f>
        <v/>
      </c>
      <c r="K24" s="397">
        <f>-K15/K27*K28</f>
        <v/>
      </c>
      <c r="L24" s="397">
        <f>-L15/L27*L28</f>
        <v/>
      </c>
      <c r="M24" s="391" t="n"/>
      <c r="N24" s="391" t="n"/>
      <c r="O24" s="391" t="n"/>
      <c r="P24" s="391" t="n"/>
      <c r="Q24" s="391" t="n"/>
      <c r="R24" s="391" t="n"/>
      <c r="S24" s="391" t="n"/>
      <c r="T24" s="391" t="n"/>
      <c r="U24" s="391" t="n"/>
    </row>
    <row r="25" ht="4" customHeight="1"/>
    <row r="26" hidden="1" ht="12.75" customHeight="1">
      <c r="C26" s="270" t="inlineStr">
        <is>
          <t>Revenue</t>
        </is>
      </c>
      <c r="F26" s="262">
        <f>SUMIFS('Income Statement'!12:12,'Income Statement'!$7:$7,"FY"&amp;NWC!F$10)</f>
        <v/>
      </c>
      <c r="G26" s="262">
        <f>SUMIFS('Income Statement'!12:12,'Income Statement'!$7:$7,"FY"&amp;NWC!G$10)</f>
        <v/>
      </c>
      <c r="H26" s="262">
        <f>SUMIFS('Income Statement'!12:12,'Income Statement'!$7:$7,"FY"&amp;NWC!H$10)</f>
        <v/>
      </c>
      <c r="I26" s="262">
        <f>SUMIFS('Income Statement'!12:12,'Income Statement'!$7:$7,"FY"&amp;NWC!I$10)</f>
        <v/>
      </c>
      <c r="J26" s="262">
        <f>SUMIFS('Income Statement'!12:12,'Income Statement'!$7:$7,"FY"&amp;NWC!J$10)</f>
        <v/>
      </c>
      <c r="K26" s="262">
        <f>SUMIFS('Income Statement'!12:12,'Income Statement'!$7:$7,NWC!K$10)</f>
        <v/>
      </c>
      <c r="L26" s="262">
        <f>SUMIFS('Income Statement'!12:12,'Income Statement'!$7:$7,NWC!L$10)</f>
        <v/>
      </c>
    </row>
    <row r="27" hidden="1" ht="12.75" customHeight="1">
      <c r="C27" s="270" t="inlineStr">
        <is>
          <t>COGS</t>
        </is>
      </c>
      <c r="F27" s="262">
        <f>SUMIFS('Income Statement'!17:17,'Income Statement'!$7:$7,"FY"&amp;NWC!F$10)</f>
        <v/>
      </c>
      <c r="G27" s="262">
        <f>SUMIFS('Income Statement'!17:17,'Income Statement'!$7:$7,"FY"&amp;NWC!G$10)</f>
        <v/>
      </c>
      <c r="H27" s="262">
        <f>SUMIFS('Income Statement'!17:17,'Income Statement'!$7:$7,"FY"&amp;NWC!H$10)</f>
        <v/>
      </c>
      <c r="I27" s="262">
        <f>SUMIFS('Income Statement'!17:17,'Income Statement'!$7:$7,"FY"&amp;NWC!I$10)</f>
        <v/>
      </c>
      <c r="J27" s="262">
        <f>SUMIFS('Income Statement'!17:17,'Income Statement'!$7:$7,"FY"&amp;NWC!J$10)</f>
        <v/>
      </c>
      <c r="K27" s="262">
        <f>SUMIFS('Income Statement'!17:17,'Income Statement'!$7:$7,NWC!K$10)</f>
        <v/>
      </c>
      <c r="L27" s="262">
        <f>SUMIFS('Income Statement'!17:17,'Income Statement'!$7:$7,NWC!L$10)</f>
        <v/>
      </c>
    </row>
    <row r="28" hidden="1" ht="12.75" customHeight="1">
      <c r="C28" s="270" t="inlineStr">
        <is>
          <t>Days</t>
        </is>
      </c>
      <c r="F28" s="398" t="n">
        <v>365</v>
      </c>
      <c r="G28" s="398" t="n">
        <v>365</v>
      </c>
      <c r="H28" s="398" t="n">
        <v>365</v>
      </c>
      <c r="I28" s="398" t="n">
        <v>366</v>
      </c>
      <c r="J28" s="398" t="n">
        <v>365</v>
      </c>
      <c r="K28" s="398" t="n">
        <v>91</v>
      </c>
      <c r="L28" s="398" t="n">
        <v>91</v>
      </c>
    </row>
    <row r="29" ht="12.75" customFormat="1" customHeight="1" s="820">
      <c r="C29" s="404" t="n"/>
      <c r="F29" s="405" t="n"/>
      <c r="G29" s="405" t="n"/>
      <c r="H29" s="405" t="n"/>
      <c r="I29" s="405" t="n"/>
      <c r="J29" s="405" t="n"/>
      <c r="K29" s="405" t="n"/>
      <c r="L29" s="405" t="n"/>
    </row>
    <row r="30" ht="12.75" customHeight="1"/>
    <row r="31" ht="12.75" customFormat="1" customHeight="1" s="820"/>
    <row r="32" ht="12.75" customHeight="1">
      <c r="B32" s="273" t="inlineStr">
        <is>
          <t>x</t>
        </is>
      </c>
      <c r="C32" s="399" t="inlineStr">
        <is>
          <t>Change in Net Working Capital by Year</t>
        </is>
      </c>
    </row>
    <row r="33" ht="12.75" customHeight="1">
      <c r="C33" s="400" t="inlineStr">
        <is>
          <t>Stacked drivers and the net change ($mm); a NWC build is a use of cash</t>
        </is>
      </c>
    </row>
    <row r="34" ht="12.75" customHeight="1"/>
    <row r="53">
      <c r="A53" s="247" t="inlineStr">
        <is>
          <t>x</t>
        </is>
      </c>
      <c r="B53" s="247" t="inlineStr">
        <is>
          <t>x</t>
        </is>
      </c>
    </row>
    <row r="54">
      <c r="A54" s="247" t="inlineStr">
        <is>
          <t>End</t>
        </is>
      </c>
    </row>
  </sheetData>
  <hyperlinks>
    <hyperlink ref="B1" location="'Cover Page'!A1" display="Return to Cover"/>
  </hyperlinks>
  <pageMargins left="0.75" right="0.75" top="1" bottom="1" header="0.5" footer="0.5"/>
  <pageSetup orientation="landscape" scale="59" fitToHeight="0"/>
  <drawing xmlns:r="http://schemas.openxmlformats.org/officeDocument/2006/relationships" r:id="rId1"/>
</worksheet>
</file>

<file path=xl/worksheets/sheet12.xml><?xml version="1.0" encoding="utf-8"?>
<worksheet xmlns="http://schemas.openxmlformats.org/spreadsheetml/2006/main">
  <sheetPr>
    <tabColor theme="3" tint="0.499984740745262"/>
    <outlinePr summaryBelow="1" summaryRight="1"/>
    <pageSetUpPr fitToPage="1"/>
  </sheetPr>
  <dimension ref="A1:Z48"/>
  <sheetViews>
    <sheetView showGridLines="0" tabSelected="0" view="pageBreakPreview" zoomScaleNormal="81" zoomScaleSheetLayoutView="100" workbookViewId="0">
      <selection activeCell="A1" sqref="A1"/>
    </sheetView>
  </sheetViews>
  <sheetFormatPr baseColWidth="8" defaultRowHeight="14.5"/>
  <cols>
    <col width="1.7265625" customWidth="1" min="1" max="2"/>
    <col width="27.26953125" customWidth="1" min="3" max="3"/>
    <col width="12.1796875" customWidth="1" min="4" max="4"/>
    <col width="10.453125" customWidth="1" min="5" max="25"/>
    <col width="1.7265625" customWidth="1" min="26" max="26"/>
  </cols>
  <sheetData>
    <row r="1" ht="12.75" customHeight="1">
      <c r="A1" s="137">
        <f>C3</f>
        <v/>
      </c>
      <c r="B1" s="138">
        <f>'Cover Page'!A1</f>
        <v/>
      </c>
    </row>
    <row r="2" ht="12.75" customHeight="1"/>
    <row r="3" ht="14.25" customHeight="1">
      <c r="C3" s="31" t="inlineStr">
        <is>
          <t>Quarterly Net Working Capital</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93" t="inlineStr">
        <is>
          <t>Xerox Holdings Corporation</t>
        </is>
      </c>
    </row>
    <row r="4" ht="12.75" customHeight="1">
      <c r="C4" s="139" t="inlineStr">
        <is>
          <t>All values in $ millions (USD)</t>
        </is>
      </c>
      <c r="D4" s="67" t="n"/>
      <c r="E4" s="67" t="n"/>
      <c r="F4" s="67" t="n"/>
      <c r="G4" s="67" t="n"/>
      <c r="H4" s="67" t="n"/>
      <c r="I4" s="67" t="n"/>
      <c r="J4" s="67" t="n"/>
      <c r="K4" s="67" t="n"/>
      <c r="L4" s="67" t="n"/>
      <c r="M4" s="67" t="n"/>
      <c r="N4" s="67" t="n"/>
      <c r="O4" s="67" t="n"/>
      <c r="P4" s="67" t="n"/>
      <c r="Q4" s="67" t="n"/>
      <c r="R4" s="67" t="n"/>
      <c r="S4" s="67" t="n"/>
      <c r="T4" s="67" t="n"/>
      <c r="U4" s="67" t="n"/>
      <c r="V4" s="67" t="n"/>
      <c r="W4" s="67" t="n"/>
      <c r="X4" s="67" t="n"/>
      <c r="Y4" s="69" t="n"/>
    </row>
    <row r="5" ht="12.75" customHeight="1">
      <c r="A5" s="141" t="n"/>
      <c r="B5" s="141" t="n"/>
      <c r="C5" s="162" t="n"/>
      <c r="D5" s="141" t="n"/>
      <c r="E5" s="141" t="n"/>
      <c r="F5" s="141" t="n"/>
      <c r="G5" s="141" t="n"/>
      <c r="H5" s="141" t="n"/>
      <c r="I5" s="141" t="n"/>
      <c r="J5" s="141" t="n"/>
      <c r="K5" s="141" t="n"/>
      <c r="L5" s="141" t="n"/>
      <c r="M5" s="141" t="n"/>
      <c r="N5" s="141" t="n"/>
      <c r="O5" s="141" t="n"/>
      <c r="P5" s="141" t="n"/>
      <c r="Q5" s="141" t="n"/>
      <c r="R5" s="141" t="n"/>
      <c r="S5" s="141" t="n"/>
      <c r="T5" s="141" t="n"/>
      <c r="U5" s="141" t="n"/>
      <c r="V5" s="141" t="n"/>
      <c r="W5" s="141" t="n"/>
      <c r="X5" s="141" t="n"/>
      <c r="Y5" s="141" t="n"/>
      <c r="Z5" s="141" t="n"/>
    </row>
    <row r="6" hidden="1">
      <c r="A6" s="141" t="n"/>
      <c r="B6" s="141" t="n"/>
      <c r="C6" s="177" t="n"/>
      <c r="D6" s="141" t="n"/>
      <c r="E6" s="141" t="n"/>
      <c r="F6" s="141" t="n"/>
      <c r="G6" s="141" t="n"/>
      <c r="H6" s="141" t="n"/>
      <c r="I6" s="141" t="n"/>
      <c r="J6" s="141" t="n"/>
      <c r="K6" s="141" t="n"/>
      <c r="L6" s="141" t="n"/>
      <c r="M6" s="141" t="n"/>
      <c r="N6" s="141" t="n"/>
      <c r="O6" s="141" t="n"/>
      <c r="P6" s="141" t="n"/>
      <c r="Q6" s="141" t="n"/>
      <c r="R6" s="141" t="n"/>
      <c r="S6" s="141" t="n"/>
      <c r="T6" s="141" t="n"/>
      <c r="U6" s="141" t="n"/>
      <c r="V6" s="141" t="n"/>
      <c r="W6" s="141" t="n"/>
      <c r="X6" s="141" t="n"/>
      <c r="Y6" s="141" t="n"/>
      <c r="Z6" s="141" t="n"/>
    </row>
    <row r="7" hidden="1">
      <c r="A7" s="141" t="n"/>
      <c r="B7" s="141" t="n"/>
      <c r="C7" s="141" t="n"/>
      <c r="D7" s="141" t="n"/>
      <c r="E7" s="141" t="n"/>
      <c r="F7" s="141" t="n"/>
      <c r="G7" s="141" t="n"/>
      <c r="H7" s="141" t="n"/>
      <c r="I7" s="141" t="n"/>
      <c r="J7" s="141" t="n"/>
      <c r="K7" s="141" t="n"/>
      <c r="L7" s="141" t="n"/>
      <c r="M7" s="141" t="n"/>
      <c r="N7" s="141" t="n"/>
      <c r="O7" s="141" t="n"/>
      <c r="P7" s="141" t="n"/>
      <c r="Q7" s="141" t="n"/>
      <c r="R7" s="141" t="n"/>
      <c r="S7" s="141" t="n"/>
      <c r="T7" s="141" t="n"/>
      <c r="U7" s="141" t="n"/>
      <c r="V7" s="141" t="n"/>
      <c r="W7" s="141" t="n"/>
      <c r="X7" s="141" t="n"/>
      <c r="Y7" s="141" t="n"/>
      <c r="Z7" s="141" t="n"/>
    </row>
    <row r="8" ht="12.75" customHeight="1">
      <c r="A8" s="94" t="inlineStr">
        <is>
          <t>x</t>
        </is>
      </c>
      <c r="B8" s="94" t="inlineStr">
        <is>
          <t>x</t>
        </is>
      </c>
      <c r="C8" s="35" t="inlineStr">
        <is>
          <t>Quarterly NWC</t>
        </is>
      </c>
      <c r="D8" s="36" t="inlineStr">
        <is>
          <t>Quarter Ended</t>
        </is>
      </c>
      <c r="E8" s="36" t="n"/>
      <c r="F8" s="36" t="n"/>
      <c r="G8" s="36" t="n"/>
      <c r="H8" s="36" t="n"/>
      <c r="I8" s="36" t="n"/>
      <c r="J8" s="36" t="n"/>
      <c r="K8" s="36" t="n"/>
      <c r="L8" s="36" t="n"/>
      <c r="M8" s="36" t="n"/>
      <c r="N8" s="36" t="n"/>
      <c r="O8" s="36" t="n"/>
      <c r="P8" s="36" t="n"/>
      <c r="Q8" s="36" t="n"/>
      <c r="R8" s="36" t="n"/>
      <c r="S8" s="36" t="n"/>
      <c r="T8" s="36" t="n"/>
      <c r="U8" s="36" t="n"/>
      <c r="V8" s="36" t="n"/>
      <c r="W8" s="36" t="n"/>
      <c r="X8" s="36" t="n"/>
      <c r="Y8" s="36" t="n"/>
    </row>
    <row r="9" hidden="1" ht="4" customHeight="1">
      <c r="A9" s="141" t="n"/>
      <c r="B9" s="141" t="n"/>
      <c r="C9" s="141" t="n"/>
      <c r="D9" s="141" t="n"/>
      <c r="E9" s="141" t="n"/>
      <c r="F9" s="141" t="n"/>
      <c r="G9" s="141" t="n"/>
      <c r="H9" s="141" t="n"/>
      <c r="I9" s="141" t="n"/>
      <c r="J9" s="141" t="n"/>
      <c r="K9" s="141" t="n"/>
      <c r="L9" s="141" t="n"/>
      <c r="M9" s="141" t="n"/>
      <c r="N9" s="141" t="n"/>
      <c r="O9" s="141" t="n"/>
      <c r="P9" s="141" t="n"/>
      <c r="Q9" s="141" t="n"/>
      <c r="R9" s="141" t="n"/>
      <c r="S9" s="141" t="n"/>
      <c r="T9" s="141" t="n"/>
      <c r="U9" s="141" t="n"/>
      <c r="V9" s="141" t="n"/>
      <c r="W9" s="141" t="n"/>
      <c r="X9" s="141" t="n"/>
      <c r="Y9" s="141" t="n"/>
      <c r="Z9" s="141" t="n"/>
    </row>
    <row r="10" ht="12.75" customHeight="1">
      <c r="C10" s="97" t="n"/>
      <c r="D10" s="98" t="inlineStr">
        <is>
          <t>1Q'21</t>
        </is>
      </c>
      <c r="E10" s="98" t="inlineStr">
        <is>
          <t>2Q'21</t>
        </is>
      </c>
      <c r="F10" s="98" t="inlineStr">
        <is>
          <t>3Q'21</t>
        </is>
      </c>
      <c r="G10" s="98" t="inlineStr">
        <is>
          <t>4Q'21</t>
        </is>
      </c>
      <c r="H10" s="98" t="inlineStr">
        <is>
          <t>1Q'22</t>
        </is>
      </c>
      <c r="I10" s="98" t="inlineStr">
        <is>
          <t>2Q'22</t>
        </is>
      </c>
      <c r="J10" s="98" t="inlineStr">
        <is>
          <t>3Q'22</t>
        </is>
      </c>
      <c r="K10" s="98" t="inlineStr">
        <is>
          <t>4Q'22</t>
        </is>
      </c>
      <c r="L10" s="98" t="inlineStr">
        <is>
          <t>1Q'23</t>
        </is>
      </c>
      <c r="M10" s="98" t="inlineStr">
        <is>
          <t>2Q'23</t>
        </is>
      </c>
      <c r="N10" s="98" t="inlineStr">
        <is>
          <t>3Q'23</t>
        </is>
      </c>
      <c r="O10" s="98" t="inlineStr">
        <is>
          <t>4Q'23</t>
        </is>
      </c>
      <c r="P10" s="98" t="inlineStr">
        <is>
          <t>1Q'24</t>
        </is>
      </c>
      <c r="Q10" s="98" t="inlineStr">
        <is>
          <t>2Q'24</t>
        </is>
      </c>
      <c r="R10" s="98" t="inlineStr">
        <is>
          <t>3Q'24</t>
        </is>
      </c>
      <c r="S10" s="98" t="inlineStr">
        <is>
          <t>4Q'24</t>
        </is>
      </c>
      <c r="T10" s="98" t="inlineStr">
        <is>
          <t>1Q'25</t>
        </is>
      </c>
      <c r="U10" s="98" t="inlineStr">
        <is>
          <t>2Q'25</t>
        </is>
      </c>
      <c r="V10" s="98" t="inlineStr">
        <is>
          <t>3Q'25</t>
        </is>
      </c>
      <c r="W10" s="98" t="inlineStr">
        <is>
          <t>4Q'25</t>
        </is>
      </c>
      <c r="X10" s="98" t="inlineStr">
        <is>
          <t>1Q'26</t>
        </is>
      </c>
      <c r="Y10" s="98" t="inlineStr">
        <is>
          <t>2Q'26</t>
        </is>
      </c>
    </row>
    <row r="11" ht="3" customHeight="1"/>
    <row r="12" ht="12.75" customHeight="1">
      <c r="C12" s="100" t="inlineStr">
        <is>
          <t>Current Assets:</t>
        </is>
      </c>
    </row>
    <row r="13" ht="12.75" customHeight="1">
      <c r="C13" s="154" t="inlineStr">
        <is>
          <t>Accounts receivable, net</t>
        </is>
      </c>
      <c r="D13" s="48">
        <f>SUMIFS('Balance Sheet'!14:14,'Balance Sheet'!$10:$10,'Quarterly NWC'!D$10)</f>
        <v/>
      </c>
      <c r="E13" s="48">
        <f>SUMIFS('Balance Sheet'!14:14,'Balance Sheet'!$10:$10,'Quarterly NWC'!E$10)</f>
        <v/>
      </c>
      <c r="F13" s="48">
        <f>SUMIFS('Balance Sheet'!14:14,'Balance Sheet'!$10:$10,'Quarterly NWC'!F$10)</f>
        <v/>
      </c>
      <c r="G13" s="48">
        <f>SUMIFS('Balance Sheet'!14:14,'Balance Sheet'!$10:$10,'Quarterly NWC'!G$10)</f>
        <v/>
      </c>
      <c r="H13" s="48">
        <f>SUMIFS('Balance Sheet'!14:14,'Balance Sheet'!$10:$10,'Quarterly NWC'!H$10)</f>
        <v/>
      </c>
      <c r="I13" s="48">
        <f>SUMIFS('Balance Sheet'!14:14,'Balance Sheet'!$10:$10,'Quarterly NWC'!I$10)</f>
        <v/>
      </c>
      <c r="J13" s="48">
        <f>SUMIFS('Balance Sheet'!14:14,'Balance Sheet'!$10:$10,'Quarterly NWC'!J$10)</f>
        <v/>
      </c>
      <c r="K13" s="48">
        <f>SUMIFS('Balance Sheet'!14:14,'Balance Sheet'!$10:$10,'Quarterly NWC'!K$10)</f>
        <v/>
      </c>
      <c r="L13" s="48">
        <f>SUMIFS('Balance Sheet'!14:14,'Balance Sheet'!$10:$10,'Quarterly NWC'!L$10)</f>
        <v/>
      </c>
      <c r="M13" s="48">
        <f>SUMIFS('Balance Sheet'!14:14,'Balance Sheet'!$10:$10,'Quarterly NWC'!M$10)</f>
        <v/>
      </c>
      <c r="N13" s="48">
        <f>SUMIFS('Balance Sheet'!14:14,'Balance Sheet'!$10:$10,'Quarterly NWC'!N$10)</f>
        <v/>
      </c>
      <c r="O13" s="48">
        <f>SUMIFS('Balance Sheet'!14:14,'Balance Sheet'!$10:$10,'Quarterly NWC'!O$10)</f>
        <v/>
      </c>
      <c r="P13" s="48">
        <f>SUMIFS('Balance Sheet'!14:14,'Balance Sheet'!$10:$10,'Quarterly NWC'!P$10)</f>
        <v/>
      </c>
      <c r="Q13" s="48">
        <f>SUMIFS('Balance Sheet'!14:14,'Balance Sheet'!$10:$10,'Quarterly NWC'!Q$10)</f>
        <v/>
      </c>
      <c r="R13" s="48">
        <f>SUMIFS('Balance Sheet'!14:14,'Balance Sheet'!$10:$10,'Quarterly NWC'!R$10)</f>
        <v/>
      </c>
      <c r="S13" s="48">
        <f>SUMIFS('Balance Sheet'!14:14,'Balance Sheet'!$10:$10,'Quarterly NWC'!S$10)</f>
        <v/>
      </c>
      <c r="T13" s="48">
        <f>SUMIFS('Balance Sheet'!14:14,'Balance Sheet'!$10:$10,'Quarterly NWC'!T$10)</f>
        <v/>
      </c>
      <c r="U13" s="48">
        <f>SUMIFS('Balance Sheet'!14:14,'Balance Sheet'!$10:$10,'Quarterly NWC'!U$10)</f>
        <v/>
      </c>
      <c r="V13" s="48">
        <f>SUMIFS('Balance Sheet'!14:14,'Balance Sheet'!$10:$10,'Quarterly NWC'!V$10)</f>
        <v/>
      </c>
      <c r="W13" s="48">
        <f>SUMIFS('Balance Sheet'!14:14,'Balance Sheet'!$10:$10,'Quarterly NWC'!W$10)</f>
        <v/>
      </c>
      <c r="X13" s="48">
        <f>SUMIFS('Balance Sheet'!14:14,'Balance Sheet'!$10:$10,'Quarterly NWC'!X$10)</f>
        <v/>
      </c>
      <c r="Y13" s="48">
        <f>SUMIFS('Balance Sheet'!14:14,'Balance Sheet'!$10:$10,'Quarterly NWC'!Y$10)</f>
        <v/>
      </c>
    </row>
    <row r="14" ht="12.75" customHeight="1">
      <c r="C14" s="154" t="inlineStr">
        <is>
          <t>Billed finance receivables</t>
        </is>
      </c>
      <c r="D14" s="53">
        <f>SUMIFS('Balance Sheet'!15:15,'Balance Sheet'!$10:$10,'Quarterly NWC'!D$10)</f>
        <v/>
      </c>
      <c r="E14" s="53">
        <f>SUMIFS('Balance Sheet'!15:15,'Balance Sheet'!$10:$10,'Quarterly NWC'!E$10)</f>
        <v/>
      </c>
      <c r="F14" s="53">
        <f>SUMIFS('Balance Sheet'!15:15,'Balance Sheet'!$10:$10,'Quarterly NWC'!F$10)</f>
        <v/>
      </c>
      <c r="G14" s="53">
        <f>SUMIFS('Balance Sheet'!15:15,'Balance Sheet'!$10:$10,'Quarterly NWC'!G$10)</f>
        <v/>
      </c>
      <c r="H14" s="53">
        <f>SUMIFS('Balance Sheet'!15:15,'Balance Sheet'!$10:$10,'Quarterly NWC'!H$10)</f>
        <v/>
      </c>
      <c r="I14" s="53">
        <f>SUMIFS('Balance Sheet'!15:15,'Balance Sheet'!$10:$10,'Quarterly NWC'!I$10)</f>
        <v/>
      </c>
      <c r="J14" s="53">
        <f>SUMIFS('Balance Sheet'!15:15,'Balance Sheet'!$10:$10,'Quarterly NWC'!J$10)</f>
        <v/>
      </c>
      <c r="K14" s="53">
        <f>SUMIFS('Balance Sheet'!15:15,'Balance Sheet'!$10:$10,'Quarterly NWC'!K$10)</f>
        <v/>
      </c>
      <c r="L14" s="53">
        <f>SUMIFS('Balance Sheet'!15:15,'Balance Sheet'!$10:$10,'Quarterly NWC'!L$10)</f>
        <v/>
      </c>
      <c r="M14" s="53">
        <f>SUMIFS('Balance Sheet'!15:15,'Balance Sheet'!$10:$10,'Quarterly NWC'!M$10)</f>
        <v/>
      </c>
      <c r="N14" s="53">
        <f>SUMIFS('Balance Sheet'!15:15,'Balance Sheet'!$10:$10,'Quarterly NWC'!N$10)</f>
        <v/>
      </c>
      <c r="O14" s="53">
        <f>SUMIFS('Balance Sheet'!15:15,'Balance Sheet'!$10:$10,'Quarterly NWC'!O$10)</f>
        <v/>
      </c>
      <c r="P14" s="53">
        <f>SUMIFS('Balance Sheet'!15:15,'Balance Sheet'!$10:$10,'Quarterly NWC'!P$10)</f>
        <v/>
      </c>
      <c r="Q14" s="53">
        <f>SUMIFS('Balance Sheet'!15:15,'Balance Sheet'!$10:$10,'Quarterly NWC'!Q$10)</f>
        <v/>
      </c>
      <c r="R14" s="53">
        <f>SUMIFS('Balance Sheet'!15:15,'Balance Sheet'!$10:$10,'Quarterly NWC'!R$10)</f>
        <v/>
      </c>
      <c r="S14" s="53">
        <f>SUMIFS('Balance Sheet'!15:15,'Balance Sheet'!$10:$10,'Quarterly NWC'!S$10)</f>
        <v/>
      </c>
      <c r="T14" s="53">
        <f>SUMIFS('Balance Sheet'!15:15,'Balance Sheet'!$10:$10,'Quarterly NWC'!T$10)</f>
        <v/>
      </c>
      <c r="U14" s="53">
        <f>SUMIFS('Balance Sheet'!15:15,'Balance Sheet'!$10:$10,'Quarterly NWC'!U$10)</f>
        <v/>
      </c>
      <c r="V14" s="53">
        <f>SUMIFS('Balance Sheet'!15:15,'Balance Sheet'!$10:$10,'Quarterly NWC'!V$10)</f>
        <v/>
      </c>
      <c r="W14" s="53">
        <f>SUMIFS('Balance Sheet'!15:15,'Balance Sheet'!$10:$10,'Quarterly NWC'!W$10)</f>
        <v/>
      </c>
      <c r="X14" s="53">
        <f>SUMIFS('Balance Sheet'!15:15,'Balance Sheet'!$10:$10,'Quarterly NWC'!X$10)</f>
        <v/>
      </c>
      <c r="Y14" s="53">
        <f>SUMIFS('Balance Sheet'!15:15,'Balance Sheet'!$10:$10,'Quarterly NWC'!Y$10)</f>
        <v/>
      </c>
    </row>
    <row r="15" ht="12.75" customHeight="1">
      <c r="C15" s="154" t="inlineStr">
        <is>
          <t>Inventories</t>
        </is>
      </c>
      <c r="D15" s="53">
        <f>SUMIFS('Balance Sheet'!17:17,'Balance Sheet'!$10:$10,'Quarterly NWC'!D$10)</f>
        <v/>
      </c>
      <c r="E15" s="53">
        <f>SUMIFS('Balance Sheet'!17:17,'Balance Sheet'!$10:$10,'Quarterly NWC'!E$10)</f>
        <v/>
      </c>
      <c r="F15" s="53">
        <f>SUMIFS('Balance Sheet'!17:17,'Balance Sheet'!$10:$10,'Quarterly NWC'!F$10)</f>
        <v/>
      </c>
      <c r="G15" s="53">
        <f>SUMIFS('Balance Sheet'!17:17,'Balance Sheet'!$10:$10,'Quarterly NWC'!G$10)</f>
        <v/>
      </c>
      <c r="H15" s="53">
        <f>SUMIFS('Balance Sheet'!17:17,'Balance Sheet'!$10:$10,'Quarterly NWC'!H$10)</f>
        <v/>
      </c>
      <c r="I15" s="53">
        <f>SUMIFS('Balance Sheet'!17:17,'Balance Sheet'!$10:$10,'Quarterly NWC'!I$10)</f>
        <v/>
      </c>
      <c r="J15" s="53">
        <f>SUMIFS('Balance Sheet'!17:17,'Balance Sheet'!$10:$10,'Quarterly NWC'!J$10)</f>
        <v/>
      </c>
      <c r="K15" s="53">
        <f>SUMIFS('Balance Sheet'!17:17,'Balance Sheet'!$10:$10,'Quarterly NWC'!K$10)</f>
        <v/>
      </c>
      <c r="L15" s="53">
        <f>SUMIFS('Balance Sheet'!17:17,'Balance Sheet'!$10:$10,'Quarterly NWC'!L$10)</f>
        <v/>
      </c>
      <c r="M15" s="53">
        <f>SUMIFS('Balance Sheet'!17:17,'Balance Sheet'!$10:$10,'Quarterly NWC'!M$10)</f>
        <v/>
      </c>
      <c r="N15" s="53">
        <f>SUMIFS('Balance Sheet'!17:17,'Balance Sheet'!$10:$10,'Quarterly NWC'!N$10)</f>
        <v/>
      </c>
      <c r="O15" s="53">
        <f>SUMIFS('Balance Sheet'!17:17,'Balance Sheet'!$10:$10,'Quarterly NWC'!O$10)</f>
        <v/>
      </c>
      <c r="P15" s="53">
        <f>SUMIFS('Balance Sheet'!17:17,'Balance Sheet'!$10:$10,'Quarterly NWC'!P$10)</f>
        <v/>
      </c>
      <c r="Q15" s="53">
        <f>SUMIFS('Balance Sheet'!17:17,'Balance Sheet'!$10:$10,'Quarterly NWC'!Q$10)</f>
        <v/>
      </c>
      <c r="R15" s="53">
        <f>SUMIFS('Balance Sheet'!17:17,'Balance Sheet'!$10:$10,'Quarterly NWC'!R$10)</f>
        <v/>
      </c>
      <c r="S15" s="53">
        <f>SUMIFS('Balance Sheet'!17:17,'Balance Sheet'!$10:$10,'Quarterly NWC'!S$10)</f>
        <v/>
      </c>
      <c r="T15" s="53">
        <f>SUMIFS('Balance Sheet'!17:17,'Balance Sheet'!$10:$10,'Quarterly NWC'!T$10)</f>
        <v/>
      </c>
      <c r="U15" s="53">
        <f>SUMIFS('Balance Sheet'!17:17,'Balance Sheet'!$10:$10,'Quarterly NWC'!U$10)</f>
        <v/>
      </c>
      <c r="V15" s="53">
        <f>SUMIFS('Balance Sheet'!17:17,'Balance Sheet'!$10:$10,'Quarterly NWC'!V$10)</f>
        <v/>
      </c>
      <c r="W15" s="53">
        <f>SUMIFS('Balance Sheet'!17:17,'Balance Sheet'!$10:$10,'Quarterly NWC'!W$10)</f>
        <v/>
      </c>
      <c r="X15" s="53">
        <f>SUMIFS('Balance Sheet'!17:17,'Balance Sheet'!$10:$10,'Quarterly NWC'!X$10)</f>
        <v/>
      </c>
      <c r="Y15" s="53">
        <f>SUMIFS('Balance Sheet'!17:17,'Balance Sheet'!$10:$10,'Quarterly NWC'!Y$10)</f>
        <v/>
      </c>
    </row>
    <row r="16" ht="12.75" customHeight="1">
      <c r="C16" s="154" t="inlineStr">
        <is>
          <t>Other current assets</t>
        </is>
      </c>
      <c r="D16" s="53">
        <f>SUMIFS('Balance Sheet'!18:18,'Balance Sheet'!$10:$10,'Quarterly NWC'!D$10)</f>
        <v/>
      </c>
      <c r="E16" s="53">
        <f>SUMIFS('Balance Sheet'!18:18,'Balance Sheet'!$10:$10,'Quarterly NWC'!E$10)</f>
        <v/>
      </c>
      <c r="F16" s="53">
        <f>SUMIFS('Balance Sheet'!18:18,'Balance Sheet'!$10:$10,'Quarterly NWC'!F$10)</f>
        <v/>
      </c>
      <c r="G16" s="53">
        <f>SUMIFS('Balance Sheet'!18:18,'Balance Sheet'!$10:$10,'Quarterly NWC'!G$10)</f>
        <v/>
      </c>
      <c r="H16" s="53">
        <f>SUMIFS('Balance Sheet'!18:18,'Balance Sheet'!$10:$10,'Quarterly NWC'!H$10)</f>
        <v/>
      </c>
      <c r="I16" s="53">
        <f>SUMIFS('Balance Sheet'!18:18,'Balance Sheet'!$10:$10,'Quarterly NWC'!I$10)</f>
        <v/>
      </c>
      <c r="J16" s="53">
        <f>SUMIFS('Balance Sheet'!18:18,'Balance Sheet'!$10:$10,'Quarterly NWC'!J$10)</f>
        <v/>
      </c>
      <c r="K16" s="53">
        <f>SUMIFS('Balance Sheet'!18:18,'Balance Sheet'!$10:$10,'Quarterly NWC'!K$10)</f>
        <v/>
      </c>
      <c r="L16" s="53">
        <f>SUMIFS('Balance Sheet'!18:18,'Balance Sheet'!$10:$10,'Quarterly NWC'!L$10)</f>
        <v/>
      </c>
      <c r="M16" s="53">
        <f>SUMIFS('Balance Sheet'!18:18,'Balance Sheet'!$10:$10,'Quarterly NWC'!M$10)</f>
        <v/>
      </c>
      <c r="N16" s="53">
        <f>SUMIFS('Balance Sheet'!18:18,'Balance Sheet'!$10:$10,'Quarterly NWC'!N$10)</f>
        <v/>
      </c>
      <c r="O16" s="53">
        <f>SUMIFS('Balance Sheet'!18:18,'Balance Sheet'!$10:$10,'Quarterly NWC'!O$10)</f>
        <v/>
      </c>
      <c r="P16" s="53">
        <f>SUMIFS('Balance Sheet'!18:18,'Balance Sheet'!$10:$10,'Quarterly NWC'!P$10)</f>
        <v/>
      </c>
      <c r="Q16" s="53">
        <f>SUMIFS('Balance Sheet'!18:18,'Balance Sheet'!$10:$10,'Quarterly NWC'!Q$10)</f>
        <v/>
      </c>
      <c r="R16" s="53">
        <f>SUMIFS('Balance Sheet'!18:18,'Balance Sheet'!$10:$10,'Quarterly NWC'!R$10)</f>
        <v/>
      </c>
      <c r="S16" s="53">
        <f>SUMIFS('Balance Sheet'!18:18,'Balance Sheet'!$10:$10,'Quarterly NWC'!S$10)</f>
        <v/>
      </c>
      <c r="T16" s="53">
        <f>SUMIFS('Balance Sheet'!18:18,'Balance Sheet'!$10:$10,'Quarterly NWC'!T$10)</f>
        <v/>
      </c>
      <c r="U16" s="53">
        <f>SUMIFS('Balance Sheet'!18:18,'Balance Sheet'!$10:$10,'Quarterly NWC'!U$10)</f>
        <v/>
      </c>
      <c r="V16" s="53">
        <f>SUMIFS('Balance Sheet'!18:18,'Balance Sheet'!$10:$10,'Quarterly NWC'!V$10)</f>
        <v/>
      </c>
      <c r="W16" s="53">
        <f>SUMIFS('Balance Sheet'!18:18,'Balance Sheet'!$10:$10,'Quarterly NWC'!W$10)</f>
        <v/>
      </c>
      <c r="X16" s="53">
        <f>SUMIFS('Balance Sheet'!18:18,'Balance Sheet'!$10:$10,'Quarterly NWC'!X$10)</f>
        <v/>
      </c>
      <c r="Y16" s="53">
        <f>SUMIFS('Balance Sheet'!18:18,'Balance Sheet'!$10:$10,'Quarterly NWC'!Y$10)</f>
        <v/>
      </c>
    </row>
    <row r="17" ht="12.75" customHeight="1">
      <c r="C17" s="167" t="inlineStr">
        <is>
          <t>Total Current Assets</t>
        </is>
      </c>
      <c r="D17" s="63">
        <f>SUM(D13:D16)</f>
        <v/>
      </c>
      <c r="E17" s="63">
        <f>SUM(E13:E16)</f>
        <v/>
      </c>
      <c r="F17" s="63">
        <f>SUM(F13:F16)</f>
        <v/>
      </c>
      <c r="G17" s="63">
        <f>SUM(G13:G16)</f>
        <v/>
      </c>
      <c r="H17" s="63">
        <f>SUM(H13:H16)</f>
        <v/>
      </c>
      <c r="I17" s="63">
        <f>SUM(I13:I16)</f>
        <v/>
      </c>
      <c r="J17" s="63">
        <f>SUM(J13:J16)</f>
        <v/>
      </c>
      <c r="K17" s="63">
        <f>SUM(K13:K16)</f>
        <v/>
      </c>
      <c r="L17" s="63">
        <f>SUM(L13:L16)</f>
        <v/>
      </c>
      <c r="M17" s="63">
        <f>SUM(M13:M16)</f>
        <v/>
      </c>
      <c r="N17" s="63">
        <f>SUM(N13:N16)</f>
        <v/>
      </c>
      <c r="O17" s="63">
        <f>SUM(O13:O16)</f>
        <v/>
      </c>
      <c r="P17" s="63">
        <f>SUM(P13:P16)</f>
        <v/>
      </c>
      <c r="Q17" s="63">
        <f>SUM(Q13:Q16)</f>
        <v/>
      </c>
      <c r="R17" s="63">
        <f>SUM(R13:R16)</f>
        <v/>
      </c>
      <c r="S17" s="63">
        <f>SUM(S13:S16)</f>
        <v/>
      </c>
      <c r="T17" s="63">
        <f>SUM(T13:T16)</f>
        <v/>
      </c>
      <c r="U17" s="63">
        <f>SUM(U13:U16)</f>
        <v/>
      </c>
      <c r="V17" s="63">
        <f>SUM(V13:V16)</f>
        <v/>
      </c>
      <c r="W17" s="63">
        <f>SUM(W13:W16)</f>
        <v/>
      </c>
      <c r="X17" s="63">
        <f>SUM(X13:X16)</f>
        <v/>
      </c>
      <c r="Y17" s="168">
        <f>SUM(Y13:Y16)</f>
        <v/>
      </c>
    </row>
    <row r="18" ht="4" customHeight="1"/>
    <row r="19" ht="12.75" customHeight="1">
      <c r="C19" s="100" t="inlineStr">
        <is>
          <t>Current Liabilities:</t>
        </is>
      </c>
    </row>
    <row r="20" ht="12.75" customHeight="1">
      <c r="C20" s="154" t="inlineStr">
        <is>
          <t>Accounts payable</t>
        </is>
      </c>
      <c r="D20" s="48">
        <f>SUMIFS('Balance Sheet'!37:37,'Balance Sheet'!$10:$10,'Quarterly NWC'!D$10)</f>
        <v/>
      </c>
      <c r="E20" s="48">
        <f>SUMIFS('Balance Sheet'!37:37,'Balance Sheet'!$10:$10,'Quarterly NWC'!E$10)</f>
        <v/>
      </c>
      <c r="F20" s="48">
        <f>SUMIFS('Balance Sheet'!37:37,'Balance Sheet'!$10:$10,'Quarterly NWC'!F$10)</f>
        <v/>
      </c>
      <c r="G20" s="48">
        <f>SUMIFS('Balance Sheet'!37:37,'Balance Sheet'!$10:$10,'Quarterly NWC'!G$10)</f>
        <v/>
      </c>
      <c r="H20" s="48">
        <f>SUMIFS('Balance Sheet'!37:37,'Balance Sheet'!$10:$10,'Quarterly NWC'!H$10)</f>
        <v/>
      </c>
      <c r="I20" s="48">
        <f>SUMIFS('Balance Sheet'!37:37,'Balance Sheet'!$10:$10,'Quarterly NWC'!I$10)</f>
        <v/>
      </c>
      <c r="J20" s="48">
        <f>SUMIFS('Balance Sheet'!37:37,'Balance Sheet'!$10:$10,'Quarterly NWC'!J$10)</f>
        <v/>
      </c>
      <c r="K20" s="48">
        <f>SUMIFS('Balance Sheet'!37:37,'Balance Sheet'!$10:$10,'Quarterly NWC'!K$10)</f>
        <v/>
      </c>
      <c r="L20" s="48">
        <f>SUMIFS('Balance Sheet'!37:37,'Balance Sheet'!$10:$10,'Quarterly NWC'!L$10)</f>
        <v/>
      </c>
      <c r="M20" s="48">
        <f>SUMIFS('Balance Sheet'!37:37,'Balance Sheet'!$10:$10,'Quarterly NWC'!M$10)</f>
        <v/>
      </c>
      <c r="N20" s="48">
        <f>SUMIFS('Balance Sheet'!37:37,'Balance Sheet'!$10:$10,'Quarterly NWC'!N$10)</f>
        <v/>
      </c>
      <c r="O20" s="48">
        <f>SUMIFS('Balance Sheet'!37:37,'Balance Sheet'!$10:$10,'Quarterly NWC'!O$10)</f>
        <v/>
      </c>
      <c r="P20" s="48">
        <f>SUMIFS('Balance Sheet'!37:37,'Balance Sheet'!$10:$10,'Quarterly NWC'!P$10)</f>
        <v/>
      </c>
      <c r="Q20" s="48">
        <f>SUMIFS('Balance Sheet'!37:37,'Balance Sheet'!$10:$10,'Quarterly NWC'!Q$10)</f>
        <v/>
      </c>
      <c r="R20" s="48">
        <f>SUMIFS('Balance Sheet'!37:37,'Balance Sheet'!$10:$10,'Quarterly NWC'!R$10)</f>
        <v/>
      </c>
      <c r="S20" s="48">
        <f>SUMIFS('Balance Sheet'!37:37,'Balance Sheet'!$10:$10,'Quarterly NWC'!S$10)</f>
        <v/>
      </c>
      <c r="T20" s="48">
        <f>SUMIFS('Balance Sheet'!37:37,'Balance Sheet'!$10:$10,'Quarterly NWC'!T$10)</f>
        <v/>
      </c>
      <c r="U20" s="48">
        <f>SUMIFS('Balance Sheet'!37:37,'Balance Sheet'!$10:$10,'Quarterly NWC'!U$10)</f>
        <v/>
      </c>
      <c r="V20" s="48">
        <f>SUMIFS('Balance Sheet'!37:37,'Balance Sheet'!$10:$10,'Quarterly NWC'!V$10)</f>
        <v/>
      </c>
      <c r="W20" s="48">
        <f>SUMIFS('Balance Sheet'!37:37,'Balance Sheet'!$10:$10,'Quarterly NWC'!W$10)</f>
        <v/>
      </c>
      <c r="X20" s="48">
        <f>SUMIFS('Balance Sheet'!37:37,'Balance Sheet'!$10:$10,'Quarterly NWC'!X$10)</f>
        <v/>
      </c>
      <c r="Y20" s="48">
        <f>SUMIFS('Balance Sheet'!37:37,'Balance Sheet'!$10:$10,'Quarterly NWC'!Y$10)</f>
        <v/>
      </c>
    </row>
    <row r="21" ht="12.75" customHeight="1">
      <c r="C21" s="154" t="inlineStr">
        <is>
          <t>Accrued compensation &amp; benefits</t>
        </is>
      </c>
      <c r="D21" s="53">
        <f>SUMIFS('Balance Sheet'!38:38,'Balance Sheet'!$10:$10,'Quarterly NWC'!D$10)</f>
        <v/>
      </c>
      <c r="E21" s="53">
        <f>SUMIFS('Balance Sheet'!38:38,'Balance Sheet'!$10:$10,'Quarterly NWC'!E$10)</f>
        <v/>
      </c>
      <c r="F21" s="53">
        <f>SUMIFS('Balance Sheet'!38:38,'Balance Sheet'!$10:$10,'Quarterly NWC'!F$10)</f>
        <v/>
      </c>
      <c r="G21" s="53">
        <f>SUMIFS('Balance Sheet'!38:38,'Balance Sheet'!$10:$10,'Quarterly NWC'!G$10)</f>
        <v/>
      </c>
      <c r="H21" s="53">
        <f>SUMIFS('Balance Sheet'!38:38,'Balance Sheet'!$10:$10,'Quarterly NWC'!H$10)</f>
        <v/>
      </c>
      <c r="I21" s="53">
        <f>SUMIFS('Balance Sheet'!38:38,'Balance Sheet'!$10:$10,'Quarterly NWC'!I$10)</f>
        <v/>
      </c>
      <c r="J21" s="53">
        <f>SUMIFS('Balance Sheet'!38:38,'Balance Sheet'!$10:$10,'Quarterly NWC'!J$10)</f>
        <v/>
      </c>
      <c r="K21" s="53">
        <f>SUMIFS('Balance Sheet'!38:38,'Balance Sheet'!$10:$10,'Quarterly NWC'!K$10)</f>
        <v/>
      </c>
      <c r="L21" s="53">
        <f>SUMIFS('Balance Sheet'!38:38,'Balance Sheet'!$10:$10,'Quarterly NWC'!L$10)</f>
        <v/>
      </c>
      <c r="M21" s="53">
        <f>SUMIFS('Balance Sheet'!38:38,'Balance Sheet'!$10:$10,'Quarterly NWC'!M$10)</f>
        <v/>
      </c>
      <c r="N21" s="53">
        <f>SUMIFS('Balance Sheet'!38:38,'Balance Sheet'!$10:$10,'Quarterly NWC'!N$10)</f>
        <v/>
      </c>
      <c r="O21" s="53">
        <f>SUMIFS('Balance Sheet'!38:38,'Balance Sheet'!$10:$10,'Quarterly NWC'!O$10)</f>
        <v/>
      </c>
      <c r="P21" s="53">
        <f>SUMIFS('Balance Sheet'!38:38,'Balance Sheet'!$10:$10,'Quarterly NWC'!P$10)</f>
        <v/>
      </c>
      <c r="Q21" s="53">
        <f>SUMIFS('Balance Sheet'!38:38,'Balance Sheet'!$10:$10,'Quarterly NWC'!Q$10)</f>
        <v/>
      </c>
      <c r="R21" s="53">
        <f>SUMIFS('Balance Sheet'!38:38,'Balance Sheet'!$10:$10,'Quarterly NWC'!R$10)</f>
        <v/>
      </c>
      <c r="S21" s="53">
        <f>SUMIFS('Balance Sheet'!38:38,'Balance Sheet'!$10:$10,'Quarterly NWC'!S$10)</f>
        <v/>
      </c>
      <c r="T21" s="53">
        <f>SUMIFS('Balance Sheet'!38:38,'Balance Sheet'!$10:$10,'Quarterly NWC'!T$10)</f>
        <v/>
      </c>
      <c r="U21" s="53">
        <f>SUMIFS('Balance Sheet'!38:38,'Balance Sheet'!$10:$10,'Quarterly NWC'!U$10)</f>
        <v/>
      </c>
      <c r="V21" s="53">
        <f>SUMIFS('Balance Sheet'!38:38,'Balance Sheet'!$10:$10,'Quarterly NWC'!V$10)</f>
        <v/>
      </c>
      <c r="W21" s="53">
        <f>SUMIFS('Balance Sheet'!38:38,'Balance Sheet'!$10:$10,'Quarterly NWC'!W$10)</f>
        <v/>
      </c>
      <c r="X21" s="53">
        <f>SUMIFS('Balance Sheet'!38:38,'Balance Sheet'!$10:$10,'Quarterly NWC'!X$10)</f>
        <v/>
      </c>
      <c r="Y21" s="53">
        <f>SUMIFS('Balance Sheet'!38:38,'Balance Sheet'!$10:$10,'Quarterly NWC'!Y$10)</f>
        <v/>
      </c>
    </row>
    <row r="22" ht="12.75" customHeight="1">
      <c r="C22" s="154" t="inlineStr">
        <is>
          <t>Accrued exp. &amp; other CL</t>
        </is>
      </c>
      <c r="D22" s="53">
        <f>SUMIFS('Balance Sheet'!39:39,'Balance Sheet'!$10:$10,'Quarterly NWC'!D$10)</f>
        <v/>
      </c>
      <c r="E22" s="53">
        <f>SUMIFS('Balance Sheet'!39:39,'Balance Sheet'!$10:$10,'Quarterly NWC'!E$10)</f>
        <v/>
      </c>
      <c r="F22" s="53">
        <f>SUMIFS('Balance Sheet'!39:39,'Balance Sheet'!$10:$10,'Quarterly NWC'!F$10)</f>
        <v/>
      </c>
      <c r="G22" s="53">
        <f>SUMIFS('Balance Sheet'!39:39,'Balance Sheet'!$10:$10,'Quarterly NWC'!G$10)</f>
        <v/>
      </c>
      <c r="H22" s="53">
        <f>SUMIFS('Balance Sheet'!39:39,'Balance Sheet'!$10:$10,'Quarterly NWC'!H$10)</f>
        <v/>
      </c>
      <c r="I22" s="53">
        <f>SUMIFS('Balance Sheet'!39:39,'Balance Sheet'!$10:$10,'Quarterly NWC'!I$10)</f>
        <v/>
      </c>
      <c r="J22" s="53">
        <f>SUMIFS('Balance Sheet'!39:39,'Balance Sheet'!$10:$10,'Quarterly NWC'!J$10)</f>
        <v/>
      </c>
      <c r="K22" s="53">
        <f>SUMIFS('Balance Sheet'!39:39,'Balance Sheet'!$10:$10,'Quarterly NWC'!K$10)</f>
        <v/>
      </c>
      <c r="L22" s="53">
        <f>SUMIFS('Balance Sheet'!39:39,'Balance Sheet'!$10:$10,'Quarterly NWC'!L$10)</f>
        <v/>
      </c>
      <c r="M22" s="53">
        <f>SUMIFS('Balance Sheet'!39:39,'Balance Sheet'!$10:$10,'Quarterly NWC'!M$10)</f>
        <v/>
      </c>
      <c r="N22" s="53">
        <f>SUMIFS('Balance Sheet'!39:39,'Balance Sheet'!$10:$10,'Quarterly NWC'!N$10)</f>
        <v/>
      </c>
      <c r="O22" s="53">
        <f>SUMIFS('Balance Sheet'!39:39,'Balance Sheet'!$10:$10,'Quarterly NWC'!O$10)</f>
        <v/>
      </c>
      <c r="P22" s="53">
        <f>SUMIFS('Balance Sheet'!39:39,'Balance Sheet'!$10:$10,'Quarterly NWC'!P$10)</f>
        <v/>
      </c>
      <c r="Q22" s="53">
        <f>SUMIFS('Balance Sheet'!39:39,'Balance Sheet'!$10:$10,'Quarterly NWC'!Q$10)</f>
        <v/>
      </c>
      <c r="R22" s="53">
        <f>SUMIFS('Balance Sheet'!39:39,'Balance Sheet'!$10:$10,'Quarterly NWC'!R$10)</f>
        <v/>
      </c>
      <c r="S22" s="53">
        <f>SUMIFS('Balance Sheet'!39:39,'Balance Sheet'!$10:$10,'Quarterly NWC'!S$10)</f>
        <v/>
      </c>
      <c r="T22" s="53">
        <f>SUMIFS('Balance Sheet'!39:39,'Balance Sheet'!$10:$10,'Quarterly NWC'!T$10)</f>
        <v/>
      </c>
      <c r="U22" s="53">
        <f>SUMIFS('Balance Sheet'!39:39,'Balance Sheet'!$10:$10,'Quarterly NWC'!U$10)</f>
        <v/>
      </c>
      <c r="V22" s="53">
        <f>SUMIFS('Balance Sheet'!39:39,'Balance Sheet'!$10:$10,'Quarterly NWC'!V$10)</f>
        <v/>
      </c>
      <c r="W22" s="53">
        <f>SUMIFS('Balance Sheet'!39:39,'Balance Sheet'!$10:$10,'Quarterly NWC'!W$10)</f>
        <v/>
      </c>
      <c r="X22" s="53">
        <f>SUMIFS('Balance Sheet'!39:39,'Balance Sheet'!$10:$10,'Quarterly NWC'!X$10)</f>
        <v/>
      </c>
      <c r="Y22" s="53">
        <f>SUMIFS('Balance Sheet'!39:39,'Balance Sheet'!$10:$10,'Quarterly NWC'!Y$10)</f>
        <v/>
      </c>
    </row>
    <row r="23" ht="12.75" customHeight="1" thickBot="1">
      <c r="C23" s="342" t="inlineStr">
        <is>
          <t>Total Current Liabilities</t>
        </is>
      </c>
      <c r="D23" s="344">
        <f>SUM(D20:D22)</f>
        <v/>
      </c>
      <c r="E23" s="344">
        <f>SUM(E20:E22)</f>
        <v/>
      </c>
      <c r="F23" s="344">
        <f>SUM(F20:F22)</f>
        <v/>
      </c>
      <c r="G23" s="344">
        <f>SUM(G20:G22)</f>
        <v/>
      </c>
      <c r="H23" s="344">
        <f>SUM(H20:H22)</f>
        <v/>
      </c>
      <c r="I23" s="344">
        <f>SUM(I20:I22)</f>
        <v/>
      </c>
      <c r="J23" s="344">
        <f>SUM(J20:J22)</f>
        <v/>
      </c>
      <c r="K23" s="344">
        <f>SUM(K20:K22)</f>
        <v/>
      </c>
      <c r="L23" s="344">
        <f>SUM(L20:L22)</f>
        <v/>
      </c>
      <c r="M23" s="344">
        <f>SUM(M20:M22)</f>
        <v/>
      </c>
      <c r="N23" s="344">
        <f>SUM(N20:N22)</f>
        <v/>
      </c>
      <c r="O23" s="344">
        <f>SUM(O20:O22)</f>
        <v/>
      </c>
      <c r="P23" s="344">
        <f>SUM(P20:P22)</f>
        <v/>
      </c>
      <c r="Q23" s="344">
        <f>SUM(Q20:Q22)</f>
        <v/>
      </c>
      <c r="R23" s="344">
        <f>SUM(R20:R22)</f>
        <v/>
      </c>
      <c r="S23" s="344">
        <f>SUM(S20:S22)</f>
        <v/>
      </c>
      <c r="T23" s="344">
        <f>SUM(T20:T22)</f>
        <v/>
      </c>
      <c r="U23" s="344">
        <f>SUM(U20:U22)</f>
        <v/>
      </c>
      <c r="V23" s="344">
        <f>SUM(V20:V22)</f>
        <v/>
      </c>
      <c r="W23" s="344">
        <f>SUM(W20:W22)</f>
        <v/>
      </c>
      <c r="X23" s="344">
        <f>SUM(X20:X22)</f>
        <v/>
      </c>
      <c r="Y23" s="344">
        <f>SUM(Y20:Y22)</f>
        <v/>
      </c>
    </row>
    <row r="24" ht="4" customHeight="1"/>
    <row r="25" ht="12.75" customHeight="1">
      <c r="C25" s="414" t="inlineStr">
        <is>
          <t>NWC</t>
        </is>
      </c>
      <c r="D25" s="415">
        <f>D17-D23</f>
        <v/>
      </c>
      <c r="E25" s="415">
        <f>E17-E23</f>
        <v/>
      </c>
      <c r="F25" s="415">
        <f>F17-F23</f>
        <v/>
      </c>
      <c r="G25" s="415">
        <f>G17-G23</f>
        <v/>
      </c>
      <c r="H25" s="415">
        <f>H17-H23</f>
        <v/>
      </c>
      <c r="I25" s="415">
        <f>I17-I23</f>
        <v/>
      </c>
      <c r="J25" s="415">
        <f>J17-J23</f>
        <v/>
      </c>
      <c r="K25" s="415">
        <f>K17-K23</f>
        <v/>
      </c>
      <c r="L25" s="415">
        <f>L17-L23</f>
        <v/>
      </c>
      <c r="M25" s="415">
        <f>M17-M23</f>
        <v/>
      </c>
      <c r="N25" s="415">
        <f>N17-N23</f>
        <v/>
      </c>
      <c r="O25" s="415">
        <f>O17-O23</f>
        <v/>
      </c>
      <c r="P25" s="415">
        <f>P17-P23</f>
        <v/>
      </c>
      <c r="Q25" s="415">
        <f>Q17-Q23</f>
        <v/>
      </c>
      <c r="R25" s="415">
        <f>R17-R23</f>
        <v/>
      </c>
      <c r="S25" s="415">
        <f>S17-S23</f>
        <v/>
      </c>
      <c r="T25" s="415">
        <f>T17-T23</f>
        <v/>
      </c>
      <c r="U25" s="415">
        <f>U17-U23</f>
        <v/>
      </c>
      <c r="V25" s="415">
        <f>V17-V23</f>
        <v/>
      </c>
      <c r="W25" s="415">
        <f>W17-W23</f>
        <v/>
      </c>
      <c r="X25" s="415">
        <f>X17-X23</f>
        <v/>
      </c>
      <c r="Y25" s="416">
        <f>Y17-Y23</f>
        <v/>
      </c>
    </row>
    <row r="26" ht="12.75" customHeight="1">
      <c r="B26" s="94" t="inlineStr">
        <is>
          <t>x</t>
        </is>
      </c>
      <c r="C26" s="178" t="inlineStr">
        <is>
          <t>Change in NWC</t>
        </is>
      </c>
      <c r="D26" s="65" t="n"/>
      <c r="E26" s="413">
        <f>D25-E25</f>
        <v/>
      </c>
      <c r="F26" s="413">
        <f>E25-F25</f>
        <v/>
      </c>
      <c r="G26" s="413">
        <f>F25-G25</f>
        <v/>
      </c>
      <c r="H26" s="413">
        <f>G25-H25</f>
        <v/>
      </c>
      <c r="I26" s="413">
        <f>H25-I25</f>
        <v/>
      </c>
      <c r="J26" s="413">
        <f>I25-J25</f>
        <v/>
      </c>
      <c r="K26" s="413">
        <f>J25-K25</f>
        <v/>
      </c>
      <c r="L26" s="413">
        <f>K25-L25</f>
        <v/>
      </c>
      <c r="M26" s="413">
        <f>L25-M25</f>
        <v/>
      </c>
      <c r="N26" s="413">
        <f>M25-N25</f>
        <v/>
      </c>
      <c r="O26" s="413">
        <f>N25-O25</f>
        <v/>
      </c>
      <c r="P26" s="413">
        <f>O25-P25</f>
        <v/>
      </c>
      <c r="Q26" s="413">
        <f>P25-Q25</f>
        <v/>
      </c>
      <c r="R26" s="413">
        <f>Q25-R25</f>
        <v/>
      </c>
      <c r="S26" s="413">
        <f>R25-S25</f>
        <v/>
      </c>
      <c r="T26" s="413">
        <f>S25-T25</f>
        <v/>
      </c>
      <c r="U26" s="413">
        <f>T25-U25</f>
        <v/>
      </c>
      <c r="V26" s="413">
        <f>U25-V25</f>
        <v/>
      </c>
      <c r="W26" s="413">
        <f>V25-W25</f>
        <v/>
      </c>
      <c r="X26" s="413">
        <f>W25-X25</f>
        <v/>
      </c>
      <c r="Y26" s="413">
        <f>X25-Y25</f>
        <v/>
      </c>
    </row>
    <row r="27" ht="12.75" customFormat="1" customHeight="1" s="203">
      <c r="B27" s="94" t="n"/>
      <c r="C27" s="411" t="n"/>
      <c r="D27" s="412" t="n"/>
      <c r="E27" s="412" t="n"/>
      <c r="F27" s="412" t="n"/>
      <c r="G27" s="412" t="n"/>
      <c r="H27" s="412" t="n"/>
      <c r="I27" s="412" t="n"/>
      <c r="J27" s="412" t="n"/>
      <c r="K27" s="412" t="n"/>
      <c r="L27" s="412" t="n"/>
      <c r="M27" s="412" t="n"/>
      <c r="N27" s="412" t="n"/>
      <c r="O27" s="412" t="n"/>
      <c r="P27" s="412" t="n"/>
      <c r="Q27" s="412" t="n"/>
      <c r="R27" s="412" t="n"/>
      <c r="S27" s="412" t="n"/>
      <c r="T27" s="412" t="n"/>
      <c r="U27" s="412" t="n"/>
      <c r="V27" s="412" t="n"/>
      <c r="W27" s="412" t="n"/>
      <c r="X27" s="412" t="n"/>
      <c r="Y27" s="412" t="n"/>
    </row>
    <row r="28" ht="12.75" customFormat="1" customHeight="1" s="203">
      <c r="B28" s="94" t="n"/>
      <c r="C28" s="411" t="n"/>
      <c r="D28" s="412" t="n"/>
      <c r="E28" s="412" t="n"/>
      <c r="F28" s="412" t="n"/>
      <c r="G28" s="412" t="n"/>
      <c r="H28" s="412" t="n"/>
      <c r="I28" s="412" t="n"/>
      <c r="J28" s="412" t="n"/>
      <c r="K28" s="412" t="n"/>
      <c r="L28" s="412" t="n"/>
      <c r="M28" s="412" t="n"/>
      <c r="N28" s="412" t="n"/>
      <c r="O28" s="412" t="n"/>
      <c r="P28" s="412" t="n"/>
      <c r="Q28" s="412" t="n"/>
      <c r="R28" s="412" t="n"/>
      <c r="S28" s="412" t="n"/>
      <c r="T28" s="412" t="n"/>
      <c r="U28" s="412" t="n"/>
      <c r="V28" s="412" t="n"/>
      <c r="W28" s="412" t="n"/>
      <c r="X28" s="412" t="n"/>
      <c r="Y28" s="412" t="n"/>
    </row>
    <row r="29" ht="12.75" customFormat="1" customHeight="1" s="203">
      <c r="B29" s="94" t="n"/>
      <c r="C29" s="411" t="n"/>
      <c r="D29" s="412" t="n"/>
      <c r="E29" s="412" t="n"/>
      <c r="F29" s="412" t="n"/>
      <c r="G29" s="412" t="n"/>
      <c r="H29" s="412" t="n"/>
      <c r="I29" s="412" t="n"/>
      <c r="J29" s="412" t="n"/>
      <c r="K29" s="412" t="n"/>
      <c r="L29" s="412" t="n"/>
      <c r="M29" s="412" t="n"/>
      <c r="N29" s="412" t="n"/>
      <c r="O29" s="412" t="n"/>
      <c r="P29" s="412" t="n"/>
      <c r="Q29" s="412" t="n"/>
      <c r="R29" s="412" t="n"/>
      <c r="S29" s="412" t="n"/>
      <c r="T29" s="412" t="n"/>
      <c r="U29" s="412" t="n"/>
      <c r="V29" s="412" t="n"/>
      <c r="W29" s="412" t="n"/>
      <c r="X29" s="412" t="n"/>
      <c r="Y29" s="412" t="n"/>
    </row>
    <row r="30" ht="12.75" customHeight="1">
      <c r="A30" s="13" t="n"/>
      <c r="B30" s="94" t="inlineStr">
        <is>
          <t>x</t>
        </is>
      </c>
      <c r="C30" s="35" t="inlineStr">
        <is>
          <t>Annual NWC</t>
        </is>
      </c>
      <c r="D30" s="36" t="inlineStr">
        <is>
          <t>Fiscal Year</t>
        </is>
      </c>
      <c r="E30" s="204" t="n"/>
      <c r="F30" s="204" t="n"/>
      <c r="G30" s="204" t="n"/>
      <c r="H30" s="204" t="n"/>
      <c r="I30" s="410" t="n"/>
      <c r="J30" s="410" t="n"/>
      <c r="K30" s="410" t="n"/>
      <c r="L30" s="410" t="n"/>
      <c r="M30" s="408" t="n"/>
      <c r="N30" s="408" t="n"/>
      <c r="O30" s="408" t="n"/>
      <c r="P30" s="408" t="n"/>
      <c r="Q30" s="408" t="n"/>
      <c r="R30" s="408" t="n"/>
      <c r="S30" s="408" t="n"/>
      <c r="T30" s="408" t="n"/>
      <c r="U30" s="408" t="n"/>
      <c r="V30" s="408" t="n"/>
      <c r="W30" s="408" t="n"/>
      <c r="X30" s="408" t="n"/>
      <c r="Y30" s="408" t="n"/>
    </row>
    <row r="31" ht="12.75" customHeight="1">
      <c r="C31" s="97" t="n"/>
      <c r="D31" s="98" t="n">
        <v>2021</v>
      </c>
      <c r="E31" s="98">
        <f>D31+1</f>
        <v/>
      </c>
      <c r="F31" s="98">
        <f>E31+1</f>
        <v/>
      </c>
      <c r="G31" s="98">
        <f>F31+1</f>
        <v/>
      </c>
      <c r="H31" s="98">
        <f>G31+1</f>
        <v/>
      </c>
      <c r="I31" s="409" t="n"/>
      <c r="J31" s="409" t="n"/>
      <c r="K31" s="409" t="n"/>
      <c r="L31" s="409" t="n"/>
      <c r="M31" s="409" t="n"/>
      <c r="N31" s="409" t="n"/>
      <c r="O31" s="409" t="n"/>
      <c r="P31" s="409" t="n"/>
      <c r="Q31" s="409" t="n"/>
      <c r="R31" s="409" t="n"/>
      <c r="S31" s="409" t="n"/>
      <c r="T31" s="409" t="n"/>
      <c r="U31" s="409" t="n"/>
      <c r="V31" s="409" t="n"/>
      <c r="W31" s="409" t="n"/>
      <c r="X31" s="409" t="n"/>
      <c r="Y31" s="409" t="n"/>
    </row>
    <row r="32" ht="4" customHeight="1"/>
    <row r="33" ht="12.75" customHeight="1">
      <c r="C33" s="100" t="inlineStr">
        <is>
          <t>Current Assets:</t>
        </is>
      </c>
    </row>
    <row r="34" ht="12.75" customHeight="1">
      <c r="C34" s="154" t="inlineStr">
        <is>
          <t>Accounts receivable, net</t>
        </is>
      </c>
      <c r="D34" s="48">
        <f>SUMIFS('Balance Sheet'!14:14,'Balance Sheet'!$10:$10,'Quarterly NWC'!D$31)</f>
        <v/>
      </c>
      <c r="E34" s="48">
        <f>SUMIFS('Balance Sheet'!14:14,'Balance Sheet'!$10:$10,'Quarterly NWC'!E$31)</f>
        <v/>
      </c>
      <c r="F34" s="48">
        <f>SUMIFS('Balance Sheet'!14:14,'Balance Sheet'!$10:$10,'Quarterly NWC'!F$31)</f>
        <v/>
      </c>
      <c r="G34" s="48">
        <f>SUMIFS('Balance Sheet'!14:14,'Balance Sheet'!$10:$10,'Quarterly NWC'!G$31)</f>
        <v/>
      </c>
      <c r="H34" s="48">
        <f>SUMIFS('Balance Sheet'!14:14,'Balance Sheet'!$10:$10,'Quarterly NWC'!H$31)</f>
        <v/>
      </c>
    </row>
    <row r="35" ht="12.75" customHeight="1">
      <c r="C35" s="154" t="inlineStr">
        <is>
          <t>Billed finance receivables</t>
        </is>
      </c>
      <c r="D35" s="48">
        <f>SUMIFS('Balance Sheet'!15:15,'Balance Sheet'!$10:$10,'Quarterly NWC'!D$31)</f>
        <v/>
      </c>
      <c r="E35" s="48">
        <f>SUMIFS('Balance Sheet'!15:15,'Balance Sheet'!$10:$10,'Quarterly NWC'!E$31)</f>
        <v/>
      </c>
      <c r="F35" s="48">
        <f>SUMIFS('Balance Sheet'!15:15,'Balance Sheet'!$10:$10,'Quarterly NWC'!F$31)</f>
        <v/>
      </c>
      <c r="G35" s="48">
        <f>SUMIFS('Balance Sheet'!15:15,'Balance Sheet'!$10:$10,'Quarterly NWC'!G$31)</f>
        <v/>
      </c>
      <c r="H35" s="48">
        <f>SUMIFS('Balance Sheet'!15:15,'Balance Sheet'!$10:$10,'Quarterly NWC'!H$31)</f>
        <v/>
      </c>
    </row>
    <row r="36" ht="12.75" customHeight="1">
      <c r="C36" s="154" t="inlineStr">
        <is>
          <t>Inventories</t>
        </is>
      </c>
      <c r="D36" s="48">
        <f>SUMIFS('Balance Sheet'!17:17,'Balance Sheet'!$10:$10,'Quarterly NWC'!D$31)</f>
        <v/>
      </c>
      <c r="E36" s="48">
        <f>SUMIFS('Balance Sheet'!17:17,'Balance Sheet'!$10:$10,'Quarterly NWC'!E$31)</f>
        <v/>
      </c>
      <c r="F36" s="48">
        <f>SUMIFS('Balance Sheet'!17:17,'Balance Sheet'!$10:$10,'Quarterly NWC'!F$31)</f>
        <v/>
      </c>
      <c r="G36" s="48">
        <f>SUMIFS('Balance Sheet'!17:17,'Balance Sheet'!$10:$10,'Quarterly NWC'!G$31)</f>
        <v/>
      </c>
      <c r="H36" s="48">
        <f>SUMIFS('Balance Sheet'!17:17,'Balance Sheet'!$10:$10,'Quarterly NWC'!H$31)</f>
        <v/>
      </c>
    </row>
    <row r="37" ht="12.75" customHeight="1">
      <c r="C37" s="154" t="inlineStr">
        <is>
          <t>Other current assets</t>
        </is>
      </c>
      <c r="D37" s="48">
        <f>SUMIFS('Balance Sheet'!18:18,'Balance Sheet'!$10:$10,'Quarterly NWC'!D$31)</f>
        <v/>
      </c>
      <c r="E37" s="48">
        <f>SUMIFS('Balance Sheet'!18:18,'Balance Sheet'!$10:$10,'Quarterly NWC'!E$31)</f>
        <v/>
      </c>
      <c r="F37" s="48">
        <f>SUMIFS('Balance Sheet'!18:18,'Balance Sheet'!$10:$10,'Quarterly NWC'!F$31)</f>
        <v/>
      </c>
      <c r="G37" s="48">
        <f>SUMIFS('Balance Sheet'!18:18,'Balance Sheet'!$10:$10,'Quarterly NWC'!G$31)</f>
        <v/>
      </c>
      <c r="H37" s="48">
        <f>SUMIFS('Balance Sheet'!18:18,'Balance Sheet'!$10:$10,'Quarterly NWC'!H$31)</f>
        <v/>
      </c>
    </row>
    <row r="38" ht="12.75" customHeight="1">
      <c r="C38" s="167" t="inlineStr">
        <is>
          <t>Total Current Assets</t>
        </is>
      </c>
      <c r="D38" s="63">
        <f>SUM(D34:D37)</f>
        <v/>
      </c>
      <c r="E38" s="63">
        <f>SUM(E34:E37)</f>
        <v/>
      </c>
      <c r="F38" s="63">
        <f>SUM(F34:F37)</f>
        <v/>
      </c>
      <c r="G38" s="63">
        <f>SUM(G34:G37)</f>
        <v/>
      </c>
      <c r="H38" s="168">
        <f>SUM(H34:H37)</f>
        <v/>
      </c>
    </row>
    <row r="39" ht="4" customHeight="1"/>
    <row r="40" ht="12.75" customHeight="1">
      <c r="C40" s="100" t="inlineStr">
        <is>
          <t>Current Liabilities:</t>
        </is>
      </c>
    </row>
    <row r="41" ht="12.75" customHeight="1">
      <c r="C41" s="154" t="inlineStr">
        <is>
          <t>Accounts payable</t>
        </is>
      </c>
      <c r="D41" s="48">
        <f>SUMIFS('Balance Sheet'!37:37,'Balance Sheet'!$10:$10,'Quarterly NWC'!D$31)</f>
        <v/>
      </c>
      <c r="E41" s="48">
        <f>SUMIFS('Balance Sheet'!37:37,'Balance Sheet'!$10:$10,'Quarterly NWC'!E$31)</f>
        <v/>
      </c>
      <c r="F41" s="48">
        <f>SUMIFS('Balance Sheet'!37:37,'Balance Sheet'!$10:$10,'Quarterly NWC'!F$31)</f>
        <v/>
      </c>
      <c r="G41" s="48">
        <f>SUMIFS('Balance Sheet'!37:37,'Balance Sheet'!$10:$10,'Quarterly NWC'!G$31)</f>
        <v/>
      </c>
      <c r="H41" s="48">
        <f>SUMIFS('Balance Sheet'!37:37,'Balance Sheet'!$10:$10,'Quarterly NWC'!H$31)</f>
        <v/>
      </c>
    </row>
    <row r="42" ht="12.75" customHeight="1">
      <c r="C42" s="154" t="inlineStr">
        <is>
          <t>Accrued compensation &amp; benefits</t>
        </is>
      </c>
      <c r="D42" s="48">
        <f>SUMIFS('Balance Sheet'!38:38,'Balance Sheet'!$10:$10,'Quarterly NWC'!D$31)</f>
        <v/>
      </c>
      <c r="E42" s="48">
        <f>SUMIFS('Balance Sheet'!38:38,'Balance Sheet'!$10:$10,'Quarterly NWC'!E$31)</f>
        <v/>
      </c>
      <c r="F42" s="48">
        <f>SUMIFS('Balance Sheet'!38:38,'Balance Sheet'!$10:$10,'Quarterly NWC'!F$31)</f>
        <v/>
      </c>
      <c r="G42" s="48">
        <f>SUMIFS('Balance Sheet'!38:38,'Balance Sheet'!$10:$10,'Quarterly NWC'!G$31)</f>
        <v/>
      </c>
      <c r="H42" s="48">
        <f>SUMIFS('Balance Sheet'!38:38,'Balance Sheet'!$10:$10,'Quarterly NWC'!H$31)</f>
        <v/>
      </c>
    </row>
    <row r="43" ht="12.75" customHeight="1">
      <c r="C43" s="154" t="inlineStr">
        <is>
          <t>Accrued exp. &amp; other CL</t>
        </is>
      </c>
      <c r="D43" s="48">
        <f>SUMIFS('Balance Sheet'!39:39,'Balance Sheet'!$10:$10,'Quarterly NWC'!D$31)</f>
        <v/>
      </c>
      <c r="E43" s="48">
        <f>SUMIFS('Balance Sheet'!39:39,'Balance Sheet'!$10:$10,'Quarterly NWC'!E$31)</f>
        <v/>
      </c>
      <c r="F43" s="48">
        <f>SUMIFS('Balance Sheet'!39:39,'Balance Sheet'!$10:$10,'Quarterly NWC'!F$31)</f>
        <v/>
      </c>
      <c r="G43" s="48">
        <f>SUMIFS('Balance Sheet'!39:39,'Balance Sheet'!$10:$10,'Quarterly NWC'!G$31)</f>
        <v/>
      </c>
      <c r="H43" s="48">
        <f>SUMIFS('Balance Sheet'!39:39,'Balance Sheet'!$10:$10,'Quarterly NWC'!H$31)</f>
        <v/>
      </c>
    </row>
    <row r="44" ht="12.75" customHeight="1" thickBot="1">
      <c r="C44" s="342" t="inlineStr">
        <is>
          <t>Total Current Liabilities</t>
        </is>
      </c>
      <c r="D44" s="344">
        <f>SUM(D41:D43)</f>
        <v/>
      </c>
      <c r="E44" s="344">
        <f>SUM(E41:E43)</f>
        <v/>
      </c>
      <c r="F44" s="344">
        <f>SUM(F41:F43)</f>
        <v/>
      </c>
      <c r="G44" s="344">
        <f>SUM(G41:G43)</f>
        <v/>
      </c>
      <c r="H44" s="344">
        <f>SUM(H41:H43)</f>
        <v/>
      </c>
    </row>
    <row r="45" ht="4" customHeight="1"/>
    <row r="46" ht="12.75" customHeight="1">
      <c r="C46" s="414" t="inlineStr">
        <is>
          <t>NWC</t>
        </is>
      </c>
      <c r="D46" s="415">
        <f>D38-D44</f>
        <v/>
      </c>
      <c r="E46" s="415">
        <f>E38-E44</f>
        <v/>
      </c>
      <c r="F46" s="415">
        <f>F38-F44</f>
        <v/>
      </c>
      <c r="G46" s="415">
        <f>G38-G44</f>
        <v/>
      </c>
      <c r="H46" s="416">
        <f>H38-H44</f>
        <v/>
      </c>
    </row>
    <row r="47" ht="12.75" customHeight="1">
      <c r="A47" s="94" t="inlineStr">
        <is>
          <t>x</t>
        </is>
      </c>
      <c r="B47" s="94" t="inlineStr">
        <is>
          <t>x</t>
        </is>
      </c>
      <c r="C47" s="178" t="inlineStr">
        <is>
          <t>Change in NWC</t>
        </is>
      </c>
      <c r="D47" s="65" t="n"/>
      <c r="E47" s="413">
        <f>D46-E46</f>
        <v/>
      </c>
      <c r="F47" s="413">
        <f>E46-F46</f>
        <v/>
      </c>
      <c r="G47" s="413">
        <f>F46-G46</f>
        <v/>
      </c>
      <c r="H47" s="413">
        <f>G46-H46</f>
        <v/>
      </c>
    </row>
    <row r="48" ht="12.75" customHeight="1">
      <c r="A48" s="94" t="inlineStr">
        <is>
          <t>End</t>
        </is>
      </c>
      <c r="C48" s="100" t="n"/>
    </row>
    <row r="49" ht="12.75" customHeight="1"/>
  </sheetData>
  <hyperlinks>
    <hyperlink ref="B1" location="'Cover Page'!A1" display="Return to Cover"/>
  </hyperlinks>
  <pageMargins left="0.75" right="0.75" top="1" bottom="1" header="0.5" footer="0.5"/>
  <pageSetup orientation="landscape" scale="46" fitToHeight="0"/>
</worksheet>
</file>

<file path=xl/worksheets/sheet13.xml><?xml version="1.0" encoding="utf-8"?>
<worksheet xmlns="http://schemas.openxmlformats.org/spreadsheetml/2006/main">
  <sheetPr>
    <tabColor theme="3" tint="0.499984740745262"/>
    <outlinePr summaryBelow="1" summaryRight="1"/>
    <pageSetUpPr fitToPage="1"/>
  </sheetPr>
  <dimension ref="A1:X73"/>
  <sheetViews>
    <sheetView showGridLines="0" tabSelected="0" view="pageBreakPreview" zoomScaleNormal="81" zoomScaleSheetLayoutView="100" workbookViewId="0">
      <selection activeCell="A1" sqref="A1"/>
    </sheetView>
  </sheetViews>
  <sheetFormatPr baseColWidth="8" defaultRowHeight="14.5"/>
  <cols>
    <col width="1.7265625" customWidth="1" min="1" max="1"/>
    <col width="1.7265625" customWidth="1" style="203" min="2" max="2"/>
    <col width="42" customWidth="1" style="203" min="3" max="3"/>
    <col width="10.453125" customWidth="1" min="4" max="4"/>
    <col width="11.453125" customWidth="1" min="5" max="5"/>
    <col width="13" customWidth="1" min="6" max="6"/>
    <col width="10.453125" customWidth="1" min="7" max="7"/>
    <col width="13" customWidth="1" min="8" max="8"/>
    <col width="10.453125" customWidth="1" min="9" max="9"/>
    <col width="13" customWidth="1" min="10" max="12"/>
    <col hidden="1" width="10.453125" customWidth="1" min="13" max="13"/>
    <col width="10.453125" customWidth="1" min="14" max="14"/>
    <col width="13" customWidth="1" min="15" max="18"/>
    <col width="1.7265625" customWidth="1" min="19" max="19"/>
    <col width="10.453125" customWidth="1" min="20" max="20"/>
  </cols>
  <sheetData>
    <row r="1" ht="12.75" customHeight="1">
      <c r="A1" s="137">
        <f>C3</f>
        <v/>
      </c>
      <c r="B1" s="425">
        <f>'Cover Page'!A1</f>
        <v/>
      </c>
    </row>
    <row r="2" ht="12.75" customHeight="1"/>
    <row r="3" ht="14.25" customHeight="1">
      <c r="C3" s="31" t="inlineStr">
        <is>
          <t>Capital Structure</t>
        </is>
      </c>
      <c r="D3" s="32" t="n"/>
      <c r="E3" s="70" t="n"/>
      <c r="F3" s="32" t="n"/>
      <c r="G3" s="32" t="n"/>
      <c r="H3" s="32" t="n"/>
      <c r="I3" s="32" t="n"/>
      <c r="J3" s="32" t="n"/>
      <c r="K3" s="32" t="n"/>
      <c r="L3" s="32" t="n"/>
      <c r="M3" s="32" t="n"/>
      <c r="N3" s="32" t="n"/>
      <c r="O3" s="32" t="n"/>
      <c r="P3" s="32" t="n"/>
      <c r="Q3" s="32" t="n"/>
      <c r="R3" s="93" t="inlineStr">
        <is>
          <t>Xerox Holdings Corporation</t>
        </is>
      </c>
    </row>
    <row r="4" ht="12.75" customHeight="1">
      <c r="C4" s="419" t="inlineStr">
        <is>
          <t>All values in $ millions (USD), as of June 30, 2026</t>
        </is>
      </c>
      <c r="D4" s="67" t="n"/>
      <c r="E4" s="67" t="n"/>
      <c r="F4" s="67" t="n"/>
      <c r="G4" s="67" t="n"/>
      <c r="H4" s="67" t="n"/>
      <c r="I4" s="67" t="n"/>
      <c r="J4" s="67" t="n"/>
      <c r="K4" s="67" t="n"/>
      <c r="L4" s="67" t="n"/>
      <c r="M4" s="67" t="n"/>
      <c r="N4" s="67" t="n"/>
      <c r="O4" s="67" t="n"/>
      <c r="P4" s="67" t="n"/>
      <c r="Q4" s="67" t="n"/>
      <c r="R4" s="34" t="n"/>
    </row>
    <row r="5" ht="12.75" customHeight="1">
      <c r="A5" s="141" t="n"/>
      <c r="C5" s="420" t="n"/>
      <c r="D5" s="141" t="n"/>
      <c r="E5" s="141" t="n"/>
      <c r="F5" s="141" t="n"/>
      <c r="G5" s="141" t="n"/>
      <c r="H5" s="141" t="n"/>
      <c r="I5" s="141" t="n"/>
      <c r="J5" s="141" t="n"/>
      <c r="K5" s="141" t="n"/>
      <c r="L5" s="141" t="n"/>
      <c r="M5" s="141" t="n"/>
      <c r="N5" s="141" t="n"/>
      <c r="O5" s="141" t="n"/>
      <c r="P5" s="141" t="n"/>
      <c r="Q5" s="141" t="n"/>
      <c r="R5" s="141" t="n"/>
      <c r="S5" s="141" t="n"/>
    </row>
    <row r="6" hidden="1" ht="15" customHeight="1">
      <c r="A6" s="141" t="n"/>
      <c r="C6" s="421" t="n"/>
      <c r="D6" s="141" t="n"/>
      <c r="E6" s="141" t="n"/>
      <c r="F6" s="141" t="n"/>
      <c r="G6" s="141" t="n"/>
      <c r="H6" s="141" t="n"/>
      <c r="I6" s="141" t="n"/>
      <c r="J6" s="141" t="n"/>
      <c r="K6" s="141" t="n"/>
      <c r="L6" s="141" t="n"/>
      <c r="M6" s="141" t="n"/>
      <c r="N6" s="141" t="n"/>
      <c r="O6" s="141" t="n"/>
      <c r="P6" s="141" t="n"/>
      <c r="Q6" s="141" t="n"/>
      <c r="R6" s="141" t="n"/>
      <c r="S6" s="141" t="n"/>
    </row>
    <row r="7" ht="12.75" customHeight="1">
      <c r="A7" s="94" t="inlineStr">
        <is>
          <t>x</t>
        </is>
      </c>
      <c r="B7" s="142" t="inlineStr">
        <is>
          <t>x</t>
        </is>
      </c>
      <c r="C7" s="35" t="inlineStr">
        <is>
          <t>Capital Structure</t>
        </is>
      </c>
      <c r="D7" s="36" t="n"/>
      <c r="E7" s="36" t="n"/>
      <c r="F7" s="36" t="n"/>
      <c r="G7" s="36" t="n"/>
      <c r="H7" s="36" t="n"/>
      <c r="I7" s="36" t="n"/>
      <c r="J7" s="36" t="n"/>
      <c r="K7" s="36" t="n"/>
      <c r="L7" s="36" t="n"/>
      <c r="M7" s="36" t="n"/>
      <c r="N7" s="36" t="n"/>
      <c r="O7" s="408" t="n"/>
      <c r="P7" s="36" t="n"/>
      <c r="Q7" s="36" t="n"/>
      <c r="R7" s="36" t="n"/>
    </row>
    <row r="8" ht="12.75" customHeight="1">
      <c r="C8" s="422" t="n"/>
      <c r="D8" s="179" t="inlineStr">
        <is>
          <t>Face</t>
        </is>
      </c>
      <c r="E8" s="179" t="inlineStr">
        <is>
          <t>Leverage</t>
        </is>
      </c>
      <c r="F8" s="179" t="inlineStr">
        <is>
          <t>Interest</t>
        </is>
      </c>
      <c r="G8" s="179" t="inlineStr">
        <is>
          <t xml:space="preserve">Effective </t>
        </is>
      </c>
      <c r="H8" s="179" t="inlineStr">
        <is>
          <t xml:space="preserve">Annual </t>
        </is>
      </c>
      <c r="I8" s="179" t="n"/>
      <c r="J8" s="179" t="inlineStr">
        <is>
          <t>Credit</t>
        </is>
      </c>
      <c r="K8" s="179" t="inlineStr">
        <is>
          <t>Trading</t>
        </is>
      </c>
      <c r="L8" s="179" t="n"/>
      <c r="M8" s="179" t="inlineStr">
        <is>
          <t>Market</t>
        </is>
      </c>
      <c r="N8" s="417" t="inlineStr">
        <is>
          <t>Leverage</t>
        </is>
      </c>
      <c r="O8" s="409" t="n"/>
      <c r="P8" s="438" t="inlineStr">
        <is>
          <t>Effective Rate Calculation</t>
        </is>
      </c>
      <c r="Q8" s="438" t="n"/>
      <c r="R8" s="438" t="n"/>
    </row>
    <row r="9" ht="12.75" customHeight="1">
      <c r="C9" s="97" t="inlineStr">
        <is>
          <t>Description</t>
        </is>
      </c>
      <c r="D9" s="98" t="inlineStr">
        <is>
          <t>Value</t>
        </is>
      </c>
      <c r="E9" s="98" t="inlineStr">
        <is>
          <t>(Face)</t>
        </is>
      </c>
      <c r="F9" s="98" t="inlineStr">
        <is>
          <t>Rate</t>
        </is>
      </c>
      <c r="G9" s="98" t="inlineStr">
        <is>
          <t>Rate</t>
        </is>
      </c>
      <c r="H9" s="98" t="inlineStr">
        <is>
          <t>Interest</t>
        </is>
      </c>
      <c r="I9" s="98" t="inlineStr">
        <is>
          <t>Maturity</t>
        </is>
      </c>
      <c r="J9" s="98" t="inlineStr">
        <is>
          <t>Rating</t>
        </is>
      </c>
      <c r="K9" s="98" t="inlineStr">
        <is>
          <t>Price</t>
        </is>
      </c>
      <c r="L9" s="98" t="inlineStr">
        <is>
          <t>YTM</t>
        </is>
      </c>
      <c r="M9" s="98" t="inlineStr">
        <is>
          <t>Value</t>
        </is>
      </c>
      <c r="N9" s="98" t="inlineStr">
        <is>
          <t>(Market)</t>
        </is>
      </c>
      <c r="O9" s="409" t="n"/>
      <c r="P9" s="98" t="inlineStr">
        <is>
          <t>SOFR</t>
        </is>
      </c>
      <c r="Q9" s="98" t="inlineStr">
        <is>
          <t>Spread</t>
        </is>
      </c>
      <c r="R9" s="98" t="inlineStr">
        <is>
          <t>Effective</t>
        </is>
      </c>
    </row>
    <row r="10" ht="3" customHeight="1">
      <c r="N10" s="203" t="n"/>
      <c r="O10" s="203" t="n"/>
    </row>
    <row r="11" ht="12.75" customHeight="1">
      <c r="B11" s="155" t="n"/>
      <c r="C11" s="423" t="inlineStr">
        <is>
          <t>ABL Revolving Credit Facility ($425mm)</t>
        </is>
      </c>
      <c r="D11" s="71" t="n">
        <v>0</v>
      </c>
      <c r="E11" s="72">
        <f>(D11)/$D$30</f>
        <v/>
      </c>
      <c r="F11" s="73" t="n">
        <v>150</v>
      </c>
      <c r="G11" s="74">
        <f>R11</f>
        <v/>
      </c>
      <c r="H11" s="71">
        <f>D11*G11</f>
        <v/>
      </c>
      <c r="I11" s="75" t="n">
        <v>46895</v>
      </c>
      <c r="J11" s="76" t="inlineStr">
        <is>
          <t>NA</t>
        </is>
      </c>
      <c r="K11" s="77" t="inlineStr">
        <is>
          <t>NA</t>
        </is>
      </c>
      <c r="L11" s="78" t="inlineStr">
        <is>
          <t>NA</t>
        </is>
      </c>
      <c r="M11" s="79" t="inlineStr">
        <is>
          <t>NA</t>
        </is>
      </c>
      <c r="N11" s="418">
        <f>E11</f>
        <v/>
      </c>
      <c r="O11" s="155" t="n"/>
      <c r="P11" s="80" t="n">
        <v>0.0387</v>
      </c>
      <c r="Q11" s="81" t="n">
        <v>0.015</v>
      </c>
      <c r="R11" s="81">
        <f>SUM(P11:Q11)</f>
        <v/>
      </c>
      <c r="S11" s="47" t="n"/>
      <c r="T11" s="47" t="n"/>
      <c r="U11" s="47" t="n"/>
      <c r="V11" s="47" t="n"/>
      <c r="W11" s="47" t="n"/>
      <c r="X11" s="47" t="n"/>
    </row>
    <row r="12" ht="12.75" customHeight="1">
      <c r="B12" s="155" t="n"/>
      <c r="C12" s="423" t="inlineStr">
        <is>
          <t>IPCo JV Secured Term Loans ($405mm)</t>
        </is>
      </c>
      <c r="D12" s="71" t="n">
        <v>405</v>
      </c>
      <c r="E12" s="72">
        <f>(D11+D12)/$D$30</f>
        <v/>
      </c>
      <c r="F12" s="82" t="n">
        <v>812.5</v>
      </c>
      <c r="G12" s="74">
        <f>R12</f>
        <v/>
      </c>
      <c r="H12" s="71">
        <f>D12*G12</f>
        <v/>
      </c>
      <c r="I12" s="75" t="n">
        <v>47896</v>
      </c>
      <c r="J12" s="76" t="inlineStr">
        <is>
          <t>NA</t>
        </is>
      </c>
      <c r="K12" s="77" t="inlineStr">
        <is>
          <t>NA</t>
        </is>
      </c>
      <c r="L12" s="78" t="inlineStr">
        <is>
          <t>NA</t>
        </is>
      </c>
      <c r="M12" s="79" t="inlineStr">
        <is>
          <t>NA</t>
        </is>
      </c>
      <c r="N12" s="418">
        <f>E12</f>
        <v/>
      </c>
      <c r="O12" s="155" t="n"/>
      <c r="P12" s="81">
        <f>P11</f>
        <v/>
      </c>
      <c r="Q12" s="81" t="n">
        <v>0.08125</v>
      </c>
      <c r="R12" s="81">
        <f>SUM(P12:Q12)</f>
        <v/>
      </c>
      <c r="S12" s="47" t="n"/>
      <c r="T12" s="47" t="n"/>
      <c r="U12" s="47" t="n"/>
      <c r="V12" s="47" t="n"/>
      <c r="W12" s="47" t="n"/>
      <c r="X12" s="47" t="n"/>
    </row>
    <row r="13" ht="12.75" customHeight="1">
      <c r="B13" s="155" t="n"/>
      <c r="C13" s="423" t="inlineStr">
        <is>
          <t>IPCo Class A Units ($45mm)</t>
        </is>
      </c>
      <c r="D13" s="71" t="n">
        <v>45</v>
      </c>
      <c r="E13" s="72">
        <f>(D11+D12+D13)/$D$30</f>
        <v/>
      </c>
      <c r="F13" s="73" t="inlineStr">
        <is>
          <t>NA</t>
        </is>
      </c>
      <c r="G13" s="74" t="inlineStr">
        <is>
          <t>NA</t>
        </is>
      </c>
      <c r="H13" s="71" t="inlineStr">
        <is>
          <t>NA</t>
        </is>
      </c>
      <c r="I13" s="75" t="inlineStr">
        <is>
          <t>NA</t>
        </is>
      </c>
      <c r="J13" s="76" t="inlineStr">
        <is>
          <t>NA</t>
        </is>
      </c>
      <c r="K13" s="77" t="inlineStr">
        <is>
          <t>NA</t>
        </is>
      </c>
      <c r="L13" s="78" t="inlineStr">
        <is>
          <t>NA</t>
        </is>
      </c>
      <c r="M13" s="79" t="inlineStr">
        <is>
          <t>NA</t>
        </is>
      </c>
      <c r="N13" s="418">
        <f>E13</f>
        <v/>
      </c>
      <c r="O13" s="155" t="n"/>
      <c r="P13" s="47" t="n"/>
      <c r="Q13" s="47" t="n"/>
      <c r="R13" s="47" t="n"/>
      <c r="S13" s="47" t="n"/>
      <c r="T13" s="47" t="n"/>
      <c r="U13" s="47" t="n"/>
      <c r="V13" s="47" t="n"/>
      <c r="W13" s="47" t="n"/>
      <c r="X13" s="47" t="n"/>
    </row>
    <row r="14" ht="12.75" customHeight="1">
      <c r="B14" s="155" t="n"/>
      <c r="C14" s="423" t="inlineStr">
        <is>
          <t>1L Term Loan B ($705mm)</t>
        </is>
      </c>
      <c r="D14" s="71" t="n">
        <v>705</v>
      </c>
      <c r="E14" s="72">
        <f>(D11+D12+D13+D14)/$D$30</f>
        <v/>
      </c>
      <c r="F14" s="73" t="n">
        <v>400</v>
      </c>
      <c r="G14" s="74">
        <f>R14</f>
        <v/>
      </c>
      <c r="H14" s="71">
        <f>D14*G14</f>
        <v/>
      </c>
      <c r="I14" s="75" t="n">
        <v>47439</v>
      </c>
      <c r="J14" s="76" t="inlineStr">
        <is>
          <t>NA</t>
        </is>
      </c>
      <c r="K14" s="77" t="inlineStr">
        <is>
          <t>NA</t>
        </is>
      </c>
      <c r="L14" s="78" t="inlineStr">
        <is>
          <t>NA</t>
        </is>
      </c>
      <c r="M14" s="79" t="inlineStr">
        <is>
          <t>NA</t>
        </is>
      </c>
      <c r="N14" s="418">
        <f>E14</f>
        <v/>
      </c>
      <c r="O14" s="155" t="n"/>
      <c r="P14" s="81">
        <f>P11</f>
        <v/>
      </c>
      <c r="Q14" s="81" t="n">
        <v>0.04</v>
      </c>
      <c r="R14" s="81">
        <f>SUM(P14:Q14)</f>
        <v/>
      </c>
      <c r="S14" s="47" t="n"/>
      <c r="T14" s="47" t="n"/>
      <c r="U14" s="47" t="n"/>
      <c r="V14" s="47" t="n"/>
      <c r="W14" s="47" t="n"/>
      <c r="X14" s="47" t="n"/>
    </row>
    <row r="15" ht="12.75" customHeight="1">
      <c r="B15" s="155" t="n"/>
      <c r="C15" s="423" t="inlineStr">
        <is>
          <t>1L Senior Secured Notes ($400mm)</t>
        </is>
      </c>
      <c r="D15" s="71" t="n">
        <v>400</v>
      </c>
      <c r="E15" s="72">
        <f>(D11+D12+D13+D14+D15)/$D$30</f>
        <v/>
      </c>
      <c r="F15" s="74" t="n">
        <v>0.1025</v>
      </c>
      <c r="G15" s="74">
        <f>F15</f>
        <v/>
      </c>
      <c r="H15" s="71">
        <f>D15*G15</f>
        <v/>
      </c>
      <c r="I15" s="75" t="n">
        <v>47771</v>
      </c>
      <c r="J15" s="76" t="inlineStr">
        <is>
          <t>NA / B</t>
        </is>
      </c>
      <c r="K15" s="77" t="inlineStr">
        <is>
          <t>NA</t>
        </is>
      </c>
      <c r="L15" s="78" t="inlineStr">
        <is>
          <t>NA</t>
        </is>
      </c>
      <c r="M15" s="79" t="inlineStr">
        <is>
          <t>NA</t>
        </is>
      </c>
      <c r="N15" s="418">
        <f>E15</f>
        <v/>
      </c>
      <c r="O15" s="155" t="n"/>
      <c r="P15" s="47" t="n"/>
      <c r="Q15" s="47" t="n"/>
      <c r="R15" s="47" t="n"/>
      <c r="S15" s="47" t="n"/>
      <c r="T15" s="47" t="n"/>
      <c r="U15" s="47" t="n"/>
      <c r="V15" s="47" t="n"/>
      <c r="W15" s="47" t="n"/>
      <c r="X15" s="47" t="n"/>
    </row>
    <row r="16" ht="12.75" customHeight="1">
      <c r="B16" s="155" t="n"/>
      <c r="C16" s="423" t="inlineStr">
        <is>
          <t>2L Senior Secured Notes ($494mm)</t>
        </is>
      </c>
      <c r="D16" s="71" t="n">
        <v>494</v>
      </c>
      <c r="E16" s="72">
        <f>(D11+D12+D13+D14+D15+D16)/$D$30</f>
        <v/>
      </c>
      <c r="F16" s="74" t="n">
        <v>0.135</v>
      </c>
      <c r="G16" s="74">
        <f>F16</f>
        <v/>
      </c>
      <c r="H16" s="71">
        <f>D16*G16</f>
        <v/>
      </c>
      <c r="I16" s="75" t="n">
        <v>47953</v>
      </c>
      <c r="J16" s="76" t="inlineStr">
        <is>
          <t>NA / CCC+</t>
        </is>
      </c>
      <c r="K16" s="77" t="inlineStr">
        <is>
          <t>NA</t>
        </is>
      </c>
      <c r="L16" s="78" t="inlineStr">
        <is>
          <t>NA</t>
        </is>
      </c>
      <c r="M16" s="79" t="inlineStr">
        <is>
          <t>NA</t>
        </is>
      </c>
      <c r="N16" s="418">
        <f>E16</f>
        <v/>
      </c>
      <c r="O16" s="155" t="n"/>
      <c r="P16" s="47" t="n"/>
      <c r="Q16" s="47" t="n"/>
      <c r="R16" s="47" t="n"/>
      <c r="S16" s="47" t="n"/>
      <c r="T16" s="47" t="n"/>
      <c r="U16" s="47" t="n"/>
      <c r="V16" s="47" t="n"/>
      <c r="W16" s="47" t="n"/>
      <c r="X16" s="47" t="n"/>
    </row>
    <row r="17" ht="12.75" customHeight="1">
      <c r="B17" s="155" t="n"/>
      <c r="C17" s="429" t="inlineStr">
        <is>
          <t>Total Secured Debt</t>
        </is>
      </c>
      <c r="D17" s="430">
        <f>SUM(D11:D16)</f>
        <v/>
      </c>
      <c r="E17" s="431">
        <f>D17/$D$30</f>
        <v/>
      </c>
      <c r="F17" s="441" t="n">
        <v>0</v>
      </c>
      <c r="G17" s="441" t="n">
        <v>0</v>
      </c>
      <c r="H17" s="430">
        <f>SUM(H11:H16)</f>
        <v/>
      </c>
      <c r="I17" s="439" t="n">
        <v>0</v>
      </c>
      <c r="J17" s="432" t="n">
        <v>0</v>
      </c>
      <c r="K17" s="432" t="n">
        <v>0</v>
      </c>
      <c r="L17" s="440" t="n">
        <v>0</v>
      </c>
      <c r="M17" s="433" t="n"/>
      <c r="N17" s="434">
        <f>D17/$D$30</f>
        <v/>
      </c>
      <c r="O17" s="155" t="n"/>
      <c r="P17" s="47" t="n"/>
      <c r="Q17" s="47" t="n"/>
      <c r="R17" s="47" t="n"/>
      <c r="S17" s="47" t="n"/>
      <c r="T17" s="47" t="n"/>
      <c r="U17" s="47" t="n"/>
      <c r="V17" s="47" t="n"/>
      <c r="W17" s="47" t="n"/>
      <c r="X17" s="47" t="n"/>
    </row>
    <row r="18" ht="12.75" customHeight="1">
      <c r="B18" s="155" t="n"/>
      <c r="C18" s="423" t="inlineStr">
        <is>
          <t>Senior Unsecured Notes due 2028 ($556mm)</t>
        </is>
      </c>
      <c r="D18" s="71" t="n">
        <v>556</v>
      </c>
      <c r="E18" s="72">
        <f>(D11+D12+D13+D14+D15+D16+D18)/$D$30</f>
        <v/>
      </c>
      <c r="F18" s="74" t="n">
        <v>0.055</v>
      </c>
      <c r="G18" s="74">
        <f>F18</f>
        <v/>
      </c>
      <c r="H18" s="71">
        <f>D18*G18</f>
        <v/>
      </c>
      <c r="I18" s="75" t="n">
        <v>46980</v>
      </c>
      <c r="J18" s="76" t="inlineStr">
        <is>
          <t>NA</t>
        </is>
      </c>
      <c r="K18" s="77" t="n">
        <v>58.6</v>
      </c>
      <c r="L18" s="78" t="inlineStr">
        <is>
          <t>NA</t>
        </is>
      </c>
      <c r="M18" s="79">
        <f>D18*K18/100</f>
        <v/>
      </c>
      <c r="N18" s="418">
        <f>E18</f>
        <v/>
      </c>
      <c r="O18" s="155" t="n"/>
      <c r="P18" s="47" t="n"/>
      <c r="Q18" s="47" t="n"/>
      <c r="R18" s="47" t="n"/>
      <c r="S18" s="47" t="n"/>
      <c r="T18" s="47" t="n"/>
      <c r="U18" s="47" t="n"/>
      <c r="V18" s="47" t="n"/>
      <c r="W18" s="47" t="n"/>
      <c r="X18" s="47" t="n"/>
    </row>
    <row r="19" ht="12.75" customHeight="1">
      <c r="B19" s="155" t="n"/>
      <c r="C19" s="423" t="inlineStr">
        <is>
          <t>Senior Unsecured Notes due 2029 ($500mm)</t>
        </is>
      </c>
      <c r="D19" s="71" t="n">
        <v>500</v>
      </c>
      <c r="E19" s="72">
        <f>(D11+D12+D13+D14+D15+D16+D18+D19)/$D$30</f>
        <v/>
      </c>
      <c r="F19" s="74" t="n">
        <v>0.08875</v>
      </c>
      <c r="G19" s="74">
        <f>F19</f>
        <v/>
      </c>
      <c r="H19" s="71">
        <f>D19*G19</f>
        <v/>
      </c>
      <c r="I19" s="75" t="n">
        <v>47452</v>
      </c>
      <c r="J19" s="76" t="inlineStr">
        <is>
          <t>NA / CCC</t>
        </is>
      </c>
      <c r="K19" s="77" t="n">
        <v>40.9</v>
      </c>
      <c r="L19" s="78" t="inlineStr">
        <is>
          <t>NA</t>
        </is>
      </c>
      <c r="M19" s="79">
        <f>D19*K19/100</f>
        <v/>
      </c>
      <c r="N19" s="418">
        <f>E19</f>
        <v/>
      </c>
      <c r="O19" s="155" t="n"/>
      <c r="P19" s="47" t="n"/>
      <c r="Q19" s="47" t="n"/>
      <c r="R19" s="47" t="n"/>
      <c r="S19" s="47" t="n"/>
      <c r="T19" s="47" t="n"/>
      <c r="U19" s="47" t="n"/>
      <c r="V19" s="47" t="n"/>
      <c r="W19" s="47" t="n"/>
      <c r="X19" s="47" t="n"/>
    </row>
    <row r="20" ht="12.75" customHeight="1">
      <c r="B20" s="155" t="n"/>
      <c r="C20" s="423" t="inlineStr">
        <is>
          <t>Convertible Senior Notes 2030 ($400mm)</t>
        </is>
      </c>
      <c r="D20" s="71" t="n">
        <v>400</v>
      </c>
      <c r="E20" s="72">
        <f>(D11+D12+D13+D14+D15+D16+D18+D19+D20)/$D$30</f>
        <v/>
      </c>
      <c r="F20" s="74" t="n">
        <v>0.0375</v>
      </c>
      <c r="G20" s="74">
        <f>F20</f>
        <v/>
      </c>
      <c r="H20" s="71">
        <f>D20*G20</f>
        <v/>
      </c>
      <c r="I20" s="75" t="n">
        <v>47557</v>
      </c>
      <c r="J20" s="76" t="inlineStr">
        <is>
          <t>NA / CCC</t>
        </is>
      </c>
      <c r="K20" s="77" t="inlineStr">
        <is>
          <t>NA</t>
        </is>
      </c>
      <c r="L20" s="78" t="inlineStr">
        <is>
          <t>NA</t>
        </is>
      </c>
      <c r="M20" s="79" t="inlineStr">
        <is>
          <t>NA</t>
        </is>
      </c>
      <c r="N20" s="418">
        <f>E20</f>
        <v/>
      </c>
      <c r="O20" s="155" t="n"/>
      <c r="P20" s="47" t="n"/>
      <c r="Q20" s="47" t="n"/>
      <c r="R20" s="47" t="n"/>
      <c r="S20" s="47" t="n"/>
      <c r="T20" s="47" t="n"/>
      <c r="U20" s="47" t="n"/>
      <c r="V20" s="47" t="n"/>
      <c r="W20" s="47" t="n"/>
      <c r="X20" s="47" t="n"/>
    </row>
    <row r="21" ht="12.75" customHeight="1">
      <c r="B21" s="155" t="n"/>
      <c r="C21" s="423" t="inlineStr">
        <is>
          <t>Step-Up Senior Notes due 2030 ($250mm)</t>
        </is>
      </c>
      <c r="D21" s="71" t="n">
        <v>250</v>
      </c>
      <c r="E21" s="72">
        <f>(D11+D12+D13+D14+D15+D16+D18+D19+D20+D21)/$D$30</f>
        <v/>
      </c>
      <c r="F21" s="74" t="n">
        <v>0.135</v>
      </c>
      <c r="G21" s="74">
        <f>F21</f>
        <v/>
      </c>
      <c r="H21" s="71">
        <f>D21*G21</f>
        <v/>
      </c>
      <c r="I21" s="75" t="n">
        <v>47665</v>
      </c>
      <c r="J21" s="76" t="inlineStr">
        <is>
          <t>Caa3 / NA</t>
        </is>
      </c>
      <c r="K21" s="77" t="inlineStr">
        <is>
          <t>NA</t>
        </is>
      </c>
      <c r="L21" s="78" t="inlineStr">
        <is>
          <t>NA</t>
        </is>
      </c>
      <c r="M21" s="79" t="inlineStr">
        <is>
          <t>NA</t>
        </is>
      </c>
      <c r="N21" s="418">
        <f>E21</f>
        <v/>
      </c>
      <c r="O21" s="155" t="n"/>
      <c r="P21" s="47" t="n"/>
      <c r="Q21" s="47" t="n"/>
      <c r="R21" s="47" t="n"/>
      <c r="S21" s="47" t="n"/>
      <c r="T21" s="47" t="n"/>
      <c r="U21" s="47" t="n"/>
      <c r="V21" s="47" t="n"/>
      <c r="W21" s="47" t="n"/>
      <c r="X21" s="47" t="n"/>
    </row>
    <row r="22" ht="12.75" customHeight="1">
      <c r="B22" s="155" t="n"/>
      <c r="C22" s="423" t="inlineStr">
        <is>
          <t>Xerox Corp. Senior Notes 2035 ($250mm)</t>
        </is>
      </c>
      <c r="D22" s="71" t="n">
        <v>250</v>
      </c>
      <c r="E22" s="72">
        <f>(D11+D12+D13+D14+D15+D16+D18+D19+D20+D21+D22)/$D$30</f>
        <v/>
      </c>
      <c r="F22" s="74" t="n">
        <v>0.048</v>
      </c>
      <c r="G22" s="74">
        <f>F22</f>
        <v/>
      </c>
      <c r="H22" s="71">
        <f>D22*G22</f>
        <v/>
      </c>
      <c r="I22" s="75" t="n">
        <v>49369</v>
      </c>
      <c r="J22" s="76" t="inlineStr">
        <is>
          <t>NA / CCC</t>
        </is>
      </c>
      <c r="K22" s="77" t="inlineStr">
        <is>
          <t>NA</t>
        </is>
      </c>
      <c r="L22" s="78" t="inlineStr">
        <is>
          <t>NA</t>
        </is>
      </c>
      <c r="M22" s="79" t="inlineStr">
        <is>
          <t>NA</t>
        </is>
      </c>
      <c r="N22" s="418">
        <f>E22</f>
        <v/>
      </c>
      <c r="O22" s="155" t="n"/>
      <c r="P22" s="47" t="n"/>
      <c r="Q22" s="47" t="n"/>
      <c r="R22" s="47" t="n"/>
      <c r="S22" s="47" t="n"/>
      <c r="T22" s="47" t="n"/>
      <c r="U22" s="47" t="n"/>
      <c r="V22" s="47" t="n"/>
      <c r="W22" s="47" t="n"/>
      <c r="X22" s="47" t="n"/>
    </row>
    <row r="23" ht="12.75" customHeight="1">
      <c r="B23" s="155" t="n"/>
      <c r="C23" s="423" t="inlineStr">
        <is>
          <t>Xerox Corp. Senior Notes 2039 ($350mm)</t>
        </is>
      </c>
      <c r="D23" s="71" t="n">
        <v>350</v>
      </c>
      <c r="E23" s="72">
        <f>(D11+D12+D13+D14+D15+D16+D18+D19+D20+D21+D22+D23)/$D$30</f>
        <v/>
      </c>
      <c r="F23" s="74" t="n">
        <v>0.0675</v>
      </c>
      <c r="G23" s="74">
        <f>F23</f>
        <v/>
      </c>
      <c r="H23" s="71">
        <f>D23*G23</f>
        <v/>
      </c>
      <c r="I23" s="75" t="n">
        <v>51119</v>
      </c>
      <c r="J23" s="76" t="inlineStr">
        <is>
          <t>NA / CCC</t>
        </is>
      </c>
      <c r="K23" s="77" t="inlineStr">
        <is>
          <t>NA</t>
        </is>
      </c>
      <c r="L23" s="78" t="inlineStr">
        <is>
          <t>NA</t>
        </is>
      </c>
      <c r="M23" s="79" t="inlineStr">
        <is>
          <t>NA</t>
        </is>
      </c>
      <c r="N23" s="418">
        <f>E23</f>
        <v/>
      </c>
      <c r="O23" s="155" t="n"/>
      <c r="P23" s="47" t="n"/>
      <c r="Q23" s="47" t="n"/>
      <c r="R23" s="47" t="n"/>
      <c r="S23" s="47" t="n"/>
      <c r="T23" s="47" t="n"/>
      <c r="U23" s="47" t="n"/>
      <c r="V23" s="47" t="n"/>
      <c r="W23" s="47" t="n"/>
      <c r="X23" s="47" t="n"/>
    </row>
    <row r="24" ht="12.75" customHeight="1">
      <c r="B24" s="155" t="n"/>
      <c r="C24" s="429" t="inlineStr">
        <is>
          <t>Total Debt</t>
        </is>
      </c>
      <c r="D24" s="430">
        <f>SUM(D17:D23)</f>
        <v/>
      </c>
      <c r="E24" s="431">
        <f>D24/$D$30</f>
        <v/>
      </c>
      <c r="F24" s="441" t="n">
        <v>0</v>
      </c>
      <c r="G24" s="441" t="n">
        <v>0</v>
      </c>
      <c r="H24" s="430">
        <f>SUM(H17:H23)</f>
        <v/>
      </c>
      <c r="I24" s="439" t="n">
        <v>0</v>
      </c>
      <c r="J24" s="432" t="n">
        <v>0</v>
      </c>
      <c r="K24" s="432" t="n">
        <v>0</v>
      </c>
      <c r="L24" s="440" t="n">
        <v>0</v>
      </c>
      <c r="M24" s="433" t="n"/>
      <c r="N24" s="436">
        <f>D24/$D$30</f>
        <v/>
      </c>
      <c r="O24" s="155" t="n"/>
      <c r="P24" s="47" t="n"/>
      <c r="Q24" s="47" t="n"/>
      <c r="R24" s="47" t="n"/>
      <c r="S24" s="47" t="n"/>
      <c r="T24" s="47" t="n"/>
      <c r="U24" s="47" t="n"/>
      <c r="V24" s="47" t="n"/>
      <c r="W24" s="47" t="n"/>
      <c r="X24" s="47" t="n"/>
    </row>
    <row r="25" ht="12.75" customHeight="1">
      <c r="B25" s="155" t="n"/>
      <c r="C25" s="423" t="inlineStr">
        <is>
          <t>Less: Cash &amp; Cash Equivalents</t>
        </is>
      </c>
      <c r="D25" s="83">
        <f>-'Balance Sheet'!Z13</f>
        <v/>
      </c>
      <c r="E25" s="72">
        <f>D25/$D$30</f>
        <v/>
      </c>
      <c r="F25" s="442" t="n">
        <v>0</v>
      </c>
      <c r="G25" s="442" t="n">
        <v>0</v>
      </c>
      <c r="H25" s="442" t="n">
        <v>0</v>
      </c>
      <c r="I25" s="442" t="n">
        <v>0</v>
      </c>
      <c r="J25" s="442" t="n">
        <v>0</v>
      </c>
      <c r="K25" s="442" t="n">
        <v>0</v>
      </c>
      <c r="L25" s="442" t="n">
        <v>0</v>
      </c>
      <c r="M25" s="442" t="n">
        <v>0</v>
      </c>
      <c r="N25" s="442" t="n">
        <v>0</v>
      </c>
      <c r="O25" s="155" t="n"/>
      <c r="P25" s="47" t="n"/>
      <c r="Q25" s="47" t="n"/>
      <c r="R25" s="47" t="n"/>
      <c r="S25" s="47" t="n"/>
      <c r="T25" s="47" t="n"/>
      <c r="U25" s="47" t="n"/>
      <c r="V25" s="47" t="n"/>
      <c r="W25" s="47" t="n"/>
      <c r="X25" s="47" t="n"/>
    </row>
    <row r="26" ht="12.75" customHeight="1">
      <c r="B26" s="155" t="n"/>
      <c r="C26" s="429" t="inlineStr">
        <is>
          <t>Net Debt</t>
        </is>
      </c>
      <c r="D26" s="430">
        <f>SUM(D24:D25)</f>
        <v/>
      </c>
      <c r="E26" s="431">
        <f>D26/$D$30</f>
        <v/>
      </c>
      <c r="F26" s="441" t="n">
        <v>0</v>
      </c>
      <c r="G26" s="441" t="n">
        <v>0</v>
      </c>
      <c r="H26" s="430">
        <f>SUM(H24:H25)</f>
        <v/>
      </c>
      <c r="I26" s="439" t="n">
        <v>0</v>
      </c>
      <c r="J26" s="432" t="n">
        <v>0</v>
      </c>
      <c r="K26" s="432" t="n">
        <v>0</v>
      </c>
      <c r="L26" s="440" t="n">
        <v>0</v>
      </c>
      <c r="M26" s="435" t="n"/>
      <c r="N26" s="436">
        <f>D26/$D$30</f>
        <v/>
      </c>
      <c r="O26" s="155" t="n"/>
      <c r="P26" s="47" t="n"/>
      <c r="Q26" s="47" t="n"/>
      <c r="R26" s="47" t="n"/>
      <c r="S26" s="47" t="n"/>
      <c r="T26" s="47" t="n"/>
      <c r="U26" s="47" t="n"/>
      <c r="V26" s="47" t="n"/>
      <c r="W26" s="47" t="n"/>
      <c r="X26" s="47" t="n"/>
    </row>
    <row r="27" ht="12.75" customHeight="1">
      <c r="B27" s="155" t="n"/>
      <c r="C27" s="423" t="inlineStr">
        <is>
          <t>Series A Conv. Preferred ($180mm)</t>
        </is>
      </c>
      <c r="D27" s="71" t="n">
        <v>180</v>
      </c>
      <c r="E27" s="72">
        <f>(D11+D12+D13+D14+D15+D16+D18+D19+D20+D21+D22+D23+D27)/$D$30</f>
        <v/>
      </c>
      <c r="F27" s="74" t="n">
        <v>0.08</v>
      </c>
      <c r="G27" s="74">
        <f>F27</f>
        <v/>
      </c>
      <c r="H27" s="71">
        <f>D27*G27</f>
        <v/>
      </c>
      <c r="I27" s="75" t="inlineStr">
        <is>
          <t>NA</t>
        </is>
      </c>
      <c r="J27" s="76" t="inlineStr">
        <is>
          <t>NA</t>
        </is>
      </c>
      <c r="K27" s="77" t="inlineStr">
        <is>
          <t>NA</t>
        </is>
      </c>
      <c r="L27" s="78" t="inlineStr">
        <is>
          <t>NA</t>
        </is>
      </c>
      <c r="M27" s="79" t="inlineStr">
        <is>
          <t>NA</t>
        </is>
      </c>
      <c r="N27" s="418">
        <f>E27</f>
        <v/>
      </c>
      <c r="O27" s="155" t="n"/>
      <c r="P27" s="47" t="n"/>
      <c r="Q27" s="47" t="n"/>
      <c r="R27" s="47" t="n"/>
      <c r="S27" s="47" t="n"/>
      <c r="T27" s="47" t="n"/>
      <c r="U27" s="47" t="n"/>
      <c r="V27" s="47" t="n"/>
      <c r="W27" s="47" t="n"/>
      <c r="X27" s="47" t="n"/>
    </row>
    <row r="28" ht="12.75" customHeight="1">
      <c r="B28" s="155" t="n"/>
      <c r="C28" s="429" t="inlineStr">
        <is>
          <t>Net Debt &amp; Preferred Equity</t>
        </is>
      </c>
      <c r="D28" s="430">
        <f>SUM(D26:D27)</f>
        <v/>
      </c>
      <c r="E28" s="431">
        <f>D28/$D$30</f>
        <v/>
      </c>
      <c r="F28" s="441" t="n">
        <v>0</v>
      </c>
      <c r="G28" s="441" t="n">
        <v>0</v>
      </c>
      <c r="H28" s="430">
        <f>SUM(H26:H27)</f>
        <v/>
      </c>
      <c r="I28" s="439" t="n">
        <v>0</v>
      </c>
      <c r="J28" s="432" t="n">
        <v>0</v>
      </c>
      <c r="K28" s="432" t="n">
        <v>0</v>
      </c>
      <c r="L28" s="440" t="n">
        <v>0</v>
      </c>
      <c r="M28" s="433" t="n"/>
      <c r="N28" s="436">
        <f>D28/$D$30</f>
        <v/>
      </c>
      <c r="O28" s="155" t="n"/>
      <c r="P28" s="47" t="n"/>
      <c r="Q28" s="47" t="n"/>
      <c r="R28" s="47" t="n"/>
      <c r="S28" s="47" t="n"/>
      <c r="T28" s="47" t="n"/>
      <c r="U28" s="47" t="n"/>
      <c r="V28" s="47" t="n"/>
      <c r="W28" s="47" t="n"/>
      <c r="X28" s="47" t="n"/>
    </row>
    <row r="29" ht="12.75" customHeight="1">
      <c r="B29" s="155" t="n"/>
      <c r="C29" s="155" t="n"/>
      <c r="D29" s="47" t="n"/>
      <c r="E29" s="47" t="n"/>
      <c r="F29" s="47" t="n"/>
      <c r="G29" s="47" t="n"/>
      <c r="H29" s="47" t="n"/>
      <c r="I29" s="47" t="n"/>
      <c r="J29" s="47" t="n"/>
      <c r="K29" s="47" t="n"/>
      <c r="L29" s="47" t="n"/>
      <c r="M29" s="47" t="n"/>
      <c r="N29" s="47" t="n"/>
      <c r="O29" s="47" t="n"/>
      <c r="P29" s="47" t="n"/>
      <c r="Q29" s="47" t="n"/>
      <c r="R29" s="47" t="n"/>
      <c r="S29" s="47" t="n"/>
      <c r="T29" s="47" t="n"/>
      <c r="U29" s="47" t="n"/>
      <c r="V29" s="47" t="n"/>
      <c r="W29" s="47" t="n"/>
      <c r="X29" s="47" t="n"/>
    </row>
    <row r="30" ht="12.75" customHeight="1">
      <c r="B30" s="155" t="n"/>
      <c r="C30" s="427" t="inlineStr">
        <is>
          <t>Memo: LTM 2Q'26 Adj. EBITDA</t>
        </is>
      </c>
      <c r="D30" s="428">
        <f>'Income Statement'!AH55</f>
        <v/>
      </c>
      <c r="E30" s="155" t="n"/>
      <c r="F30" s="47" t="n"/>
      <c r="G30" s="47" t="n"/>
      <c r="H30" s="47" t="n"/>
      <c r="I30" s="47" t="n"/>
      <c r="J30" s="47" t="n"/>
      <c r="K30" s="47" t="n"/>
      <c r="L30" s="47" t="n"/>
      <c r="M30" s="47" t="n"/>
      <c r="N30" s="47" t="n"/>
      <c r="O30" s="47" t="n"/>
      <c r="P30" s="47" t="n"/>
      <c r="Q30" s="47" t="n"/>
      <c r="R30" s="47" t="n"/>
      <c r="S30" s="47" t="n"/>
      <c r="T30" s="47" t="n"/>
      <c r="U30" s="47" t="n"/>
      <c r="V30" s="47" t="n"/>
      <c r="W30" s="47" t="n"/>
      <c r="X30" s="47" t="n"/>
    </row>
    <row r="31" ht="12.75" customHeight="1">
      <c r="B31" s="155" t="n"/>
      <c r="C31" s="155" t="n"/>
      <c r="D31" s="155" t="n"/>
      <c r="E31" s="155" t="n"/>
      <c r="F31" s="47" t="n"/>
      <c r="G31" s="47" t="n"/>
      <c r="H31" s="47" t="n"/>
      <c r="I31" s="47" t="n"/>
      <c r="J31" s="47" t="n"/>
      <c r="K31" s="47" t="n"/>
      <c r="L31" s="47" t="n"/>
      <c r="M31" s="47" t="n"/>
      <c r="N31" s="47" t="n"/>
      <c r="O31" s="47" t="n"/>
      <c r="P31" s="47" t="n"/>
      <c r="Q31" s="47" t="n"/>
      <c r="R31" s="47" t="n"/>
      <c r="S31" s="47" t="n"/>
      <c r="T31" s="47" t="n"/>
      <c r="U31" s="47" t="n"/>
      <c r="V31" s="47" t="n"/>
      <c r="W31" s="47" t="n"/>
      <c r="X31" s="47" t="n"/>
    </row>
    <row r="32" ht="12.75" customFormat="1" customHeight="1" s="203">
      <c r="B32" s="155" t="n"/>
      <c r="C32" s="35" t="inlineStr">
        <is>
          <t>Liquidity Walk</t>
        </is>
      </c>
      <c r="D32" s="35" t="n"/>
      <c r="E32" s="155" t="n"/>
      <c r="F32" s="155" t="n"/>
      <c r="G32" s="155" t="n"/>
      <c r="H32" s="155" t="n"/>
      <c r="I32" s="155" t="n"/>
      <c r="J32" s="155" t="n"/>
      <c r="K32" s="155" t="n"/>
      <c r="L32" s="155" t="n"/>
      <c r="M32" s="155" t="n"/>
      <c r="N32" s="155" t="n"/>
      <c r="O32" s="155" t="n"/>
      <c r="P32" s="155" t="n"/>
      <c r="Q32" s="155" t="n"/>
      <c r="R32" s="155" t="n"/>
      <c r="S32" s="155" t="n"/>
      <c r="T32" s="155" t="n"/>
      <c r="U32" s="155" t="n"/>
      <c r="V32" s="155" t="n"/>
      <c r="W32" s="155" t="n"/>
      <c r="X32" s="155" t="n"/>
    </row>
    <row r="33" ht="12.75" customHeight="1">
      <c r="B33" s="155" t="n"/>
      <c r="C33" s="424" t="inlineStr">
        <is>
          <t>ABL Commitments</t>
        </is>
      </c>
      <c r="D33" s="211" t="n">
        <v>425</v>
      </c>
      <c r="E33" s="155" t="n"/>
      <c r="F33" s="47" t="n"/>
      <c r="G33" s="47" t="n"/>
      <c r="H33" s="47" t="n"/>
      <c r="I33" s="47" t="n"/>
      <c r="J33" s="47" t="n"/>
      <c r="K33" s="47" t="n"/>
      <c r="L33" s="47" t="n"/>
      <c r="M33" s="47" t="n"/>
      <c r="N33" s="47" t="n"/>
      <c r="O33" s="47" t="n"/>
      <c r="P33" s="47" t="n"/>
      <c r="Q33" s="47" t="n"/>
      <c r="R33" s="47" t="n"/>
      <c r="S33" s="47" t="n"/>
      <c r="T33" s="47" t="n"/>
      <c r="U33" s="47" t="n"/>
      <c r="V33" s="47" t="n"/>
      <c r="W33" s="47" t="n"/>
      <c r="X33" s="47" t="n"/>
    </row>
    <row r="34" ht="12.75" customHeight="1">
      <c r="B34" s="155" t="n"/>
      <c r="C34" s="423" t="inlineStr">
        <is>
          <t>Less: Borrowing Base Limitation</t>
        </is>
      </c>
      <c r="D34" s="426" t="n">
        <v>-37</v>
      </c>
      <c r="E34" s="155" t="n"/>
      <c r="F34" s="47" t="n"/>
      <c r="G34" s="47" t="n"/>
      <c r="H34" s="47" t="n"/>
      <c r="I34" s="47" t="n"/>
      <c r="J34" s="47" t="n"/>
      <c r="K34" s="47" t="n"/>
      <c r="L34" s="47" t="n"/>
      <c r="M34" s="47" t="n"/>
      <c r="N34" s="47" t="n"/>
      <c r="O34" s="47" t="n"/>
      <c r="P34" s="47" t="n"/>
      <c r="Q34" s="47" t="n"/>
      <c r="R34" s="47" t="n"/>
      <c r="S34" s="47" t="n"/>
      <c r="T34" s="47" t="n"/>
      <c r="U34" s="47" t="n"/>
      <c r="V34" s="47" t="n"/>
      <c r="W34" s="47" t="n"/>
      <c r="X34" s="47" t="n"/>
    </row>
    <row r="35" ht="12.75" customHeight="1">
      <c r="B35" s="155" t="n"/>
      <c r="C35" s="423" t="inlineStr">
        <is>
          <t>Less: Outstanding Borrowings</t>
        </is>
      </c>
      <c r="D35" s="426">
        <f>-D11</f>
        <v/>
      </c>
      <c r="E35" s="155" t="n"/>
      <c r="F35" s="47" t="n"/>
      <c r="G35" s="47" t="n"/>
      <c r="H35" s="47" t="n"/>
      <c r="I35" s="47" t="n"/>
      <c r="J35" s="47" t="n"/>
      <c r="K35" s="47" t="n"/>
      <c r="L35" s="47" t="n"/>
      <c r="M35" s="47" t="n"/>
      <c r="N35" s="47" t="n"/>
      <c r="O35" s="47" t="n"/>
      <c r="P35" s="47" t="n"/>
      <c r="Q35" s="47" t="n"/>
      <c r="R35" s="47" t="n"/>
      <c r="S35" s="47" t="n"/>
      <c r="T35" s="47" t="n"/>
      <c r="U35" s="47" t="n"/>
      <c r="V35" s="47" t="n"/>
      <c r="W35" s="47" t="n"/>
      <c r="X35" s="47" t="n"/>
    </row>
    <row r="36" ht="12.75" customHeight="1">
      <c r="B36" s="155" t="n"/>
      <c r="C36" s="423" t="inlineStr">
        <is>
          <t>Less: Letters of Credit</t>
        </is>
      </c>
      <c r="D36" s="426" t="n">
        <v>-112</v>
      </c>
      <c r="E36" s="155" t="n"/>
      <c r="F36" s="47" t="n"/>
      <c r="G36" s="47" t="n"/>
      <c r="H36" s="47" t="n"/>
      <c r="I36" s="47" t="n"/>
      <c r="J36" s="47" t="n"/>
      <c r="K36" s="47" t="n"/>
      <c r="L36" s="47" t="n"/>
      <c r="M36" s="47" t="n"/>
      <c r="N36" s="47" t="n"/>
      <c r="O36" s="47" t="n"/>
      <c r="P36" s="47" t="n"/>
      <c r="Q36" s="47" t="n"/>
      <c r="R36" s="47" t="n"/>
      <c r="S36" s="47" t="n"/>
      <c r="T36" s="47" t="n"/>
      <c r="U36" s="47" t="n"/>
      <c r="V36" s="47" t="n"/>
      <c r="W36" s="47" t="n"/>
      <c r="X36" s="47" t="n"/>
    </row>
    <row r="37" ht="12.75" customHeight="1">
      <c r="B37" s="155" t="n"/>
      <c r="C37" s="429" t="inlineStr">
        <is>
          <t>ABL Availability</t>
        </is>
      </c>
      <c r="D37" s="437">
        <f>SUM(D33:D36)</f>
        <v/>
      </c>
      <c r="E37" s="155" t="n"/>
      <c r="F37" s="47" t="n"/>
      <c r="G37" s="47" t="n"/>
      <c r="H37" s="47" t="n"/>
      <c r="I37" s="47" t="n"/>
      <c r="J37" s="47" t="n"/>
      <c r="K37" s="47" t="n"/>
      <c r="L37" s="47" t="n"/>
      <c r="M37" s="47" t="n"/>
      <c r="N37" s="47" t="n"/>
      <c r="O37" s="47" t="n"/>
      <c r="P37" s="47" t="n"/>
      <c r="Q37" s="47" t="n"/>
      <c r="R37" s="47" t="n"/>
      <c r="S37" s="47" t="n"/>
      <c r="T37" s="47" t="n"/>
      <c r="U37" s="47" t="n"/>
      <c r="V37" s="47" t="n"/>
      <c r="W37" s="47" t="n"/>
      <c r="X37" s="47" t="n"/>
    </row>
    <row r="38" ht="12.75" customHeight="1">
      <c r="B38" s="155" t="n"/>
      <c r="C38" s="423" t="inlineStr">
        <is>
          <t>Plus: Cash and Equivalents</t>
        </is>
      </c>
      <c r="D38" s="426">
        <f>-D25</f>
        <v/>
      </c>
      <c r="E38" s="155" t="n"/>
      <c r="F38" s="47" t="n"/>
      <c r="G38" s="47" t="n"/>
      <c r="H38" s="47" t="n"/>
      <c r="I38" s="47" t="n"/>
      <c r="J38" s="47" t="n"/>
      <c r="K38" s="47" t="n"/>
      <c r="L38" s="47" t="n"/>
      <c r="M38" s="47" t="n"/>
      <c r="N38" s="47" t="n"/>
      <c r="O38" s="47" t="n"/>
      <c r="P38" s="47" t="n"/>
      <c r="Q38" s="47" t="n"/>
      <c r="R38" s="47" t="n"/>
      <c r="S38" s="47" t="n"/>
      <c r="T38" s="47" t="n"/>
      <c r="U38" s="47" t="n"/>
      <c r="V38" s="47" t="n"/>
      <c r="W38" s="47" t="n"/>
      <c r="X38" s="47" t="n"/>
    </row>
    <row r="39" ht="12.75" customHeight="1">
      <c r="A39" s="94" t="inlineStr">
        <is>
          <t>x</t>
        </is>
      </c>
      <c r="B39" s="142" t="inlineStr">
        <is>
          <t>x</t>
        </is>
      </c>
      <c r="C39" s="429" t="inlineStr">
        <is>
          <t>Total Liquidity</t>
        </is>
      </c>
      <c r="D39" s="437">
        <f>SUM(D37:D38)</f>
        <v/>
      </c>
      <c r="E39" s="155" t="n"/>
      <c r="F39" s="47" t="n"/>
      <c r="G39" s="47" t="n"/>
      <c r="H39" s="47" t="n"/>
      <c r="I39" s="47" t="n"/>
      <c r="J39" s="47" t="n"/>
      <c r="K39" s="47" t="n"/>
      <c r="L39" s="47" t="n"/>
      <c r="M39" s="47" t="n"/>
      <c r="N39" s="47" t="n"/>
      <c r="O39" s="47" t="n"/>
      <c r="P39" s="47" t="n"/>
      <c r="Q39" s="47" t="n"/>
      <c r="R39" s="47" t="n"/>
      <c r="S39" s="47" t="n"/>
      <c r="T39" s="47" t="n"/>
      <c r="U39" s="47" t="n"/>
      <c r="V39" s="47" t="n"/>
      <c r="W39" s="47" t="n"/>
      <c r="X39" s="47" t="n"/>
    </row>
    <row r="40" ht="12.75" customHeight="1">
      <c r="A40" s="94" t="inlineStr">
        <is>
          <t>End</t>
        </is>
      </c>
      <c r="B40" s="155" t="n"/>
      <c r="C40" s="155" t="n"/>
      <c r="D40" s="155" t="n"/>
      <c r="E40" s="155" t="n"/>
      <c r="F40" s="47" t="n"/>
      <c r="G40" s="47" t="n"/>
      <c r="H40" s="47" t="n"/>
      <c r="I40" s="47" t="n"/>
      <c r="J40" s="47" t="n"/>
      <c r="K40" s="47" t="n"/>
      <c r="L40" s="47" t="n"/>
      <c r="M40" s="47" t="n"/>
      <c r="N40" s="47" t="n"/>
      <c r="O40" s="47" t="n"/>
      <c r="P40" s="47" t="n"/>
      <c r="Q40" s="47" t="n"/>
      <c r="R40" s="47" t="n"/>
      <c r="S40" s="47" t="n"/>
      <c r="T40" s="47" t="n"/>
      <c r="U40" s="47" t="n"/>
      <c r="V40" s="47" t="n"/>
      <c r="W40" s="47" t="n"/>
      <c r="X40" s="47" t="n"/>
    </row>
    <row r="41" ht="12.75" customHeight="1">
      <c r="C41" s="142" t="n"/>
      <c r="D41" s="47" t="n"/>
      <c r="E41" s="47" t="n"/>
      <c r="F41" s="47" t="n"/>
      <c r="G41" s="47" t="n"/>
      <c r="H41" s="47" t="n"/>
      <c r="I41" s="47" t="n"/>
      <c r="J41" s="47" t="n"/>
      <c r="K41" s="47" t="n"/>
      <c r="L41" s="47" t="n"/>
      <c r="M41" s="47" t="n"/>
      <c r="N41" s="47" t="n"/>
      <c r="O41" s="47" t="n"/>
      <c r="P41" s="47" t="n"/>
      <c r="Q41" s="47" t="n"/>
      <c r="R41" s="47" t="n"/>
      <c r="S41" s="47" t="n"/>
      <c r="T41" s="47" t="n"/>
      <c r="U41" s="47" t="n"/>
      <c r="V41" s="47" t="n"/>
      <c r="W41" s="47" t="n"/>
      <c r="X41" s="47" t="n"/>
    </row>
    <row r="42" ht="12.75" customHeight="1">
      <c r="C42" s="155" t="n"/>
      <c r="D42" s="47" t="n"/>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row>
    <row r="43" ht="15" customHeight="1">
      <c r="B43" s="155" t="n"/>
      <c r="C43" s="155" t="n"/>
      <c r="D43" s="47" t="n"/>
      <c r="E43" s="47" t="n"/>
      <c r="F43" s="47" t="n"/>
      <c r="G43" s="47" t="n"/>
      <c r="H43" s="47" t="n"/>
      <c r="I43" s="47" t="n"/>
      <c r="J43" s="47" t="n"/>
      <c r="K43" s="47" t="n"/>
      <c r="L43" s="47" t="n"/>
      <c r="M43" s="47" t="n"/>
      <c r="N43" s="47" t="n"/>
      <c r="O43" s="47" t="n"/>
      <c r="P43" s="47" t="n"/>
      <c r="Q43" s="47" t="n"/>
      <c r="R43" s="47" t="n"/>
      <c r="S43" s="47" t="n"/>
      <c r="T43" s="47" t="n"/>
      <c r="U43" s="47" t="n"/>
      <c r="V43" s="47" t="n"/>
      <c r="W43" s="47" t="n"/>
      <c r="X43" s="47" t="n"/>
    </row>
    <row r="44" ht="15" customHeight="1">
      <c r="B44" s="155" t="n"/>
      <c r="C44" s="155" t="n"/>
      <c r="D44" s="47" t="n"/>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row>
    <row r="45" ht="15" customHeight="1">
      <c r="B45" s="155" t="n"/>
      <c r="C45" s="155" t="n"/>
      <c r="D45" s="47" t="n"/>
      <c r="E45" s="47" t="n"/>
      <c r="F45" s="47" t="n"/>
      <c r="G45" s="47" t="n"/>
      <c r="H45" s="47" t="n"/>
      <c r="I45" s="47" t="n"/>
      <c r="J45" s="47" t="n"/>
      <c r="K45" s="47" t="n"/>
      <c r="L45" s="47" t="n"/>
      <c r="M45" s="47" t="n"/>
      <c r="N45" s="47" t="n"/>
      <c r="O45" s="47" t="n"/>
      <c r="P45" s="47" t="n"/>
      <c r="Q45" s="47" t="n"/>
      <c r="R45" s="47" t="n"/>
      <c r="S45" s="47" t="n"/>
      <c r="T45" s="47" t="n"/>
      <c r="U45" s="47" t="n"/>
      <c r="V45" s="47" t="n"/>
      <c r="W45" s="47" t="n"/>
      <c r="X45" s="47" t="n"/>
    </row>
    <row r="46" ht="15" customHeight="1">
      <c r="B46" s="155" t="n"/>
      <c r="C46" s="155" t="n"/>
      <c r="D46" s="47" t="n"/>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row>
    <row r="47" ht="15" customHeight="1">
      <c r="B47" s="155" t="n"/>
      <c r="C47" s="155" t="n"/>
      <c r="D47" s="47" t="n"/>
      <c r="E47" s="47" t="n"/>
      <c r="F47" s="47" t="n"/>
      <c r="G47" s="47" t="n"/>
      <c r="H47" s="47" t="n"/>
      <c r="I47" s="47" t="n"/>
      <c r="J47" s="47" t="n"/>
      <c r="K47" s="47" t="n"/>
      <c r="L47" s="47" t="n"/>
      <c r="M47" s="47" t="n"/>
      <c r="N47" s="47" t="n"/>
      <c r="O47" s="47" t="n"/>
      <c r="P47" s="47" t="n"/>
      <c r="Q47" s="47" t="n"/>
      <c r="R47" s="47" t="n"/>
      <c r="S47" s="47" t="n"/>
      <c r="T47" s="47" t="n"/>
      <c r="U47" s="47" t="n"/>
      <c r="V47" s="47" t="n"/>
      <c r="W47" s="47" t="n"/>
      <c r="X47" s="47" t="n"/>
    </row>
    <row r="48" ht="15" customHeight="1">
      <c r="B48" s="155" t="n"/>
      <c r="C48" s="155" t="n"/>
      <c r="D48" s="47" t="n"/>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row>
    <row r="49" ht="15" customHeight="1">
      <c r="B49" s="155" t="n"/>
      <c r="C49" s="155" t="n"/>
      <c r="D49" s="47" t="n"/>
      <c r="E49" s="47" t="n"/>
      <c r="F49" s="47" t="n"/>
      <c r="G49" s="47" t="n"/>
      <c r="H49" s="47" t="n"/>
      <c r="I49" s="47" t="n"/>
      <c r="J49" s="47" t="n"/>
      <c r="K49" s="47" t="n"/>
      <c r="L49" s="47" t="n"/>
      <c r="M49" s="47" t="n"/>
      <c r="N49" s="47" t="n"/>
      <c r="O49" s="47" t="n"/>
      <c r="P49" s="47" t="n"/>
      <c r="Q49" s="47" t="n"/>
      <c r="R49" s="47" t="n"/>
      <c r="S49" s="47" t="n"/>
      <c r="T49" s="47" t="n"/>
      <c r="U49" s="47" t="n"/>
      <c r="V49" s="47" t="n"/>
      <c r="W49" s="47" t="n"/>
      <c r="X49" s="47" t="n"/>
    </row>
    <row r="50" ht="15" customHeight="1">
      <c r="B50" s="155" t="n"/>
      <c r="C50" s="155" t="n"/>
      <c r="D50" s="47" t="n"/>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row>
    <row r="51" ht="15" customHeight="1">
      <c r="B51" s="155" t="n"/>
      <c r="C51" s="155" t="n"/>
      <c r="D51" s="47" t="n"/>
      <c r="E51" s="47" t="n"/>
      <c r="F51" s="47" t="n"/>
      <c r="G51" s="47" t="n"/>
      <c r="H51" s="47" t="n"/>
      <c r="I51" s="47" t="n"/>
      <c r="J51" s="47" t="n"/>
      <c r="K51" s="47" t="n"/>
      <c r="L51" s="47" t="n"/>
      <c r="M51" s="47" t="n"/>
      <c r="N51" s="47" t="n"/>
      <c r="O51" s="47" t="n"/>
      <c r="P51" s="47" t="n"/>
      <c r="Q51" s="47" t="n"/>
      <c r="R51" s="47" t="n"/>
      <c r="S51" s="47" t="n"/>
      <c r="T51" s="47" t="n"/>
      <c r="U51" s="47" t="n"/>
      <c r="V51" s="47" t="n"/>
      <c r="W51" s="47" t="n"/>
      <c r="X51" s="47" t="n"/>
    </row>
    <row r="52" ht="15" customHeight="1">
      <c r="B52" s="155" t="n"/>
      <c r="C52" s="155" t="n"/>
      <c r="D52" s="47" t="n"/>
      <c r="E52" s="47" t="n"/>
      <c r="F52" s="47" t="n"/>
      <c r="G52" s="47" t="n"/>
      <c r="H52" s="47" t="n"/>
      <c r="I52" s="47" t="n"/>
      <c r="J52" s="47" t="n"/>
      <c r="K52" s="47" t="n"/>
      <c r="L52" s="47" t="n"/>
      <c r="M52" s="47" t="n"/>
      <c r="N52" s="47" t="n"/>
      <c r="O52" s="47" t="n"/>
      <c r="P52" s="47" t="n"/>
      <c r="Q52" s="47" t="n"/>
      <c r="R52" s="47" t="n"/>
      <c r="S52" s="47" t="n"/>
      <c r="T52" s="47" t="n"/>
      <c r="U52" s="47" t="n"/>
      <c r="V52" s="47" t="n"/>
      <c r="W52" s="47" t="n"/>
      <c r="X52" s="47" t="n"/>
    </row>
    <row r="53" ht="15" customHeight="1">
      <c r="B53" s="155" t="n"/>
      <c r="C53" s="155" t="n"/>
      <c r="D53" s="47" t="n"/>
      <c r="E53" s="47" t="n"/>
      <c r="F53" s="47" t="n"/>
      <c r="G53" s="47" t="n"/>
      <c r="H53" s="47" t="n"/>
      <c r="I53" s="47" t="n"/>
      <c r="J53" s="47" t="n"/>
      <c r="K53" s="47" t="n"/>
      <c r="L53" s="47" t="n"/>
      <c r="M53" s="47" t="n"/>
      <c r="N53" s="47" t="n"/>
      <c r="O53" s="47" t="n"/>
      <c r="P53" s="47" t="n"/>
      <c r="Q53" s="47" t="n"/>
      <c r="R53" s="47" t="n"/>
      <c r="S53" s="47" t="n"/>
      <c r="T53" s="47" t="n"/>
      <c r="U53" s="47" t="n"/>
      <c r="V53" s="47" t="n"/>
      <c r="W53" s="47" t="n"/>
      <c r="X53" s="47" t="n"/>
    </row>
    <row r="54" ht="15" customHeight="1">
      <c r="B54" s="155" t="n"/>
      <c r="C54" s="155" t="n"/>
      <c r="D54" s="47" t="n"/>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row>
    <row r="55" ht="15" customHeight="1">
      <c r="B55" s="155" t="n"/>
      <c r="C55" s="155" t="n"/>
      <c r="D55" s="47" t="n"/>
      <c r="E55" s="47" t="n"/>
      <c r="F55" s="47" t="n"/>
      <c r="G55" s="47" t="n"/>
      <c r="H55" s="47" t="n"/>
      <c r="I55" s="47" t="n"/>
      <c r="J55" s="47" t="n"/>
      <c r="K55" s="47" t="n"/>
      <c r="L55" s="47" t="n"/>
      <c r="M55" s="47" t="n"/>
      <c r="N55" s="47" t="n"/>
      <c r="O55" s="47" t="n"/>
      <c r="P55" s="47" t="n"/>
      <c r="Q55" s="47" t="n"/>
      <c r="R55" s="47" t="n"/>
      <c r="S55" s="47" t="n"/>
      <c r="T55" s="47" t="n"/>
      <c r="U55" s="47" t="n"/>
      <c r="V55" s="47" t="n"/>
      <c r="W55" s="47" t="n"/>
      <c r="X55" s="47" t="n"/>
    </row>
    <row r="56" ht="15" customHeight="1">
      <c r="B56" s="155" t="n"/>
      <c r="C56" s="155" t="n"/>
      <c r="D56" s="47" t="n"/>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row>
    <row r="57" ht="15" customHeight="1">
      <c r="B57" s="155" t="n"/>
      <c r="C57" s="155" t="n"/>
      <c r="D57" s="47" t="n"/>
      <c r="E57" s="47" t="n"/>
      <c r="F57" s="47" t="n"/>
      <c r="G57" s="47" t="n"/>
      <c r="H57" s="47" t="n"/>
      <c r="I57" s="47" t="n"/>
      <c r="J57" s="47" t="n"/>
      <c r="K57" s="47" t="n"/>
      <c r="L57" s="47" t="n"/>
      <c r="M57" s="47" t="n"/>
      <c r="N57" s="47" t="n"/>
      <c r="O57" s="47" t="n"/>
      <c r="P57" s="47" t="n"/>
      <c r="Q57" s="47" t="n"/>
      <c r="R57" s="47" t="n"/>
      <c r="S57" s="47" t="n"/>
      <c r="T57" s="47" t="n"/>
      <c r="U57" s="47" t="n"/>
      <c r="V57" s="47" t="n"/>
      <c r="W57" s="47" t="n"/>
      <c r="X57" s="47" t="n"/>
    </row>
    <row r="58" ht="15" customHeight="1">
      <c r="B58" s="155" t="n"/>
      <c r="C58" s="155" t="n"/>
      <c r="D58" s="47" t="n"/>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row>
    <row r="59" ht="15" customHeight="1">
      <c r="B59" s="155" t="n"/>
      <c r="C59" s="155" t="n"/>
      <c r="D59" s="47" t="n"/>
      <c r="E59" s="47" t="n"/>
      <c r="F59" s="47" t="n"/>
      <c r="G59" s="47" t="n"/>
      <c r="H59" s="47" t="n"/>
      <c r="I59" s="47" t="n"/>
      <c r="J59" s="47" t="n"/>
      <c r="K59" s="47" t="n"/>
      <c r="L59" s="47" t="n"/>
      <c r="M59" s="47" t="n"/>
      <c r="N59" s="47" t="n"/>
      <c r="O59" s="47" t="n"/>
      <c r="P59" s="47" t="n"/>
      <c r="Q59" s="47" t="n"/>
      <c r="R59" s="47" t="n"/>
      <c r="S59" s="47" t="n"/>
      <c r="T59" s="47" t="n"/>
      <c r="U59" s="47" t="n"/>
      <c r="V59" s="47" t="n"/>
      <c r="W59" s="47" t="n"/>
      <c r="X59" s="47" t="n"/>
    </row>
    <row r="60" ht="15" customHeight="1">
      <c r="B60" s="155" t="n"/>
      <c r="C60" s="155" t="n"/>
      <c r="D60" s="47" t="n"/>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row>
    <row r="61" ht="15" customHeight="1">
      <c r="B61" s="155" t="n"/>
      <c r="C61" s="155" t="n"/>
      <c r="D61" s="47" t="n"/>
      <c r="E61" s="47" t="n"/>
      <c r="F61" s="47" t="n"/>
      <c r="G61" s="47" t="n"/>
      <c r="H61" s="47" t="n"/>
      <c r="I61" s="47" t="n"/>
      <c r="J61" s="47" t="n"/>
      <c r="K61" s="47" t="n"/>
      <c r="L61" s="47" t="n"/>
      <c r="M61" s="47" t="n"/>
      <c r="N61" s="47" t="n"/>
      <c r="O61" s="47" t="n"/>
      <c r="P61" s="47" t="n"/>
      <c r="Q61" s="47" t="n"/>
      <c r="R61" s="47" t="n"/>
      <c r="S61" s="47" t="n"/>
      <c r="T61" s="47" t="n"/>
      <c r="U61" s="47" t="n"/>
      <c r="V61" s="47" t="n"/>
      <c r="W61" s="47" t="n"/>
      <c r="X61" s="47" t="n"/>
    </row>
    <row r="62" ht="15" customHeight="1">
      <c r="B62" s="155" t="n"/>
      <c r="C62" s="155" t="n"/>
      <c r="D62" s="47" t="n"/>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row>
    <row r="63" ht="15" customHeight="1">
      <c r="B63" s="155" t="n"/>
      <c r="C63" s="155" t="n"/>
      <c r="D63" s="47" t="n"/>
      <c r="E63" s="47" t="n"/>
      <c r="F63" s="47" t="n"/>
      <c r="G63" s="47" t="n"/>
      <c r="H63" s="47" t="n"/>
      <c r="I63" s="47" t="n"/>
      <c r="J63" s="47" t="n"/>
      <c r="K63" s="47" t="n"/>
      <c r="L63" s="47" t="n"/>
      <c r="M63" s="47" t="n"/>
      <c r="N63" s="47" t="n"/>
      <c r="O63" s="47" t="n"/>
      <c r="P63" s="47" t="n"/>
      <c r="Q63" s="47" t="n"/>
      <c r="R63" s="47" t="n"/>
      <c r="S63" s="47" t="n"/>
      <c r="T63" s="47" t="n"/>
      <c r="U63" s="47" t="n"/>
      <c r="V63" s="47" t="n"/>
      <c r="W63" s="47" t="n"/>
      <c r="X63" s="47" t="n"/>
    </row>
    <row r="64" ht="15" customHeight="1">
      <c r="B64" s="155" t="n"/>
      <c r="C64" s="155" t="n"/>
      <c r="D64" s="47" t="n"/>
      <c r="E64" s="47" t="n"/>
      <c r="F64" s="47" t="n"/>
      <c r="G64" s="47" t="n"/>
      <c r="H64" s="47" t="n"/>
      <c r="I64" s="47" t="n"/>
      <c r="J64" s="47" t="n"/>
      <c r="K64" s="47" t="n"/>
      <c r="L64" s="47" t="n"/>
      <c r="M64" s="47" t="n"/>
      <c r="N64" s="47" t="n"/>
      <c r="O64" s="47" t="n"/>
      <c r="P64" s="47" t="n"/>
      <c r="Q64" s="47" t="n"/>
      <c r="R64" s="47" t="n"/>
      <c r="S64" s="47" t="n"/>
      <c r="T64" s="47" t="n"/>
      <c r="U64" s="47" t="n"/>
      <c r="V64" s="47" t="n"/>
      <c r="W64" s="47" t="n"/>
      <c r="X64" s="47" t="n"/>
    </row>
    <row r="65" ht="15" customHeight="1">
      <c r="B65" s="155" t="n"/>
      <c r="C65" s="155" t="n"/>
      <c r="D65" s="47" t="n"/>
      <c r="E65" s="47" t="n"/>
      <c r="F65" s="47" t="n"/>
      <c r="G65" s="47" t="n"/>
      <c r="H65" s="47" t="n"/>
      <c r="I65" s="47" t="n"/>
      <c r="J65" s="47" t="n"/>
      <c r="K65" s="47" t="n"/>
      <c r="L65" s="47" t="n"/>
      <c r="M65" s="47" t="n"/>
      <c r="N65" s="47" t="n"/>
      <c r="O65" s="47" t="n"/>
      <c r="P65" s="47" t="n"/>
      <c r="Q65" s="47" t="n"/>
      <c r="R65" s="47" t="n"/>
      <c r="S65" s="47" t="n"/>
      <c r="T65" s="47" t="n"/>
      <c r="U65" s="47" t="n"/>
      <c r="V65" s="47" t="n"/>
      <c r="W65" s="47" t="n"/>
      <c r="X65" s="47" t="n"/>
    </row>
    <row r="66" ht="15" customHeight="1">
      <c r="B66" s="155" t="n"/>
      <c r="C66" s="155" t="n"/>
      <c r="D66" s="47" t="n"/>
      <c r="E66" s="47" t="n"/>
      <c r="F66" s="47" t="n"/>
      <c r="G66" s="47" t="n"/>
      <c r="H66" s="47" t="n"/>
      <c r="I66" s="47" t="n"/>
      <c r="J66" s="47" t="n"/>
      <c r="K66" s="47" t="n"/>
      <c r="L66" s="47" t="n"/>
      <c r="M66" s="47" t="n"/>
      <c r="N66" s="47" t="n"/>
      <c r="O66" s="47" t="n"/>
      <c r="P66" s="47" t="n"/>
      <c r="Q66" s="47" t="n"/>
      <c r="R66" s="47" t="n"/>
      <c r="S66" s="47" t="n"/>
      <c r="T66" s="47" t="n"/>
      <c r="U66" s="47" t="n"/>
      <c r="V66" s="47" t="n"/>
      <c r="W66" s="47" t="n"/>
      <c r="X66" s="47" t="n"/>
    </row>
    <row r="67" ht="15" customHeight="1">
      <c r="B67" s="155" t="n"/>
      <c r="C67" s="155" t="n"/>
      <c r="D67" s="47" t="n"/>
      <c r="E67" s="47" t="n"/>
      <c r="F67" s="47" t="n"/>
      <c r="G67" s="47" t="n"/>
      <c r="H67" s="47" t="n"/>
      <c r="I67" s="47" t="n"/>
      <c r="J67" s="47" t="n"/>
      <c r="K67" s="47" t="n"/>
      <c r="L67" s="47" t="n"/>
      <c r="M67" s="47" t="n"/>
      <c r="N67" s="47" t="n"/>
      <c r="O67" s="47" t="n"/>
      <c r="P67" s="47" t="n"/>
      <c r="Q67" s="47" t="n"/>
      <c r="R67" s="47" t="n"/>
      <c r="S67" s="47" t="n"/>
      <c r="T67" s="47" t="n"/>
      <c r="U67" s="47" t="n"/>
      <c r="V67" s="47" t="n"/>
      <c r="W67" s="47" t="n"/>
      <c r="X67" s="47" t="n"/>
    </row>
    <row r="68" ht="15" customHeight="1">
      <c r="B68" s="155" t="n"/>
      <c r="C68" s="155" t="n"/>
      <c r="D68" s="47" t="n"/>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row>
    <row r="69" ht="15" customHeight="1">
      <c r="B69" s="155" t="n"/>
      <c r="C69" s="155" t="n"/>
      <c r="D69" s="47" t="n"/>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row>
    <row r="70" ht="15" customHeight="1">
      <c r="B70" s="155" t="n"/>
      <c r="C70" s="155" t="n"/>
      <c r="D70" s="47" t="n"/>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row>
    <row r="71" ht="15" customHeight="1">
      <c r="B71" s="155" t="n"/>
      <c r="C71" s="155" t="n"/>
      <c r="D71" s="47" t="n"/>
      <c r="E71" s="47" t="n"/>
      <c r="F71" s="47" t="n"/>
      <c r="G71" s="47" t="n"/>
      <c r="H71" s="47" t="n"/>
      <c r="I71" s="47" t="n"/>
      <c r="J71" s="47" t="n"/>
      <c r="K71" s="47" t="n"/>
      <c r="L71" s="47" t="n"/>
      <c r="M71" s="47" t="n"/>
      <c r="N71" s="47" t="n"/>
      <c r="O71" s="47" t="n"/>
      <c r="P71" s="47" t="n"/>
      <c r="Q71" s="47" t="n"/>
      <c r="R71" s="47" t="n"/>
      <c r="S71" s="47" t="n"/>
      <c r="T71" s="47" t="n"/>
      <c r="U71" s="47" t="n"/>
      <c r="V71" s="47" t="n"/>
      <c r="W71" s="47" t="n"/>
      <c r="X71" s="47" t="n"/>
    </row>
    <row r="72" ht="15" customHeight="1">
      <c r="B72" s="155" t="n"/>
      <c r="C72" s="155" t="n"/>
      <c r="D72" s="47" t="n"/>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row>
    <row r="73" ht="15" customHeight="1">
      <c r="B73" s="155" t="n"/>
      <c r="C73" s="155" t="n"/>
      <c r="D73" s="47" t="n"/>
      <c r="E73" s="47" t="n"/>
      <c r="F73" s="47" t="n"/>
      <c r="G73" s="47" t="n"/>
      <c r="H73" s="47" t="n"/>
      <c r="I73" s="47" t="n"/>
      <c r="J73" s="47" t="n"/>
      <c r="K73" s="47" t="n"/>
      <c r="L73" s="47" t="n"/>
      <c r="M73" s="47" t="n"/>
      <c r="N73" s="47" t="n"/>
      <c r="O73" s="47" t="n"/>
      <c r="P73" s="47" t="n"/>
      <c r="Q73" s="47" t="n"/>
      <c r="R73" s="47" t="n"/>
      <c r="S73" s="47" t="n"/>
      <c r="T73" s="47" t="n"/>
      <c r="U73" s="47" t="n"/>
      <c r="V73" s="47" t="n"/>
      <c r="W73" s="47" t="n"/>
      <c r="X73" s="47" t="n"/>
    </row>
  </sheetData>
  <hyperlinks>
    <hyperlink ref="B1" location="'Cover Page'!A1" display="Return to Cover"/>
  </hyperlinks>
  <pageMargins left="0.75" right="0.75" top="1" bottom="1" header="0.5" footer="0.5"/>
  <pageSetup orientation="landscape" scale="56" fitToHeight="0"/>
  <legacyDrawing xmlns:r="http://schemas.openxmlformats.org/officeDocument/2006/relationships" r:id="anysvml"/>
</worksheet>
</file>

<file path=xl/worksheets/sheet14.xml><?xml version="1.0" encoding="utf-8"?>
<worksheet xmlns="http://schemas.openxmlformats.org/spreadsheetml/2006/main">
  <sheetPr>
    <tabColor theme="3" tint="0.499984740745262"/>
    <outlinePr summaryBelow="1" summaryRight="1"/>
    <pageSetUpPr fitToPage="1"/>
  </sheetPr>
  <dimension ref="A1:K36"/>
  <sheetViews>
    <sheetView showGridLines="0" tabSelected="0" view="pageBreakPreview" topLeftCell="A18" zoomScaleNormal="81" zoomScaleSheetLayoutView="100" workbookViewId="0">
      <selection activeCell="A1" sqref="A1"/>
    </sheetView>
  </sheetViews>
  <sheetFormatPr baseColWidth="8" defaultRowHeight="14.5"/>
  <cols>
    <col width="1.7265625" customWidth="1" min="1" max="2"/>
    <col width="26" customWidth="1" min="3" max="3"/>
    <col width="13.1796875" customWidth="1" min="4" max="10"/>
    <col width="1.7265625" customWidth="1" min="11" max="11"/>
  </cols>
  <sheetData>
    <row r="1" ht="12.75" customHeight="1">
      <c r="A1" s="137">
        <f>C3</f>
        <v/>
      </c>
      <c r="B1" s="138">
        <f>'Cover Page'!A1</f>
        <v/>
      </c>
    </row>
    <row r="2" ht="12.75" customFormat="1" customHeight="1" s="203">
      <c r="A2" s="137" t="n"/>
      <c r="B2" s="138" t="n"/>
    </row>
    <row r="3" ht="14.25" customHeight="1">
      <c r="C3" s="31" t="inlineStr">
        <is>
          <t>Debt Maturity Schedule</t>
        </is>
      </c>
      <c r="D3" s="32" t="n"/>
      <c r="E3" s="32" t="n"/>
      <c r="F3" s="32" t="n"/>
      <c r="G3" s="32" t="n"/>
      <c r="H3" s="32" t="n"/>
      <c r="I3" s="32" t="n"/>
      <c r="J3" s="93" t="inlineStr">
        <is>
          <t>Xerox Holdings Corporation</t>
        </is>
      </c>
    </row>
    <row r="4" ht="12.75" customHeight="1">
      <c r="C4" s="139" t="inlineStr">
        <is>
          <t>All values in $ millions (USD), as of June 30, 2026</t>
        </is>
      </c>
      <c r="D4" s="67" t="n"/>
      <c r="E4" s="67" t="n"/>
      <c r="F4" s="67" t="n"/>
      <c r="G4" s="67" t="n"/>
      <c r="H4" s="67" t="n"/>
      <c r="I4" s="67" t="n"/>
      <c r="J4" s="69" t="n"/>
    </row>
    <row r="5" ht="12.75" customHeight="1">
      <c r="A5" s="141" t="n"/>
      <c r="B5" s="141" t="n"/>
      <c r="C5" s="162" t="n"/>
      <c r="D5" s="141" t="n"/>
      <c r="E5" s="141" t="n"/>
      <c r="F5" s="141" t="n"/>
      <c r="G5" s="141" t="n"/>
      <c r="H5" s="141" t="n"/>
      <c r="I5" s="141" t="n"/>
      <c r="J5" s="141" t="n"/>
      <c r="K5" s="141" t="n"/>
    </row>
    <row r="6" hidden="1">
      <c r="A6" s="141" t="n"/>
      <c r="B6" s="141" t="n"/>
      <c r="C6" s="177" t="n"/>
      <c r="D6" s="141" t="n"/>
      <c r="E6" s="141" t="n"/>
      <c r="F6" s="141" t="n"/>
      <c r="G6" s="141" t="n"/>
      <c r="H6" s="141" t="n"/>
      <c r="I6" s="141" t="n"/>
      <c r="J6" s="141" t="n"/>
      <c r="K6" s="141" t="n"/>
    </row>
    <row r="7" ht="12.75" customHeight="1">
      <c r="A7" s="94" t="inlineStr">
        <is>
          <t>x</t>
        </is>
      </c>
      <c r="B7" s="94" t="inlineStr">
        <is>
          <t>x</t>
        </is>
      </c>
      <c r="C7" s="35" t="inlineStr">
        <is>
          <t>Debt Maturity Profile</t>
        </is>
      </c>
      <c r="D7" s="36" t="n"/>
      <c r="E7" s="36" t="n"/>
      <c r="F7" s="36" t="n"/>
      <c r="G7" s="36" t="n"/>
      <c r="H7" s="36" t="n"/>
      <c r="I7" s="36" t="n"/>
      <c r="J7" s="36" t="n"/>
    </row>
    <row r="8" ht="12.75" customHeight="1">
      <c r="C8" s="97" t="n"/>
      <c r="D8" s="98" t="inlineStr">
        <is>
          <t>Liquidity</t>
        </is>
      </c>
      <c r="E8" s="98" t="n">
        <v>2028</v>
      </c>
      <c r="F8" s="98" t="n">
        <v>2029</v>
      </c>
      <c r="G8" s="98" t="n">
        <v>2030</v>
      </c>
      <c r="H8" s="98" t="n">
        <v>2031</v>
      </c>
      <c r="I8" s="98" t="n">
        <v>2035</v>
      </c>
      <c r="J8" s="98" t="n">
        <v>2039</v>
      </c>
    </row>
    <row r="9" ht="12.75" customHeight="1">
      <c r="C9" s="47" t="inlineStr">
        <is>
          <t>Cash &amp; Equivalents</t>
        </is>
      </c>
      <c r="D9" s="84">
        <f>'Capital Structure'!$D$38</f>
        <v/>
      </c>
      <c r="E9" s="85" t="n"/>
      <c r="F9" s="85" t="n"/>
      <c r="G9" s="85" t="n"/>
      <c r="H9" s="85" t="n"/>
      <c r="I9" s="85" t="n"/>
      <c r="J9" s="85" t="n"/>
    </row>
    <row r="10" ht="12.75" customHeight="1">
      <c r="C10" s="47" t="inlineStr">
        <is>
          <t>ABL Availability</t>
        </is>
      </c>
      <c r="D10" s="86">
        <f>'Capital Structure'!$D$37</f>
        <v/>
      </c>
      <c r="E10" s="87" t="n"/>
      <c r="F10" s="87" t="n"/>
      <c r="G10" s="87" t="n"/>
      <c r="H10" s="87" t="n"/>
      <c r="I10" s="87" t="n"/>
      <c r="J10" s="87" t="n"/>
    </row>
    <row r="11" ht="12.75" customHeight="1">
      <c r="C11" s="47" t="inlineStr">
        <is>
          <t>Secured Term Loan</t>
        </is>
      </c>
      <c r="D11" s="87" t="n"/>
      <c r="E11" s="86">
        <f>SUMIFS('Capital Structure'!$D$12:$D$12,'Capital Structure'!$I$12:$I$12,"&gt;="&amp;DATE(E$8,1,1),'Capital Structure'!$I$12:$I$12,"&lt;="&amp;DATE(E$8,12,31))</f>
        <v/>
      </c>
      <c r="F11" s="86">
        <f>SUMIFS('Capital Structure'!$D$12:$D$12,'Capital Structure'!$I$12:$I$12,"&gt;="&amp;DATE(F$8,1,1),'Capital Structure'!$I$12:$I$12,"&lt;="&amp;DATE(F$8,12,31))</f>
        <v/>
      </c>
      <c r="G11" s="86">
        <f>SUMIFS('Capital Structure'!$D$12:$D$12,'Capital Structure'!$I$12:$I$12,"&gt;="&amp;DATE(G$8,1,1),'Capital Structure'!$I$12:$I$12,"&lt;="&amp;DATE(G$8,12,31))</f>
        <v/>
      </c>
      <c r="H11" s="86">
        <f>SUMIFS('Capital Structure'!$D$12:$D$12,'Capital Structure'!$I$12:$I$12,"&gt;="&amp;DATE(H$8,1,1),'Capital Structure'!$I$12:$I$12,"&lt;="&amp;DATE(H$8,12,31))</f>
        <v/>
      </c>
      <c r="I11" s="86">
        <f>SUMIFS('Capital Structure'!$D$12:$D$12,'Capital Structure'!$I$12:$I$12,"&gt;="&amp;DATE(I$8,1,1),'Capital Structure'!$I$12:$I$12,"&lt;="&amp;DATE(I$8,12,31))</f>
        <v/>
      </c>
      <c r="J11" s="86">
        <f>SUMIFS('Capital Structure'!$D$12:$D$12,'Capital Structure'!$I$12:$I$12,"&gt;="&amp;DATE(J$8,1,1),'Capital Structure'!$I$12:$I$12,"&lt;="&amp;DATE(J$8,12,31))</f>
        <v/>
      </c>
    </row>
    <row r="12" ht="12.75" customHeight="1">
      <c r="C12" s="47" t="inlineStr">
        <is>
          <t>1L Term Loan</t>
        </is>
      </c>
      <c r="D12" s="87" t="n"/>
      <c r="E12" s="86">
        <f>SUMIFS('Capital Structure'!$D$14:$D$14,'Capital Structure'!$I$14:$I$14,"&gt;="&amp;DATE(E$8,1,1),'Capital Structure'!$I$14:$I$14,"&lt;="&amp;DATE(E$8,12,31))</f>
        <v/>
      </c>
      <c r="F12" s="86">
        <f>SUMIFS('Capital Structure'!$D$14:$D$14,'Capital Structure'!$I$14:$I$14,"&gt;="&amp;DATE(F$8,1,1),'Capital Structure'!$I$14:$I$14,"&lt;="&amp;DATE(F$8,12,31))</f>
        <v/>
      </c>
      <c r="G12" s="86">
        <f>SUMIFS('Capital Structure'!$D$14:$D$14,'Capital Structure'!$I$14:$I$14,"&gt;="&amp;DATE(G$8,1,1),'Capital Structure'!$I$14:$I$14,"&lt;="&amp;DATE(G$8,12,31))</f>
        <v/>
      </c>
      <c r="H12" s="86">
        <f>SUMIFS('Capital Structure'!$D$14:$D$14,'Capital Structure'!$I$14:$I$14,"&gt;="&amp;DATE(H$8,1,1),'Capital Structure'!$I$14:$I$14,"&lt;="&amp;DATE(H$8,12,31))</f>
        <v/>
      </c>
      <c r="I12" s="86">
        <f>SUMIFS('Capital Structure'!$D$14:$D$14,'Capital Structure'!$I$14:$I$14,"&gt;="&amp;DATE(I$8,1,1),'Capital Structure'!$I$14:$I$14,"&lt;="&amp;DATE(I$8,12,31))</f>
        <v/>
      </c>
      <c r="J12" s="86">
        <f>SUMIFS('Capital Structure'!$D$14:$D$14,'Capital Structure'!$I$14:$I$14,"&gt;="&amp;DATE(J$8,1,1),'Capital Structure'!$I$14:$I$14,"&lt;="&amp;DATE(J$8,12,31))</f>
        <v/>
      </c>
    </row>
    <row r="13" ht="12.75" customHeight="1">
      <c r="C13" s="47" t="inlineStr">
        <is>
          <t>1L Notes</t>
        </is>
      </c>
      <c r="D13" s="87" t="n"/>
      <c r="E13" s="86">
        <f>SUMIFS('Capital Structure'!$D$15:$D$15,'Capital Structure'!$I$15:$I$15,"&gt;="&amp;DATE(E$8,1,1),'Capital Structure'!$I$15:$I$15,"&lt;="&amp;DATE(E$8,12,31))</f>
        <v/>
      </c>
      <c r="F13" s="86">
        <f>SUMIFS('Capital Structure'!$D$15:$D$15,'Capital Structure'!$I$15:$I$15,"&gt;="&amp;DATE(F$8,1,1),'Capital Structure'!$I$15:$I$15,"&lt;="&amp;DATE(F$8,12,31))</f>
        <v/>
      </c>
      <c r="G13" s="86">
        <f>SUMIFS('Capital Structure'!$D$15:$D$15,'Capital Structure'!$I$15:$I$15,"&gt;="&amp;DATE(G$8,1,1),'Capital Structure'!$I$15:$I$15,"&lt;="&amp;DATE(G$8,12,31))</f>
        <v/>
      </c>
      <c r="H13" s="86">
        <f>SUMIFS('Capital Structure'!$D$15:$D$15,'Capital Structure'!$I$15:$I$15,"&gt;="&amp;DATE(H$8,1,1),'Capital Structure'!$I$15:$I$15,"&lt;="&amp;DATE(H$8,12,31))</f>
        <v/>
      </c>
      <c r="I13" s="86">
        <f>SUMIFS('Capital Structure'!$D$15:$D$15,'Capital Structure'!$I$15:$I$15,"&gt;="&amp;DATE(I$8,1,1),'Capital Structure'!$I$15:$I$15,"&lt;="&amp;DATE(I$8,12,31))</f>
        <v/>
      </c>
      <c r="J13" s="86">
        <f>SUMIFS('Capital Structure'!$D$15:$D$15,'Capital Structure'!$I$15:$I$15,"&gt;="&amp;DATE(J$8,1,1),'Capital Structure'!$I$15:$I$15,"&lt;="&amp;DATE(J$8,12,31))</f>
        <v/>
      </c>
    </row>
    <row r="14" ht="12.75" customHeight="1">
      <c r="C14" s="47" t="inlineStr">
        <is>
          <t>2L Notes</t>
        </is>
      </c>
      <c r="D14" s="87" t="n"/>
      <c r="E14" s="86">
        <f>SUMIFS('Capital Structure'!$D$16:$D$16,'Capital Structure'!$I$16:$I$16,"&gt;="&amp;DATE(E$8,1,1),'Capital Structure'!$I$16:$I$16,"&lt;="&amp;DATE(E$8,12,31))</f>
        <v/>
      </c>
      <c r="F14" s="86">
        <f>SUMIFS('Capital Structure'!$D$16:$D$16,'Capital Structure'!$I$16:$I$16,"&gt;="&amp;DATE(F$8,1,1),'Capital Structure'!$I$16:$I$16,"&lt;="&amp;DATE(F$8,12,31))</f>
        <v/>
      </c>
      <c r="G14" s="86">
        <f>SUMIFS('Capital Structure'!$D$16:$D$16,'Capital Structure'!$I$16:$I$16,"&gt;="&amp;DATE(G$8,1,1),'Capital Structure'!$I$16:$I$16,"&lt;="&amp;DATE(G$8,12,31))</f>
        <v/>
      </c>
      <c r="H14" s="86">
        <f>SUMIFS('Capital Structure'!$D$16:$D$16,'Capital Structure'!$I$16:$I$16,"&gt;="&amp;DATE(H$8,1,1),'Capital Structure'!$I$16:$I$16,"&lt;="&amp;DATE(H$8,12,31))</f>
        <v/>
      </c>
      <c r="I14" s="86">
        <f>SUMIFS('Capital Structure'!$D$16:$D$16,'Capital Structure'!$I$16:$I$16,"&gt;="&amp;DATE(I$8,1,1),'Capital Structure'!$I$16:$I$16,"&lt;="&amp;DATE(I$8,12,31))</f>
        <v/>
      </c>
      <c r="J14" s="86">
        <f>SUMIFS('Capital Structure'!$D$16:$D$16,'Capital Structure'!$I$16:$I$16,"&gt;="&amp;DATE(J$8,1,1),'Capital Structure'!$I$16:$I$16,"&lt;="&amp;DATE(J$8,12,31))</f>
        <v/>
      </c>
    </row>
    <row r="15" ht="12.75" customHeight="1">
      <c r="C15" s="47" t="inlineStr">
        <is>
          <t>Senior Unsecured Notes</t>
        </is>
      </c>
      <c r="D15" s="87" t="n"/>
      <c r="E15" s="86">
        <f>SUMIFS('Capital Structure'!$D$18:$D$23,'Capital Structure'!$I$18:$I$23,"&gt;="&amp;DATE(E$8,1,1),'Capital Structure'!$I$18:$I$23,"&lt;="&amp;DATE(E$8,12,31))</f>
        <v/>
      </c>
      <c r="F15" s="86">
        <f>SUMIFS('Capital Structure'!$D$18:$D$23,'Capital Structure'!$I$18:$I$23,"&gt;="&amp;DATE(F$8,1,1),'Capital Structure'!$I$18:$I$23,"&lt;="&amp;DATE(F$8,12,31))</f>
        <v/>
      </c>
      <c r="G15" s="86">
        <f>SUMIFS('Capital Structure'!$D$18:$D$23,'Capital Structure'!$I$18:$I$23,"&gt;="&amp;DATE(G$8,1,1),'Capital Structure'!$I$18:$I$23,"&lt;="&amp;DATE(G$8,12,31))</f>
        <v/>
      </c>
      <c r="H15" s="86">
        <f>SUMIFS('Capital Structure'!$D$18:$D$23,'Capital Structure'!$I$18:$I$23,"&gt;="&amp;DATE(H$8,1,1),'Capital Structure'!$I$18:$I$23,"&lt;="&amp;DATE(H$8,12,31))</f>
        <v/>
      </c>
      <c r="I15" s="86">
        <f>SUMIFS('Capital Structure'!$D$18:$D$23,'Capital Structure'!$I$18:$I$23,"&gt;="&amp;DATE(I$8,1,1),'Capital Structure'!$I$18:$I$23,"&lt;="&amp;DATE(I$8,12,31))</f>
        <v/>
      </c>
      <c r="J15" s="86">
        <f>SUMIFS('Capital Structure'!$D$18:$D$23,'Capital Structure'!$I$18:$I$23,"&gt;="&amp;DATE(J$8,1,1),'Capital Structure'!$I$18:$I$23,"&lt;="&amp;DATE(J$8,12,31))</f>
        <v/>
      </c>
    </row>
    <row r="16" ht="12.75" customHeight="1">
      <c r="C16" s="46" t="inlineStr">
        <is>
          <t>Total</t>
        </is>
      </c>
      <c r="D16" s="88">
        <f>SUM(D9:D15)</f>
        <v/>
      </c>
      <c r="E16" s="88">
        <f>SUM(E9:E15)</f>
        <v/>
      </c>
      <c r="F16" s="88">
        <f>SUM(F9:F15)</f>
        <v/>
      </c>
      <c r="G16" s="88">
        <f>SUM(G9:G15)</f>
        <v/>
      </c>
      <c r="H16" s="88">
        <f>SUM(H9:H15)</f>
        <v/>
      </c>
      <c r="I16" s="88">
        <f>SUM(I9:I15)</f>
        <v/>
      </c>
      <c r="J16" s="88">
        <f>SUM(J9:J15)</f>
        <v/>
      </c>
    </row>
    <row r="17" ht="12.75" customHeight="1"/>
    <row r="35">
      <c r="A35" s="94" t="inlineStr">
        <is>
          <t>x</t>
        </is>
      </c>
      <c r="B35" s="94" t="inlineStr">
        <is>
          <t>x</t>
        </is>
      </c>
    </row>
    <row r="36">
      <c r="A36" s="94" t="inlineStr">
        <is>
          <t>End</t>
        </is>
      </c>
    </row>
  </sheetData>
  <hyperlinks>
    <hyperlink ref="B1" location="'Cover Page'!A1" display="Return to Cover"/>
  </hyperlinks>
  <pageMargins left="0.75" right="0.75" top="1" bottom="1" header="0.5" footer="0.5"/>
  <pageSetup orientation="landscape" scale="99" fitToHeight="0"/>
  <drawing xmlns:r="http://schemas.openxmlformats.org/officeDocument/2006/relationships" r:id="rId1"/>
</worksheet>
</file>

<file path=xl/worksheets/sheet15.xml><?xml version="1.0" encoding="utf-8"?>
<worksheet xmlns="http://schemas.openxmlformats.org/spreadsheetml/2006/main">
  <sheetPr>
    <tabColor theme="3" tint="0.749992370372631"/>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4.5"/>
  <cols>
    <col width="24" customWidth="1" min="1" max="1"/>
  </cols>
  <sheetData>
    <row r="1">
      <c r="A1" s="92" t="inlineStr">
        <is>
          <t>Analysis &gt;</t>
        </is>
      </c>
      <c r="B1" s="332">
        <f>'Cover Page'!A1</f>
        <v/>
      </c>
    </row>
  </sheetData>
  <hyperlinks>
    <hyperlink ref="B1" location="'Cover Page'!A1" display="'Cover Page'!A1"/>
  </hyperlinks>
  <pageMargins left="0.75" right="0.75" top="1" bottom="1" header="0.5" footer="0.5"/>
  <pageSetup orientation="portrait" verticalDpi="0"/>
</worksheet>
</file>

<file path=xl/worksheets/sheet16.xml><?xml version="1.0" encoding="utf-8"?>
<worksheet xmlns="http://schemas.openxmlformats.org/spreadsheetml/2006/main">
  <sheetPr>
    <tabColor theme="3" tint="0.749992370372631"/>
    <outlinePr summaryBelow="1" summaryRight="1"/>
    <pageSetUpPr fitToPage="1"/>
  </sheetPr>
  <dimension ref="A1:N56"/>
  <sheetViews>
    <sheetView showGridLines="0" tabSelected="0" view="pageBreakPreview" topLeftCell="A46" zoomScaleNormal="100" zoomScaleSheetLayoutView="100" workbookViewId="0">
      <selection activeCell="A46" sqref="A46"/>
    </sheetView>
  </sheetViews>
  <sheetFormatPr baseColWidth="8" defaultColWidth="13.453125" defaultRowHeight="15" customHeight="1"/>
  <cols>
    <col width="1.453125" customWidth="1" style="273" min="1" max="1"/>
    <col width="1.453125" customWidth="1" style="820" min="2" max="2"/>
    <col width="12" customWidth="1" style="820" min="3" max="3"/>
    <col width="30" customWidth="1" style="273" min="4" max="4"/>
    <col width="1.453125" customWidth="1" style="273" min="5" max="5"/>
    <col width="33" customWidth="1" style="273" min="6" max="6"/>
    <col width="32" customWidth="1" style="273" min="7" max="7"/>
    <col width="9" customWidth="1" style="273" min="8" max="8"/>
    <col width="12" customWidth="1" style="273" min="9" max="10"/>
    <col width="1.453125" customWidth="1" style="273" min="11" max="11"/>
    <col width="12" customWidth="1" style="273" min="12" max="13"/>
    <col width="1.453125" customWidth="1" style="273" min="14" max="15"/>
    <col width="13.453125" customWidth="1" style="273" min="16" max="38"/>
    <col width="13.453125" customWidth="1" style="273" min="39" max="16384"/>
  </cols>
  <sheetData>
    <row r="1" ht="15" customHeight="1">
      <c r="A1" s="780">
        <f>C2</f>
        <v/>
      </c>
      <c r="B1" s="823">
        <f>'Cover Page'!A1</f>
        <v/>
      </c>
    </row>
    <row r="2" ht="15" customHeight="1">
      <c r="C2" s="781" t="inlineStr">
        <is>
          <t>Precedent Transactions Analysis</t>
        </is>
      </c>
      <c r="D2" s="781" t="n"/>
      <c r="E2" s="781" t="n"/>
      <c r="F2" s="782" t="n"/>
      <c r="G2" s="782" t="n"/>
      <c r="H2" s="782" t="n"/>
      <c r="I2" s="782" t="n"/>
      <c r="J2" s="783" t="n"/>
      <c r="K2" s="782" t="n"/>
      <c r="L2" s="782" t="n"/>
      <c r="M2" s="784" t="inlineStr">
        <is>
          <t>Xerox Holdings Corporation</t>
        </is>
      </c>
      <c r="N2" s="820" t="n"/>
    </row>
    <row r="3" ht="15" customHeight="1">
      <c r="C3" s="785" t="inlineStr">
        <is>
          <t>All Values in Millions ($USD), Except Per-Share Values</t>
        </is>
      </c>
    </row>
    <row r="5" ht="15" customHeight="1">
      <c r="C5" s="786" t="inlineStr">
        <is>
          <t>M&amp;A Precedent Transactions - Print &amp; Document Technology</t>
        </is>
      </c>
      <c r="D5" s="786" t="n"/>
      <c r="E5" s="786" t="n"/>
      <c r="F5" s="786" t="n"/>
      <c r="G5" s="786" t="n"/>
      <c r="H5" s="786" t="n"/>
      <c r="I5" s="786" t="n"/>
      <c r="J5" s="786" t="n"/>
      <c r="K5" s="786" t="n"/>
      <c r="L5" s="786" t="n"/>
      <c r="M5" s="786" t="n"/>
      <c r="N5" s="832" t="n"/>
    </row>
    <row r="6" ht="5" customHeight="1"/>
    <row r="7" ht="15" customHeight="1">
      <c r="A7" s="273" t="inlineStr">
        <is>
          <t>x</t>
        </is>
      </c>
      <c r="B7" s="820" t="inlineStr">
        <is>
          <t>x</t>
        </is>
      </c>
      <c r="C7" s="821" t="inlineStr">
        <is>
          <t>Date</t>
        </is>
      </c>
      <c r="D7" s="787" t="inlineStr">
        <is>
          <t>Target</t>
        </is>
      </c>
      <c r="E7" s="787" t="n"/>
      <c r="F7" s="787" t="inlineStr">
        <is>
          <t>Acquirer</t>
        </is>
      </c>
      <c r="G7" s="787" t="inlineStr">
        <is>
          <t>Segment</t>
        </is>
      </c>
      <c r="H7" s="787" t="n"/>
      <c r="I7" s="787" t="inlineStr">
        <is>
          <t>EV ($mm)</t>
        </is>
      </c>
      <c r="J7" s="821" t="inlineStr">
        <is>
          <t>EV/Revenue</t>
        </is>
      </c>
      <c r="K7" s="835" t="n"/>
      <c r="L7" s="788" t="inlineStr">
        <is>
          <t>EV/EBITDA</t>
        </is>
      </c>
      <c r="M7" s="788" t="inlineStr">
        <is>
          <t>Premium</t>
        </is>
      </c>
    </row>
    <row r="8" ht="15" customHeight="1">
      <c r="C8" s="861" t="n">
        <v>45649</v>
      </c>
      <c r="D8" s="790" t="inlineStr">
        <is>
          <t>Lexmark International</t>
        </is>
      </c>
      <c r="F8" s="790" t="inlineStr">
        <is>
          <t>Xerox Holdings</t>
        </is>
      </c>
      <c r="G8" s="790" t="inlineStr">
        <is>
          <t>A4 print / imaging OEM</t>
        </is>
      </c>
      <c r="I8" s="791" t="n">
        <v>1500</v>
      </c>
      <c r="J8" s="862" t="n">
        <v>0.6836827711941659</v>
      </c>
      <c r="L8" s="862" t="n">
        <v>4.716981132075472</v>
      </c>
      <c r="M8" s="793" t="inlineStr">
        <is>
          <t>NA</t>
        </is>
      </c>
    </row>
    <row r="9" ht="15" customHeight="1">
      <c r="C9" s="861" t="n">
        <v>45531</v>
      </c>
      <c r="D9" s="790" t="inlineStr">
        <is>
          <t>ARC Document Solutions</t>
        </is>
      </c>
      <c r="F9" s="790" t="inlineStr">
        <is>
          <t>TechPrint Holdings (mgmt.)</t>
        </is>
      </c>
      <c r="G9" s="790" t="inlineStr">
        <is>
          <t>Document / print services</t>
        </is>
      </c>
      <c r="I9" s="791" t="inlineStr">
        <is>
          <t>NA</t>
        </is>
      </c>
      <c r="J9" s="862" t="inlineStr">
        <is>
          <t>NA</t>
        </is>
      </c>
      <c r="L9" s="862" t="inlineStr">
        <is>
          <t>NA</t>
        </is>
      </c>
      <c r="M9" s="793" t="n">
        <v>0.288</v>
      </c>
    </row>
    <row r="10" ht="15" customHeight="1">
      <c r="C10" s="861" t="n">
        <v>43774</v>
      </c>
      <c r="D10" s="790" t="inlineStr">
        <is>
          <t>Fuji Xerox (25% stake)</t>
        </is>
      </c>
      <c r="F10" s="790" t="inlineStr">
        <is>
          <t>FUJIFILM Holdings</t>
        </is>
      </c>
      <c r="G10" s="790" t="inlineStr">
        <is>
          <t>Office print / document services</t>
        </is>
      </c>
      <c r="I10" s="791" t="inlineStr">
        <is>
          <t>n.m.</t>
        </is>
      </c>
      <c r="J10" s="862" t="inlineStr">
        <is>
          <t>n.m.</t>
        </is>
      </c>
      <c r="L10" s="862" t="inlineStr">
        <is>
          <t>n.m.</t>
        </is>
      </c>
      <c r="M10" s="793" t="inlineStr">
        <is>
          <t>n.m.</t>
        </is>
      </c>
    </row>
    <row r="11" ht="15" customHeight="1">
      <c r="C11" s="861" t="n">
        <v>43570</v>
      </c>
      <c r="D11" s="790" t="inlineStr">
        <is>
          <t>Electronics for Imaging</t>
        </is>
      </c>
      <c r="F11" s="790" t="inlineStr">
        <is>
          <t>Siris Capital</t>
        </is>
      </c>
      <c r="G11" s="790" t="inlineStr">
        <is>
          <t>Print controllers / industrial inkjet</t>
        </is>
      </c>
      <c r="I11" s="791" t="n">
        <v>1700</v>
      </c>
      <c r="J11" s="862" t="n">
        <v>1.67487684729064</v>
      </c>
      <c r="L11" s="862" t="n">
        <v>15.2</v>
      </c>
      <c r="M11" s="793" t="n">
        <v>0.26</v>
      </c>
    </row>
    <row r="12" ht="15" customHeight="1">
      <c r="C12" s="861" t="n">
        <v>42625</v>
      </c>
      <c r="D12" s="790" t="inlineStr">
        <is>
          <t>Samsung printer business</t>
        </is>
      </c>
      <c r="F12" s="790" t="inlineStr">
        <is>
          <t>HP Inc.</t>
        </is>
      </c>
      <c r="G12" s="790" t="inlineStr">
        <is>
          <t>A3/A4 laser printing</t>
        </is>
      </c>
      <c r="I12" s="791" t="n">
        <v>1050</v>
      </c>
      <c r="J12" s="862" t="n">
        <v>0.5833333333333334</v>
      </c>
      <c r="L12" s="862" t="inlineStr">
        <is>
          <t>NA</t>
        </is>
      </c>
      <c r="M12" s="793" t="inlineStr">
        <is>
          <t>NA</t>
        </is>
      </c>
    </row>
    <row r="13" ht="15" customHeight="1" thickBot="1">
      <c r="C13" s="863" t="n">
        <v>42479</v>
      </c>
      <c r="D13" s="827" t="inlineStr">
        <is>
          <t>Lexmark International</t>
        </is>
      </c>
      <c r="E13" s="828" t="n"/>
      <c r="F13" s="827" t="inlineStr">
        <is>
          <t>Apex Technology / PAG Asia Capital</t>
        </is>
      </c>
      <c r="G13" s="827" t="inlineStr">
        <is>
          <t>Print / imaging OEM</t>
        </is>
      </c>
      <c r="H13" s="828" t="n"/>
      <c r="I13" s="829" t="n">
        <v>3600</v>
      </c>
      <c r="J13" s="864" t="n">
        <v>1</v>
      </c>
      <c r="K13" s="828" t="n"/>
      <c r="L13" s="864" t="n">
        <v>9</v>
      </c>
      <c r="M13" s="831" t="n">
        <v>0.3</v>
      </c>
    </row>
    <row r="15" ht="15" customHeight="1">
      <c r="B15" s="820" t="inlineStr">
        <is>
          <t>x</t>
        </is>
      </c>
      <c r="C15" s="819" t="inlineStr">
        <is>
          <t>Company</t>
        </is>
      </c>
      <c r="D15" s="794" t="n"/>
      <c r="E15" s="794" t="n"/>
      <c r="F15" s="795" t="inlineStr">
        <is>
          <t>LTM Revenue</t>
        </is>
      </c>
      <c r="G15" s="795" t="inlineStr">
        <is>
          <t>LTM Adj. EBITDA</t>
        </is>
      </c>
      <c r="H15" s="795" t="n"/>
      <c r="I15" s="795" t="inlineStr">
        <is>
          <t>Excl. IEEPA</t>
        </is>
      </c>
      <c r="J15" s="795" t="inlineStr">
        <is>
          <t>Total Debt</t>
        </is>
      </c>
      <c r="K15" s="795" t="n"/>
      <c r="L15" s="795" t="inlineStr">
        <is>
          <t>ND + Pref.</t>
        </is>
      </c>
      <c r="M15" s="795" t="inlineStr">
        <is>
          <t>Shares (mm)</t>
        </is>
      </c>
    </row>
    <row r="16" ht="15" customHeight="1">
      <c r="C16" s="796" t="inlineStr">
        <is>
          <t>Xerox Holdings Corporation</t>
        </is>
      </c>
      <c r="D16" s="796" t="n"/>
      <c r="E16" s="796" t="n"/>
      <c r="F16" s="865">
        <f>'Income Statement Output'!J13</f>
        <v/>
      </c>
      <c r="G16" s="865">
        <f>'Income Statement Output'!J33</f>
        <v/>
      </c>
      <c r="H16" s="865" t="n"/>
      <c r="I16" s="865">
        <f>'Income Statement Output'!J37</f>
        <v/>
      </c>
      <c r="J16" s="865">
        <f>'Capital Structure'!D24</f>
        <v/>
      </c>
      <c r="K16" s="865" t="n"/>
      <c r="L16" s="865">
        <f>'Capital Structure'!D28</f>
        <v/>
      </c>
      <c r="M16" s="798">
        <f>'$XRX Comparable Companies'!G20</f>
        <v/>
      </c>
    </row>
    <row r="17" ht="15" customHeight="1">
      <c r="K17" s="834" t="n"/>
    </row>
    <row r="18" ht="15" customHeight="1">
      <c r="A18" s="824" t="n"/>
      <c r="B18" s="824" t="n"/>
      <c r="C18" s="799" t="inlineStr">
        <is>
          <t>Min</t>
        </is>
      </c>
      <c r="D18" s="799" t="n"/>
      <c r="E18" s="799" t="n"/>
      <c r="F18" s="799" t="n"/>
      <c r="G18" s="799" t="n"/>
      <c r="H18" s="799" t="n"/>
      <c r="I18" s="866" t="n"/>
      <c r="J18" s="866">
        <f>MIN(J8:J13)</f>
        <v/>
      </c>
      <c r="L18" s="866">
        <f>MIN(L8:L13)</f>
        <v/>
      </c>
      <c r="M18" s="801">
        <f>MIN(M8:M13)</f>
        <v/>
      </c>
    </row>
    <row r="19" ht="15" customHeight="1">
      <c r="A19" s="824" t="n"/>
      <c r="B19" s="824" t="n"/>
      <c r="C19" s="825" t="inlineStr">
        <is>
          <t>Q1</t>
        </is>
      </c>
      <c r="D19" s="825" t="n"/>
      <c r="E19" s="825" t="n"/>
      <c r="F19" s="825" t="n"/>
      <c r="G19" s="825" t="n"/>
      <c r="H19" s="825" t="n"/>
      <c r="I19" s="867" t="n"/>
      <c r="J19" s="867">
        <f>_xlfn.QUARTILE.INC(J8:J13,1)</f>
        <v/>
      </c>
      <c r="L19" s="867">
        <f>_xlfn.QUARTILE.INC(L8:L13,1)</f>
        <v/>
      </c>
      <c r="M19" s="803">
        <f>_xlfn.QUARTILE.INC(M8:M13,1)</f>
        <v/>
      </c>
    </row>
    <row r="20" ht="15" customHeight="1">
      <c r="A20" s="824" t="n"/>
      <c r="B20" s="824" t="n"/>
      <c r="C20" s="825" t="inlineStr">
        <is>
          <t>Median</t>
        </is>
      </c>
      <c r="D20" s="825" t="n"/>
      <c r="E20" s="825" t="n"/>
      <c r="F20" s="825" t="n"/>
      <c r="G20" s="825" t="n"/>
      <c r="H20" s="825" t="n"/>
      <c r="I20" s="867" t="n"/>
      <c r="J20" s="867">
        <f>MEDIAN(J8:J13)</f>
        <v/>
      </c>
      <c r="L20" s="867">
        <f>MEDIAN(L8:L13)</f>
        <v/>
      </c>
      <c r="M20" s="803">
        <f>MEDIAN(M8:M13)</f>
        <v/>
      </c>
    </row>
    <row r="21" ht="15" customHeight="1">
      <c r="A21" s="824" t="n"/>
      <c r="B21" s="824" t="n"/>
      <c r="C21" s="825" t="inlineStr">
        <is>
          <t>Q3</t>
        </is>
      </c>
      <c r="D21" s="825" t="n"/>
      <c r="E21" s="825" t="n"/>
      <c r="F21" s="825" t="n"/>
      <c r="G21" s="825" t="n"/>
      <c r="H21" s="825" t="n"/>
      <c r="I21" s="867" t="n"/>
      <c r="J21" s="867">
        <f>_xlfn.QUARTILE.INC(J8:J13,3)</f>
        <v/>
      </c>
      <c r="L21" s="867">
        <f>_xlfn.QUARTILE.INC(L8:L13,3)</f>
        <v/>
      </c>
      <c r="M21" s="803">
        <f>_xlfn.QUARTILE.INC(M8:M13,3)</f>
        <v/>
      </c>
    </row>
    <row r="22" ht="15" customHeight="1">
      <c r="A22" s="824" t="n"/>
      <c r="B22" s="824" t="n"/>
      <c r="C22" s="804" t="inlineStr">
        <is>
          <t>Max</t>
        </is>
      </c>
      <c r="D22" s="804" t="n"/>
      <c r="E22" s="804" t="n"/>
      <c r="F22" s="804" t="n"/>
      <c r="G22" s="804" t="n"/>
      <c r="H22" s="804" t="n"/>
      <c r="I22" s="868" t="n"/>
      <c r="J22" s="868">
        <f>MAX(J8:J13)</f>
        <v/>
      </c>
      <c r="L22" s="868">
        <f>MAX(L8:L13)</f>
        <v/>
      </c>
      <c r="M22" s="806">
        <f>MAX(M8:M13)</f>
        <v/>
      </c>
    </row>
    <row r="24" ht="15" customHeight="1">
      <c r="A24" s="824" t="n"/>
      <c r="B24" s="824" t="n"/>
      <c r="C24" s="799" t="inlineStr">
        <is>
          <t>Low</t>
        </is>
      </c>
      <c r="D24" s="799" t="n"/>
      <c r="E24" s="799" t="n"/>
      <c r="F24" s="799" t="n"/>
      <c r="G24" s="559" t="n"/>
      <c r="H24" s="807" t="inlineStr">
        <is>
          <t>Q1</t>
        </is>
      </c>
      <c r="I24" s="866" t="n"/>
      <c r="J24" s="866">
        <f>_xlfn.XLOOKUP($H24,$C$18:$C$22,J$18:J$22)</f>
        <v/>
      </c>
      <c r="K24" s="836" t="n"/>
      <c r="L24" s="866">
        <f>_xlfn.XLOOKUP($H24,$C$18:$C$22,L$18:L$22)</f>
        <v/>
      </c>
      <c r="M24" s="808">
        <f>_xlfn.XLOOKUP($H24,$C$18:$C$22,M$18:M$22)</f>
        <v/>
      </c>
    </row>
    <row r="25" ht="15" customHeight="1">
      <c r="C25" s="804" t="inlineStr">
        <is>
          <t>High</t>
        </is>
      </c>
      <c r="D25" s="804" t="n"/>
      <c r="E25" s="804" t="n"/>
      <c r="F25" s="804" t="n"/>
      <c r="G25" s="809" t="n"/>
      <c r="H25" s="833" t="inlineStr">
        <is>
          <t>Median</t>
        </is>
      </c>
      <c r="I25" s="868" t="n"/>
      <c r="J25" s="868">
        <f>_xlfn.XLOOKUP($H25,$C$18:$C$22,J$18:J$22)</f>
        <v/>
      </c>
      <c r="K25" s="818" t="n"/>
      <c r="L25" s="868">
        <f>_xlfn.XLOOKUP($H25,$C$18:$C$22,L$18:L$22)</f>
        <v/>
      </c>
      <c r="M25" s="810">
        <f>_xlfn.XLOOKUP($H25,$C$18:$C$22,M$18:M$22)</f>
        <v/>
      </c>
    </row>
    <row r="27" ht="15" customHeight="1">
      <c r="C27" s="559" t="inlineStr">
        <is>
          <t>Enterprise Value - Low</t>
        </is>
      </c>
      <c r="D27" s="811" t="n"/>
      <c r="E27" s="811" t="n"/>
      <c r="F27" s="811" t="n"/>
      <c r="G27" s="811" t="n"/>
      <c r="H27" s="811" t="n"/>
      <c r="I27" s="869" t="n"/>
      <c r="J27" s="869">
        <f>J24*$F$16</f>
        <v/>
      </c>
      <c r="K27" s="836" t="n"/>
      <c r="L27" s="869">
        <f>L24*$I$16</f>
        <v/>
      </c>
      <c r="M27" s="565" t="inlineStr">
        <is>
          <t>N/A</t>
        </is>
      </c>
    </row>
    <row r="28" ht="15" customHeight="1">
      <c r="C28" s="539" t="inlineStr">
        <is>
          <t>Enterprise Value - High</t>
        </is>
      </c>
      <c r="D28" s="809" t="n"/>
      <c r="E28" s="809" t="n"/>
      <c r="F28" s="809" t="n"/>
      <c r="G28" s="809" t="n"/>
      <c r="H28" s="809" t="n"/>
      <c r="I28" s="870" t="n"/>
      <c r="J28" s="870">
        <f>J25*$F$16</f>
        <v/>
      </c>
      <c r="K28" s="818" t="n"/>
      <c r="L28" s="870">
        <f>L25*$I$16</f>
        <v/>
      </c>
      <c r="M28" s="568" t="inlineStr">
        <is>
          <t>N/A</t>
        </is>
      </c>
    </row>
    <row r="30" ht="15" customHeight="1">
      <c r="C30" s="559" t="inlineStr">
        <is>
          <t>Implied EV / Total Debt (Coverage) - Low</t>
        </is>
      </c>
      <c r="D30" s="811" t="n"/>
      <c r="E30" s="811" t="n"/>
      <c r="F30" s="811" t="n"/>
      <c r="G30" s="811" t="n"/>
      <c r="H30" s="811" t="n"/>
      <c r="I30" s="869" t="n"/>
      <c r="J30" s="871">
        <f>J27/$J$16</f>
        <v/>
      </c>
      <c r="K30" s="872" t="n"/>
      <c r="L30" s="871">
        <f>L27/$J$16</f>
        <v/>
      </c>
      <c r="M30" s="565" t="inlineStr">
        <is>
          <t>N/A</t>
        </is>
      </c>
    </row>
    <row r="31" ht="15" customHeight="1">
      <c r="C31" s="539" t="inlineStr">
        <is>
          <t>Implied EV / Total Debt (Coverage) - High</t>
        </is>
      </c>
      <c r="D31" s="809" t="n"/>
      <c r="E31" s="809" t="n"/>
      <c r="F31" s="809" t="n"/>
      <c r="G31" s="809" t="n"/>
      <c r="H31" s="809" t="n"/>
      <c r="I31" s="870" t="n"/>
      <c r="J31" s="873">
        <f>J28/$J$16</f>
        <v/>
      </c>
      <c r="K31" s="874" t="n"/>
      <c r="L31" s="873">
        <f>L28/$J$16</f>
        <v/>
      </c>
      <c r="M31" s="568" t="inlineStr">
        <is>
          <t>N/A</t>
        </is>
      </c>
    </row>
    <row r="33" ht="15" customHeight="1">
      <c r="C33" s="559" t="inlineStr">
        <is>
          <t>Equity Value (after Net Debt &amp; Pref.) - Low</t>
        </is>
      </c>
      <c r="D33" s="811" t="n"/>
      <c r="E33" s="811" t="n"/>
      <c r="F33" s="811" t="n"/>
      <c r="G33" s="811" t="n"/>
      <c r="H33" s="811" t="n"/>
      <c r="I33" s="875" t="n"/>
      <c r="J33" s="869">
        <f>J27-$L$16</f>
        <v/>
      </c>
      <c r="K33" s="836" t="n"/>
      <c r="L33" s="869">
        <f>L27-$L$16</f>
        <v/>
      </c>
      <c r="M33" s="565" t="inlineStr">
        <is>
          <t>N/A</t>
        </is>
      </c>
    </row>
    <row r="34" ht="15" customHeight="1">
      <c r="C34" s="539" t="inlineStr">
        <is>
          <t>Equity Value (after Net Debt &amp; Pref.) - High</t>
        </is>
      </c>
      <c r="D34" s="809" t="n"/>
      <c r="E34" s="809" t="n"/>
      <c r="F34" s="809" t="n"/>
      <c r="G34" s="809" t="n"/>
      <c r="H34" s="809" t="n"/>
      <c r="I34" s="876" t="n"/>
      <c r="J34" s="870">
        <f>J28-$L$16</f>
        <v/>
      </c>
      <c r="K34" s="818" t="n"/>
      <c r="L34" s="870">
        <f>L28-$L$16</f>
        <v/>
      </c>
      <c r="M34" s="568" t="inlineStr">
        <is>
          <t>N/A</t>
        </is>
      </c>
    </row>
    <row r="36" ht="15" customHeight="1">
      <c r="C36" s="559" t="inlineStr">
        <is>
          <t>Price per Share - Low</t>
        </is>
      </c>
      <c r="D36" s="811" t="n"/>
      <c r="E36" s="811" t="n"/>
      <c r="F36" s="811" t="n"/>
      <c r="G36" s="811" t="n"/>
      <c r="H36" s="811" t="n"/>
      <c r="I36" s="875" t="n"/>
      <c r="J36" s="875">
        <f>J33/$M$16</f>
        <v/>
      </c>
      <c r="K36" s="836" t="n"/>
      <c r="L36" s="875">
        <f>L33/$M$16</f>
        <v/>
      </c>
      <c r="M36" s="565" t="inlineStr">
        <is>
          <t>N/A</t>
        </is>
      </c>
    </row>
    <row r="37" ht="15" customHeight="1">
      <c r="C37" s="539" t="inlineStr">
        <is>
          <t>Price per Share - High</t>
        </is>
      </c>
      <c r="D37" s="809" t="n"/>
      <c r="E37" s="809" t="n"/>
      <c r="F37" s="809" t="n"/>
      <c r="G37" s="809" t="n"/>
      <c r="H37" s="809" t="n"/>
      <c r="I37" s="876" t="n"/>
      <c r="J37" s="876">
        <f>J34/$M$16</f>
        <v/>
      </c>
      <c r="K37" s="820" t="n"/>
      <c r="L37" s="876">
        <f>L34/$M$16</f>
        <v/>
      </c>
      <c r="M37" s="568" t="inlineStr">
        <is>
          <t>N/A</t>
        </is>
      </c>
    </row>
    <row r="38" ht="15" customHeight="1" thickBot="1">
      <c r="A38" s="858" t="n"/>
      <c r="K38" s="834" t="n"/>
    </row>
    <row r="39" ht="13" customHeight="1">
      <c r="C39" s="559" t="inlineStr">
        <is>
          <t>Implied Upside / (Downside) to Current Price - Low</t>
        </is>
      </c>
      <c r="D39" s="811" t="n"/>
      <c r="E39" s="811" t="n"/>
      <c r="F39" s="811" t="n"/>
      <c r="G39" s="811" t="n"/>
      <c r="H39" s="811" t="n"/>
      <c r="I39" s="816" t="n"/>
      <c r="J39" s="816">
        <f>(J36-'$XRX Comparable Companies'!$F$20)/'$XRX Comparable Companies'!$F$20</f>
        <v/>
      </c>
      <c r="K39" s="820" t="n"/>
      <c r="L39" s="816">
        <f>(L36-'$XRX Comparable Companies'!$F$20)/'$XRX Comparable Companies'!$F$20</f>
        <v/>
      </c>
      <c r="M39" s="565" t="inlineStr">
        <is>
          <t>N/A</t>
        </is>
      </c>
    </row>
    <row r="40" ht="13" customHeight="1">
      <c r="A40" s="825" t="n"/>
      <c r="B40" s="825" t="inlineStr">
        <is>
          <t>x</t>
        </is>
      </c>
      <c r="C40" s="539" t="inlineStr">
        <is>
          <t>Implied Upside / (Downside) to Current Price - High</t>
        </is>
      </c>
      <c r="D40" s="809" t="n"/>
      <c r="E40" s="809" t="n"/>
      <c r="F40" s="809" t="n"/>
      <c r="G40" s="809" t="n"/>
      <c r="H40" s="809" t="n"/>
      <c r="I40" s="817" t="n"/>
      <c r="J40" s="817">
        <f>(J37-'$XRX Comparable Companies'!$F$20)/'$XRX Comparable Companies'!$F$20</f>
        <v/>
      </c>
      <c r="K40" s="818" t="n"/>
      <c r="L40" s="817">
        <f>(L37-'$XRX Comparable Companies'!$F$20)/'$XRX Comparable Companies'!$F$20</f>
        <v/>
      </c>
      <c r="M40" s="568" t="inlineStr">
        <is>
          <t>N/A</t>
        </is>
      </c>
    </row>
    <row r="41" ht="15" customHeight="1">
      <c r="C41" s="822" t="n"/>
    </row>
    <row r="44" ht="15" customHeight="1">
      <c r="C44" s="786" t="inlineStr">
        <is>
          <t>Precedent Restructurings &amp; Liability Management Transactions - Comparable Credits</t>
        </is>
      </c>
      <c r="D44" s="786" t="n"/>
      <c r="E44" s="786" t="n"/>
      <c r="F44" s="786" t="n"/>
      <c r="G44" s="786" t="n"/>
      <c r="H44" s="786" t="n"/>
      <c r="I44" s="786" t="n"/>
      <c r="J44" s="786" t="n"/>
      <c r="K44" s="786" t="n"/>
      <c r="L44" s="786" t="n"/>
      <c r="M44" s="786" t="n"/>
      <c r="N44" s="786" t="n"/>
    </row>
    <row r="45" ht="5" customHeight="1"/>
    <row r="46" ht="15" customHeight="1">
      <c r="B46" s="820" t="inlineStr">
        <is>
          <t>x</t>
        </is>
      </c>
      <c r="C46" s="821" t="inlineStr">
        <is>
          <t>Date</t>
        </is>
      </c>
      <c r="D46" s="787" t="inlineStr">
        <is>
          <t>Company</t>
        </is>
      </c>
      <c r="E46" s="787" t="n"/>
      <c r="F46" s="787" t="inlineStr">
        <is>
          <t>Transaction Type</t>
        </is>
      </c>
      <c r="G46" s="788" t="inlineStr">
        <is>
          <t>Debt ($mm)</t>
        </is>
      </c>
      <c r="H46" s="787" t="inlineStr">
        <is>
          <t>Key Terms / Outcome</t>
        </is>
      </c>
      <c r="I46" s="787" t="n"/>
      <c r="J46" s="787" t="n"/>
      <c r="K46" s="787" t="n"/>
      <c r="L46" s="787" t="n"/>
      <c r="M46" s="787" t="n"/>
      <c r="N46" s="859" t="n"/>
    </row>
    <row r="47" ht="50" customHeight="1">
      <c r="C47" s="877" t="n">
        <v>46070</v>
      </c>
      <c r="D47" s="844" t="inlineStr">
        <is>
          <t>Xerox Holdings</t>
        </is>
      </c>
      <c r="E47" s="845" t="n"/>
      <c r="F47" s="844" t="inlineStr">
        <is>
          <t>IP drop-down JV financing (LME)</t>
        </is>
      </c>
      <c r="G47" s="846" t="n">
        <v>450</v>
      </c>
      <c r="H47" s="841" t="inlineStr">
        <is>
          <t>TPG funded $405mm 5-yr term loans + $45mm Class A Units at XRX Brandco (IPCo), secured by contributed IP; ad hoc group of Holdings lenders organized.</t>
        </is>
      </c>
      <c r="I47" s="878" t="n"/>
      <c r="J47" s="878" t="n"/>
      <c r="K47" s="878" t="n"/>
      <c r="L47" s="878" t="n"/>
      <c r="M47" s="878" t="n"/>
      <c r="N47" s="878" t="n"/>
    </row>
    <row r="48" ht="50" customHeight="1">
      <c r="C48" s="879" t="n">
        <v>46184</v>
      </c>
      <c r="D48" s="848" t="inlineStr">
        <is>
          <t>Xerox Holdings</t>
        </is>
      </c>
      <c r="E48" s="849" t="n"/>
      <c r="F48" s="848" t="inlineStr">
        <is>
          <t>Below-par open-market repurchases</t>
        </is>
      </c>
      <c r="G48" s="850" t="n">
        <v>194</v>
      </c>
      <c r="H48" s="842" t="inlineStr">
        <is>
          <t>~$194mm 2028 notes bought for ~$99mm (~51% of par) in 1H26; S&amp;P cut to SD then restored CCC+ (16-Jun-26).</t>
        </is>
      </c>
      <c r="I48" s="880" t="n"/>
      <c r="J48" s="880" t="n"/>
      <c r="K48" s="880" t="n"/>
      <c r="L48" s="880" t="n"/>
      <c r="M48" s="880" t="n"/>
      <c r="N48" s="880" t="n"/>
    </row>
    <row r="49" ht="50" customHeight="1">
      <c r="C49" s="879" t="n">
        <v>45719</v>
      </c>
      <c r="D49" s="848" t="inlineStr">
        <is>
          <t>Exela Technologies (DocuData)</t>
        </is>
      </c>
      <c r="E49" s="849" t="n"/>
      <c r="F49" s="848" t="inlineStr">
        <is>
          <t>Prearranged Chapter 11</t>
        </is>
      </c>
      <c r="G49" s="850" t="n">
        <v>1315</v>
      </c>
      <c r="H49" s="842" t="inlineStr">
        <is>
          <t>~$1.25bn secured notes converted to equity; $245mm exit facility; plan effective 29-Jul-25.</t>
        </is>
      </c>
      <c r="I49" s="880" t="n"/>
      <c r="J49" s="880" t="n"/>
      <c r="K49" s="880" t="n"/>
      <c r="L49" s="880" t="n"/>
      <c r="M49" s="880" t="n"/>
      <c r="N49" s="880" t="n"/>
    </row>
    <row r="50" ht="50" customHeight="1">
      <c r="C50" s="881" t="n">
        <v>45512</v>
      </c>
      <c r="D50" s="603" t="inlineStr">
        <is>
          <t>Pitney Bowes (Global Ecommerce)</t>
        </is>
      </c>
      <c r="E50" s="852" t="n"/>
      <c r="F50" s="603" t="inlineStr">
        <is>
          <t>Subsidiary sale + Ch. 11 liquidation</t>
        </is>
      </c>
      <c r="G50" s="853" t="inlineStr">
        <is>
          <t>NA</t>
        </is>
      </c>
      <c r="H50" s="882" t="inlineStr">
        <is>
          <t>Sold control of GEC to Hilco, which liquidated it in Ch. 11; one-time cost capped at ~$150mm; removed ~$136mm annual losses.</t>
        </is>
      </c>
    </row>
    <row r="51" ht="50" customHeight="1">
      <c r="C51" s="879" t="n">
        <v>45363</v>
      </c>
      <c r="D51" s="848" t="inlineStr">
        <is>
          <t>Rackspace Technology</t>
        </is>
      </c>
      <c r="E51" s="849" t="n"/>
      <c r="F51" s="848" t="inlineStr">
        <is>
          <t>Non-pro-rata uptier exchange (LME)</t>
        </is>
      </c>
      <c r="G51" s="850" t="n">
        <v>1920</v>
      </c>
      <c r="H51" s="842" t="inlineStr">
        <is>
          <t>$1,589mm TL + $331mm notes exchanged into first-lien second-out debt; $275mm new-money super-priority FLFO; &gt;$375mm net debt cut.</t>
        </is>
      </c>
      <c r="I51" s="880" t="n"/>
      <c r="J51" s="880" t="n"/>
      <c r="K51" s="880" t="n"/>
      <c r="L51" s="880" t="n"/>
      <c r="M51" s="880" t="n"/>
      <c r="N51" s="880" t="n"/>
    </row>
    <row r="52" ht="50" customHeight="1">
      <c r="C52" s="881" t="n">
        <v>45078</v>
      </c>
      <c r="D52" s="603" t="inlineStr">
        <is>
          <t>Diebold Nixdorf</t>
        </is>
      </c>
      <c r="E52" s="852" t="n"/>
      <c r="F52" s="603" t="inlineStr">
        <is>
          <t>Prepackaged Ch. 11 + Dutch WHOA</t>
        </is>
      </c>
      <c r="G52" s="853" t="n">
        <v>2700</v>
      </c>
      <c r="H52" s="882" t="inlineStr">
        <is>
          <t>~$2.7bn funded debt restructured; 1L claims equitized into 98% of new equity; $1.25bn DIP rolled into exit TL; old equity cancelled. Effective 11-Aug-23.</t>
        </is>
      </c>
    </row>
    <row r="53" ht="50" customHeight="1">
      <c r="C53" s="879" t="n">
        <v>43934</v>
      </c>
      <c r="D53" s="848" t="inlineStr">
        <is>
          <t>LSC Communications</t>
        </is>
      </c>
      <c r="E53" s="849" t="n"/>
      <c r="F53" s="848" t="inlineStr">
        <is>
          <t>Ch. 11 / 363 sale (credit bid)</t>
        </is>
      </c>
      <c r="G53" s="850" t="inlineStr">
        <is>
          <t>NA</t>
        </is>
      </c>
      <c r="H53" s="842" t="inlineStr">
        <is>
          <t>Sold substantially all assets to Atlas Holdings and the secured creditor group for cash plus a credit bid of the TL and secured notes; buyer assumed the pension plan.</t>
        </is>
      </c>
      <c r="I53" s="880" t="n"/>
      <c r="J53" s="880" t="n"/>
      <c r="K53" s="880" t="n"/>
      <c r="L53" s="880" t="n"/>
      <c r="M53" s="880" t="n"/>
      <c r="N53" s="880" t="n"/>
    </row>
    <row r="54" ht="50" customHeight="1" thickBot="1">
      <c r="A54" s="273" t="inlineStr">
        <is>
          <t>x</t>
        </is>
      </c>
      <c r="B54" s="820" t="inlineStr">
        <is>
          <t>x</t>
        </is>
      </c>
      <c r="C54" s="883" t="n">
        <v>40927</v>
      </c>
      <c r="D54" s="855" t="inlineStr">
        <is>
          <t>Eastman Kodak</t>
        </is>
      </c>
      <c r="E54" s="856" t="n"/>
      <c r="F54" s="855" t="inlineStr">
        <is>
          <t>Chapter 11</t>
        </is>
      </c>
      <c r="G54" s="857" t="inlineStr">
        <is>
          <t>NA</t>
        </is>
      </c>
      <c r="H54" s="840" t="inlineStr">
        <is>
          <t>Emerged 3-Sep-13; 2L notes and unsecured notes cancelled - 2L holders took most of the new equity via a $406mm rights offering; GUCs ~4-5c; new $695mm TLs + $200mm ABL.</t>
        </is>
      </c>
      <c r="I54" s="884" t="n"/>
      <c r="J54" s="884" t="n"/>
      <c r="K54" s="884" t="n"/>
      <c r="L54" s="884" t="n"/>
      <c r="M54" s="884" t="n"/>
      <c r="N54" s="884" t="n"/>
    </row>
    <row r="55" ht="15" customHeight="1">
      <c r="A55" s="538" t="inlineStr">
        <is>
          <t>End</t>
        </is>
      </c>
    </row>
    <row r="56" ht="15" customHeight="1">
      <c r="B56" s="273" t="n"/>
    </row>
  </sheetData>
  <mergeCells count="8">
    <mergeCell ref="H47:N47"/>
    <mergeCell ref="H52:N52"/>
    <mergeCell ref="H49:N49"/>
    <mergeCell ref="H53:N53"/>
    <mergeCell ref="H48:N48"/>
    <mergeCell ref="H54:N54"/>
    <mergeCell ref="H50:N50"/>
    <mergeCell ref="H51:N51"/>
  </mergeCells>
  <dataValidations disablePrompts="1" count="1">
    <dataValidation sqref="H24:H25" showDropDown="0" showInputMessage="1" showErrorMessage="1" allowBlank="1" type="list">
      <formula1>$C$18:$C$22</formula1>
    </dataValidation>
  </dataValidations>
  <hyperlinks>
    <hyperlink ref="B1" location="'Cover Page'!A1" display="'Cover Page'!A1"/>
  </hyperlinks>
  <pageMargins left="0.7" right="0.7" top="0.75" bottom="0.75" header="0.3" footer="0.3"/>
  <pageSetup orientation="portrait" scale="52"/>
  <legacyDrawing xmlns:r="http://schemas.openxmlformats.org/officeDocument/2006/relationships" r:id="anysvml"/>
</worksheet>
</file>

<file path=xl/worksheets/sheet17.xml><?xml version="1.0" encoding="utf-8"?>
<worksheet xmlns="http://schemas.openxmlformats.org/spreadsheetml/2006/main">
  <sheetPr>
    <tabColor theme="3" tint="0.749992370372631"/>
    <outlinePr summaryBelow="1" summaryRight="1"/>
    <pageSetUpPr fitToPage="1"/>
  </sheetPr>
  <dimension ref="A1:AD93"/>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453125" customWidth="1" min="1" max="2"/>
    <col width="13.453125" customWidth="1" min="3" max="7"/>
    <col hidden="1" outlineLevel="1" width="13.453125" customWidth="1" min="8" max="14"/>
    <col collapsed="1" width="13.453125" customWidth="1" min="15" max="15"/>
    <col width="13.453125" customWidth="1" min="16" max="30"/>
    <col width="1.453125" customWidth="1" min="31" max="32"/>
    <col width="13.453125" customWidth="1" min="33" max="39"/>
  </cols>
  <sheetData>
    <row r="1" ht="15" customHeight="1">
      <c r="A1" s="443">
        <f>C2</f>
        <v/>
      </c>
      <c r="B1" s="444">
        <f>'Cover Page'!A1</f>
        <v/>
      </c>
    </row>
    <row r="2" ht="15" customHeight="1">
      <c r="C2" s="446" t="inlineStr">
        <is>
          <t>$XRX Comparable Companies Analysis</t>
        </is>
      </c>
      <c r="D2" s="446" t="n"/>
      <c r="E2" s="446" t="n"/>
      <c r="F2" s="463" t="n"/>
      <c r="G2" s="463" t="n"/>
      <c r="H2" s="463" t="n"/>
      <c r="I2" s="463" t="n"/>
      <c r="J2" s="463" t="n"/>
      <c r="K2" s="463" t="n"/>
      <c r="L2" s="463" t="n"/>
      <c r="M2" s="463" t="n"/>
      <c r="N2" s="463" t="n"/>
      <c r="O2" s="463" t="n"/>
      <c r="P2" s="463" t="n"/>
      <c r="Q2" s="463" t="n"/>
      <c r="R2" s="463" t="n"/>
      <c r="S2" s="463" t="n"/>
      <c r="T2" s="463" t="n"/>
      <c r="U2" s="463" t="n"/>
      <c r="V2" s="463" t="n"/>
      <c r="W2" s="463" t="n"/>
      <c r="X2" s="463" t="n"/>
      <c r="Y2" s="463" t="n"/>
      <c r="Z2" s="463" t="n"/>
      <c r="AA2" s="463" t="n"/>
      <c r="AB2" s="463" t="n"/>
      <c r="AC2" s="463" t="n"/>
      <c r="AD2" s="759" t="inlineStr">
        <is>
          <t>Xerox Holdings Corporation</t>
        </is>
      </c>
    </row>
    <row r="3" ht="15" customHeight="1">
      <c r="C3" s="449" t="inlineStr">
        <is>
          <t>All Values in Millions ($USD), Except Per-Share Values</t>
        </is>
      </c>
    </row>
    <row r="5" ht="15" customHeight="1">
      <c r="A5" s="450" t="inlineStr">
        <is>
          <t>x</t>
        </is>
      </c>
      <c r="B5" s="450" t="inlineStr">
        <is>
          <t>x</t>
        </is>
      </c>
      <c r="C5" s="503" t="inlineStr">
        <is>
          <t>Company Name</t>
        </is>
      </c>
      <c r="D5" s="503" t="n"/>
      <c r="E5" s="504" t="n"/>
      <c r="F5" s="505" t="n"/>
      <c r="G5" s="505" t="n"/>
      <c r="H5" s="504" t="n"/>
      <c r="I5" s="504" t="n"/>
      <c r="J5" s="504" t="n"/>
      <c r="K5" s="504" t="n"/>
      <c r="L5" s="504" t="n"/>
      <c r="M5" s="506" t="inlineStr">
        <is>
          <t>Beta</t>
        </is>
      </c>
      <c r="N5" s="507" t="n"/>
      <c r="O5" s="506" t="inlineStr">
        <is>
          <t>EBITDA</t>
        </is>
      </c>
      <c r="P5" s="507" t="n"/>
      <c r="Q5" s="507" t="inlineStr">
        <is>
          <t>EBIT</t>
        </is>
      </c>
      <c r="R5" s="507" t="n"/>
      <c r="S5" s="507" t="inlineStr">
        <is>
          <t>Revenue</t>
        </is>
      </c>
      <c r="T5" s="507" t="n"/>
      <c r="U5" s="507" t="inlineStr">
        <is>
          <t>FCF</t>
        </is>
      </c>
      <c r="V5" s="507" t="n"/>
      <c r="W5" s="506" t="inlineStr">
        <is>
          <t>EV/EBITDA</t>
        </is>
      </c>
      <c r="X5" s="507" t="n"/>
      <c r="Y5" s="508" t="inlineStr">
        <is>
          <t>EV/EBIT</t>
        </is>
      </c>
      <c r="Z5" s="507" t="n"/>
      <c r="AA5" s="507" t="inlineStr">
        <is>
          <t>EV/Revenue</t>
        </is>
      </c>
      <c r="AB5" s="507" t="n"/>
      <c r="AC5" s="507" t="inlineStr">
        <is>
          <t>EV/FCF</t>
        </is>
      </c>
      <c r="AD5" s="507" t="n"/>
    </row>
    <row r="6" ht="15" customHeight="1">
      <c r="C6" s="509" t="n"/>
      <c r="D6" s="509" t="n"/>
      <c r="E6" s="509" t="inlineStr">
        <is>
          <t>Ticker</t>
        </is>
      </c>
      <c r="F6" s="510" t="inlineStr">
        <is>
          <t>Share Price</t>
        </is>
      </c>
      <c r="G6" s="510" t="inlineStr">
        <is>
          <t>Shares OS</t>
        </is>
      </c>
      <c r="H6" s="509" t="inlineStr">
        <is>
          <t>Market Cap</t>
        </is>
      </c>
      <c r="I6" s="509" t="inlineStr">
        <is>
          <t>Enterprise Value</t>
        </is>
      </c>
      <c r="J6" s="509" t="inlineStr">
        <is>
          <t>Total Debt</t>
        </is>
      </c>
      <c r="K6" s="509" t="inlineStr">
        <is>
          <t>Cash &amp; ST Inv.</t>
        </is>
      </c>
      <c r="L6" s="511" t="inlineStr">
        <is>
          <t>Tax Rate</t>
        </is>
      </c>
      <c r="M6" s="509" t="inlineStr">
        <is>
          <t>Levered</t>
        </is>
      </c>
      <c r="N6" s="509" t="inlineStr">
        <is>
          <t>Unlevered</t>
        </is>
      </c>
      <c r="O6" s="509" t="inlineStr">
        <is>
          <t>LTM</t>
        </is>
      </c>
      <c r="P6" s="509" t="inlineStr">
        <is>
          <t>NTM</t>
        </is>
      </c>
      <c r="Q6" s="509" t="inlineStr">
        <is>
          <t>LTM</t>
        </is>
      </c>
      <c r="R6" s="509" t="inlineStr">
        <is>
          <t>NTM</t>
        </is>
      </c>
      <c r="S6" s="509" t="inlineStr">
        <is>
          <t>LTM</t>
        </is>
      </c>
      <c r="T6" s="509" t="inlineStr">
        <is>
          <t>NTM</t>
        </is>
      </c>
      <c r="U6" s="509" t="inlineStr">
        <is>
          <t>LTM</t>
        </is>
      </c>
      <c r="V6" s="509" t="inlineStr">
        <is>
          <t>NTM</t>
        </is>
      </c>
      <c r="W6" s="509" t="inlineStr">
        <is>
          <t>LTM</t>
        </is>
      </c>
      <c r="X6" s="509" t="inlineStr">
        <is>
          <t>NTM</t>
        </is>
      </c>
      <c r="Y6" s="512" t="inlineStr">
        <is>
          <t>LTM</t>
        </is>
      </c>
      <c r="Z6" s="509" t="inlineStr">
        <is>
          <t>NTM</t>
        </is>
      </c>
      <c r="AA6" s="509" t="inlineStr">
        <is>
          <t>LTM</t>
        </is>
      </c>
      <c r="AB6" s="509" t="inlineStr">
        <is>
          <t>NTM</t>
        </is>
      </c>
      <c r="AC6" s="509" t="inlineStr">
        <is>
          <t>LTM</t>
        </is>
      </c>
      <c r="AD6" s="509" t="inlineStr">
        <is>
          <t>NTM</t>
        </is>
      </c>
    </row>
    <row r="7" ht="15" customHeight="1">
      <c r="C7" s="513">
        <f t="array" ref="C7">_xll.FDS($E7,"FG_COMPANY_NAME")</f>
        <v/>
      </c>
      <c r="D7" s="514" t="n"/>
      <c r="E7" s="515" t="inlineStr">
        <is>
          <t>HPQ</t>
        </is>
      </c>
      <c r="F7" s="885">
        <f t="array" ref="F7">_xll.FDS($E7,"FG_PRICE(0)")</f>
        <v/>
      </c>
      <c r="G7" s="517">
        <f t="array" ref="G7">_xll.FDS($E7,"FREF_SHARES_COMPANY(0,,,,0,""LEGACY"")")</f>
        <v/>
      </c>
      <c r="H7" s="886">
        <f>IF(AND(ISNUMBER(F7),ISNUMBER(G7)),F7*G7,"NA")</f>
        <v/>
      </c>
      <c r="I7" s="885">
        <f t="array" ref="I7">_xll.FDS($E7,"FG_ENT_VALUE(0)")</f>
        <v/>
      </c>
      <c r="J7" s="887">
        <f t="array" ref="J7">_xll.FDSR(E7,"FF_DEBT(ANN_R,0)")</f>
        <v/>
      </c>
      <c r="K7" s="887">
        <f t="array" ref="K7">_xll.FDS(E7,"FF_CASH_ST(ANN_R,0)")</f>
        <v/>
      </c>
      <c r="L7" s="888">
        <f>IFERROR(_xlfn.AGGREGATE(12,6,I50:L50),$L$64)</f>
        <v/>
      </c>
      <c r="M7" s="889">
        <f>IF(ISNUMBER(I72),I72,"NA")</f>
        <v/>
      </c>
      <c r="N7" s="890">
        <f>IF(AND(ISNUMBER(M7),ISNUMBER(L7),ISNUMBER(J7),ISNUMBER(H7)),IF(H7&gt;0,M7/(1+(1-L7)*(J7/H7)),"NM"),"NA")</f>
        <v/>
      </c>
      <c r="O7" s="887">
        <f t="array" ref="O7">_xll.FDS($E7,"FF_EBITDA_OPER(LTM_R,0)")</f>
        <v/>
      </c>
      <c r="P7" s="887">
        <f t="array" ref="P7">_xll.FDS($E7,"FE_ESTIMATE(EBITDA,MEAN,NTM4_ROLL,,NOW,,,'')")</f>
        <v/>
      </c>
      <c r="Q7" s="891">
        <f t="array" ref="Q7">_xll.FDS(E7,"FF_EBIT_OPER(LTM_R,0)")</f>
        <v/>
      </c>
      <c r="R7" s="892">
        <f t="array" ref="R7">_xll.FDS(E7,"FE_ESTIMATE(EBIT,MEAN,NTM4_ROLL,,NOW,,,'')")</f>
        <v/>
      </c>
      <c r="S7" s="892">
        <f t="array" ref="S7">_xll.FDS(E7,"FF_SALES(LTM_R,0)")</f>
        <v/>
      </c>
      <c r="T7" s="892">
        <f t="array" ref="T7">_xll.FDS(E7,"FE_ESTIMATE(SALES,MEAN,NTM4_ROLL,,NOW,,,'')")</f>
        <v/>
      </c>
      <c r="U7" s="892">
        <f t="array" ref="U7">_xll.FDS(E7,"FF_FREE_CF(ANN_R_FCF,0)")</f>
        <v/>
      </c>
      <c r="V7" s="892">
        <f t="array" ref="V7">_xll.FDS(E7,"FE_ESTIMATE(FCF,MEAN,NTM4_ROLL,,NOW,,,'')")</f>
        <v/>
      </c>
      <c r="W7" s="867">
        <f>IF(AND(ISNUMBER($I7),ISNUMBER(O7)),IF(O7&gt;0,$I7/O7,"NM"),"NA")</f>
        <v/>
      </c>
      <c r="X7" s="866">
        <f>IF(AND(ISNUMBER($I7),ISNUMBER(P7)),IF(P7&gt;0,$I7/P7,"NM"),"NA")</f>
        <v/>
      </c>
      <c r="Y7" s="866">
        <f>IF(AND(ISNUMBER($I7),ISNUMBER(Q7)),IF(Q7&gt;0,$I7/Q7,"NM"),"NA")</f>
        <v/>
      </c>
      <c r="Z7" s="866">
        <f>IF(AND(ISNUMBER($I7),ISNUMBER(R7)),IF(R7&gt;0,$I7/R7,"NM"),"NA")</f>
        <v/>
      </c>
      <c r="AA7" s="866">
        <f>IF(AND(ISNUMBER($I7),ISNUMBER(S7)),IF(S7&gt;0,$I7/S7,"NM"),"NA")</f>
        <v/>
      </c>
      <c r="AB7" s="866">
        <f>IF(AND(ISNUMBER($I7),ISNUMBER(T7)),IF(T7&gt;0,$I7/T7,"NM"),"NA")</f>
        <v/>
      </c>
      <c r="AC7" s="866">
        <f>IF(AND(ISNUMBER($I7),ISNUMBER(U7)),IF(U7&gt;0,$I7/U7,"NM"),"NA")</f>
        <v/>
      </c>
      <c r="AD7" s="866">
        <f>IF(AND(ISNUMBER($I7),ISNUMBER(V7)),IF(V7&gt;0,$I7/V7,"NM"),"NA")</f>
        <v/>
      </c>
    </row>
    <row r="8" ht="15" customHeight="1">
      <c r="C8" s="513">
        <f t="array" ref="C8">_xll.FDS($E8,"FG_COMPANY_NAME")</f>
        <v/>
      </c>
      <c r="D8" s="514" t="n"/>
      <c r="E8" s="515" t="inlineStr">
        <is>
          <t>7751-JP</t>
        </is>
      </c>
      <c r="F8" s="517">
        <f t="array" ref="F8">_xll.FDS($E8,"FG_PRICE(0)")</f>
        <v/>
      </c>
      <c r="G8" s="517">
        <f t="array" ref="G8">_xll.FDS($E8,"FREF_SHARES_COMPANY(0,,,,0,""LEGACY"")")</f>
        <v/>
      </c>
      <c r="H8" s="890">
        <f>IF(AND(ISNUMBER(F8),ISNUMBER(G8)),F8*G8,"NA")</f>
        <v/>
      </c>
      <c r="I8" s="517">
        <f t="array" ref="I8">_xll.FDS($E8,"FG_ENT_VALUE(0)")</f>
        <v/>
      </c>
      <c r="J8" s="527">
        <f t="array" ref="J8">_xll.FDSR(E8,"FF_DEBT(ANN_R,0)")</f>
        <v/>
      </c>
      <c r="K8" s="527">
        <f t="array" ref="K8">_xll.FDS(E8,"FF_CASH_ST(ANN_R,0)")</f>
        <v/>
      </c>
      <c r="L8" s="893">
        <f>IFERROR(_xlfn.AGGREGATE(12,6,I51:L51),$L$64)</f>
        <v/>
      </c>
      <c r="M8" s="889">
        <f>IF(ISNUMBER(I73),I73,"NA")</f>
        <v/>
      </c>
      <c r="N8" s="890">
        <f>IF(AND(ISNUMBER(M8),ISNUMBER(L8),ISNUMBER(J8),ISNUMBER(H8)),IF(H8&gt;0,M8/(1+(1-L8)*(J8/H8)),"NM"),"NA")</f>
        <v/>
      </c>
      <c r="O8" s="527">
        <f t="array" ref="O8">_xll.FDS($E8,"FF_EBITDA_OPER(LTM_R,0)")</f>
        <v/>
      </c>
      <c r="P8" s="527">
        <f t="array" ref="P8">_xll.FDS($E8,"FE_ESTIMATE(EBITDA,MEAN,NTM4_ROLL,,NOW,,,'')")</f>
        <v/>
      </c>
      <c r="Q8" s="527">
        <f t="array" ref="Q8">_xll.FDS(E8,"FF_EBIT_OPER(LTM_R,0)")</f>
        <v/>
      </c>
      <c r="R8" s="517">
        <f t="array" ref="R8">_xll.FDS(E8,"FE_ESTIMATE(EBIT,MEAN,NTM4_ROLL,,NOW,,,'')")</f>
        <v/>
      </c>
      <c r="S8" s="517">
        <f t="array" ref="S8">_xll.FDS(E8,"FF_SALES(LTM_R,0)")</f>
        <v/>
      </c>
      <c r="T8" s="517">
        <f t="array" ref="T8">_xll.FDS(E8,"FE_ESTIMATE(SALES,MEAN,NTM4_ROLL,,NOW,,,'')")</f>
        <v/>
      </c>
      <c r="U8" s="517">
        <f t="array" ref="U8">_xll.FDS(E8,"FF_FREE_CF(ANN_R_FCF,0)")</f>
        <v/>
      </c>
      <c r="V8" s="517">
        <f t="array" ref="V8">_xll.FDS(E8,"FE_ESTIMATE(FCF,MEAN,NTM4_ROLL,,NOW,,,'')")</f>
        <v/>
      </c>
      <c r="W8" s="867">
        <f>IF(AND(ISNUMBER($I8),ISNUMBER(O8)),IF(O8&gt;0,$I8/O8,"NM"),"NA")</f>
        <v/>
      </c>
      <c r="X8" s="867">
        <f>IF(AND(ISNUMBER($I8),ISNUMBER(P8)),IF(P8&gt;0,$I8/P8,"NM"),"NA")</f>
        <v/>
      </c>
      <c r="Y8" s="867">
        <f>IF(AND(ISNUMBER($I8),ISNUMBER(Q8)),IF(Q8&gt;0,$I8/Q8,"NM"),"NA")</f>
        <v/>
      </c>
      <c r="Z8" s="867">
        <f>IF(AND(ISNUMBER($I8),ISNUMBER(R8)),IF(R8&gt;0,$I8/R8,"NM"),"NA")</f>
        <v/>
      </c>
      <c r="AA8" s="867">
        <f>IF(AND(ISNUMBER($I8),ISNUMBER(S8)),IF(S8&gt;0,$I8/S8,"NM"),"NA")</f>
        <v/>
      </c>
      <c r="AB8" s="867">
        <f>IF(AND(ISNUMBER($I8),ISNUMBER(T8)),IF(T8&gt;0,$I8/T8,"NM"),"NA")</f>
        <v/>
      </c>
      <c r="AC8" s="867">
        <f>IF(AND(ISNUMBER($I8),ISNUMBER(U8)),IF(U8&gt;0,$I8/U8,"NM"),"NA")</f>
        <v/>
      </c>
      <c r="AD8" s="867">
        <f>IF(AND(ISNUMBER($I8),ISNUMBER(V8)),IF(V8&gt;0,$I8/V8,"NM"),"NA")</f>
        <v/>
      </c>
    </row>
    <row r="9" ht="15" customHeight="1">
      <c r="C9" s="513">
        <f t="array" ref="C9">_xll.FDS($E9,"FG_COMPANY_NAME")</f>
        <v/>
      </c>
      <c r="D9" s="514" t="n"/>
      <c r="E9" s="515" t="inlineStr">
        <is>
          <t>7752-JP</t>
        </is>
      </c>
      <c r="F9" s="517">
        <f t="array" ref="F9">_xll.FDS($E9,"FG_PRICE(0)")</f>
        <v/>
      </c>
      <c r="G9" s="517">
        <f t="array" ref="G9">_xll.FDS($E9,"FREF_SHARES_COMPANY(0,,,,0,""LEGACY"")")</f>
        <v/>
      </c>
      <c r="H9" s="890">
        <f>IF(AND(ISNUMBER(F9),ISNUMBER(G9)),F9*G9,"NA")</f>
        <v/>
      </c>
      <c r="I9" s="517">
        <f t="array" ref="I9">_xll.FDS($E9,"FG_ENT_VALUE(0)")</f>
        <v/>
      </c>
      <c r="J9" s="527">
        <f t="array" ref="J9">_xll.FDSR(E9,"FF_DEBT(ANN_R,0)")</f>
        <v/>
      </c>
      <c r="K9" s="527">
        <f t="array" ref="K9">_xll.FDS(E9,"FF_CASH_ST(ANN_R,0)")</f>
        <v/>
      </c>
      <c r="L9" s="893">
        <f>IFERROR(_xlfn.AGGREGATE(12,6,I52:L52),$L$64)</f>
        <v/>
      </c>
      <c r="M9" s="889">
        <f>IF(ISNUMBER(I74),I74,"NA")</f>
        <v/>
      </c>
      <c r="N9" s="890">
        <f>IF(AND(ISNUMBER(M9),ISNUMBER(L9),ISNUMBER(J9),ISNUMBER(H9)),IF(H9&gt;0,M9/(1+(1-L9)*(J9/H9)),"NM"),"NA")</f>
        <v/>
      </c>
      <c r="O9" s="527">
        <f t="array" ref="O9">_xll.FDS($E9,"FF_EBITDA_OPER(LTM_R,0)")</f>
        <v/>
      </c>
      <c r="P9" s="527">
        <f t="array" ref="P9">_xll.FDS($E9,"FE_ESTIMATE(EBITDA,MEAN,NTM4_ROLL,,NOW,,,'')")</f>
        <v/>
      </c>
      <c r="Q9" s="527">
        <f t="array" ref="Q9">_xll.FDS(E9,"FF_EBIT_OPER(LTM_R,0)")</f>
        <v/>
      </c>
      <c r="R9" s="517">
        <f t="array" ref="R9">_xll.FDS(E9,"FE_ESTIMATE(EBIT,MEAN,NTM4_ROLL,,NOW,,,'')")</f>
        <v/>
      </c>
      <c r="S9" s="517">
        <f t="array" ref="S9">_xll.FDS(E9,"FF_SALES(LTM_R,0)")</f>
        <v/>
      </c>
      <c r="T9" s="517">
        <f t="array" ref="T9">_xll.FDS(E9,"FE_ESTIMATE(SALES,MEAN,NTM4_ROLL,,NOW,,,'')")</f>
        <v/>
      </c>
      <c r="U9" s="517">
        <f t="array" ref="U9">_xll.FDS(E9,"FF_FREE_CF(ANN_R_FCF,0)")</f>
        <v/>
      </c>
      <c r="V9" s="517">
        <f t="array" ref="V9">_xll.FDS(E9,"FE_ESTIMATE(FCF,MEAN,NTM4_ROLL,,NOW,,,'')")</f>
        <v/>
      </c>
      <c r="W9" s="867">
        <f>IF(AND(ISNUMBER($I9),ISNUMBER(O9)),IF(O9&gt;0,$I9/O9,"NM"),"NA")</f>
        <v/>
      </c>
      <c r="X9" s="867">
        <f>IF(AND(ISNUMBER($I9),ISNUMBER(P9)),IF(P9&gt;0,$I9/P9,"NM"),"NA")</f>
        <v/>
      </c>
      <c r="Y9" s="867">
        <f>IF(AND(ISNUMBER($I9),ISNUMBER(Q9)),IF(Q9&gt;0,$I9/Q9,"NM"),"NA")</f>
        <v/>
      </c>
      <c r="Z9" s="867">
        <f>IF(AND(ISNUMBER($I9),ISNUMBER(R9)),IF(R9&gt;0,$I9/R9,"NM"),"NA")</f>
        <v/>
      </c>
      <c r="AA9" s="867">
        <f>IF(AND(ISNUMBER($I9),ISNUMBER(S9)),IF(S9&gt;0,$I9/S9,"NM"),"NA")</f>
        <v/>
      </c>
      <c r="AB9" s="867">
        <f>IF(AND(ISNUMBER($I9),ISNUMBER(T9)),IF(T9&gt;0,$I9/T9,"NM"),"NA")</f>
        <v/>
      </c>
      <c r="AC9" s="867">
        <f>IF(AND(ISNUMBER($I9),ISNUMBER(U9)),IF(U9&gt;0,$I9/U9,"NM"),"NA")</f>
        <v/>
      </c>
      <c r="AD9" s="867">
        <f>IF(AND(ISNUMBER($I9),ISNUMBER(V9)),IF(V9&gt;0,$I9/V9,"NM"),"NA")</f>
        <v/>
      </c>
    </row>
    <row r="10" ht="15" customHeight="1">
      <c r="C10" s="513">
        <f t="array" ref="C10">_xll.FDS($E10,"FG_COMPANY_NAME")</f>
        <v/>
      </c>
      <c r="D10" s="514" t="n"/>
      <c r="E10" s="515" t="inlineStr">
        <is>
          <t>4902-JP</t>
        </is>
      </c>
      <c r="F10" s="517">
        <f t="array" ref="F10">_xll.FDS($E10,"FG_PRICE(0)")</f>
        <v/>
      </c>
      <c r="G10" s="517">
        <f t="array" ref="G10">_xll.FDS($E10,"FREF_SHARES_COMPANY(0,,,,0,""LEGACY"")")</f>
        <v/>
      </c>
      <c r="H10" s="890">
        <f>IF(AND(ISNUMBER(F10),ISNUMBER(G10)),F10*G10,"NA")</f>
        <v/>
      </c>
      <c r="I10" s="517">
        <f t="array" ref="I10">_xll.FDS($E10,"FG_ENT_VALUE(0)")</f>
        <v/>
      </c>
      <c r="J10" s="527">
        <f t="array" ref="J10">_xll.FDSR(E10,"FF_DEBT(ANN_R,0)")</f>
        <v/>
      </c>
      <c r="K10" s="527">
        <f t="array" ref="K10">_xll.FDS(E10,"FF_CASH_ST(ANN_R,0)")</f>
        <v/>
      </c>
      <c r="L10" s="893">
        <f>IFERROR(_xlfn.AGGREGATE(12,6,I53:L53),$L$64)</f>
        <v/>
      </c>
      <c r="M10" s="889">
        <f>IF(ISNUMBER(I75),I75,"NA")</f>
        <v/>
      </c>
      <c r="N10" s="890">
        <f>IF(AND(ISNUMBER(M10),ISNUMBER(L10),ISNUMBER(J10),ISNUMBER(H10)),IF(H10&gt;0,M10/(1+(1-L10)*(J10/H10)),"NM"),"NA")</f>
        <v/>
      </c>
      <c r="O10" s="527">
        <f t="array" ref="O10">_xll.FDS($E10,"FF_EBITDA_OPER(LTM_R,0)")</f>
        <v/>
      </c>
      <c r="P10" s="527">
        <f t="array" ref="P10">_xll.FDS($E10,"FE_ESTIMATE(EBITDA,MEAN,NTM4_ROLL,,NOW,,,'')")</f>
        <v/>
      </c>
      <c r="Q10" s="527">
        <f t="array" ref="Q10">_xll.FDS(E10,"FF_EBIT_OPER(LTM_R,0)")</f>
        <v/>
      </c>
      <c r="R10" s="517">
        <f t="array" ref="R10">_xll.FDS(E10,"FE_ESTIMATE(EBIT,MEAN,NTM4_ROLL,,NOW,,,'')")</f>
        <v/>
      </c>
      <c r="S10" s="517">
        <f t="array" ref="S10">_xll.FDS(E10,"FF_SALES(LTM_R,0)")</f>
        <v/>
      </c>
      <c r="T10" s="517">
        <f t="array" ref="T10">_xll.FDS(E10,"FE_ESTIMATE(SALES,MEAN,NTM4_ROLL,,NOW,,,'')")</f>
        <v/>
      </c>
      <c r="U10" s="517">
        <f t="array" ref="U10">_xll.FDS(E10,"FF_FREE_CF(ANN_R_FCF,0)")</f>
        <v/>
      </c>
      <c r="V10" s="517">
        <f t="array" ref="V10">_xll.FDS(E10,"FE_ESTIMATE(FCF,MEAN,NTM4_ROLL,,NOW,,,'')")</f>
        <v/>
      </c>
      <c r="W10" s="867">
        <f>IF(AND(ISNUMBER($I10),ISNUMBER(O10)),IF(O10&gt;0,$I10/O10,"NM"),"NA")</f>
        <v/>
      </c>
      <c r="X10" s="867">
        <f>IF(AND(ISNUMBER($I10),ISNUMBER(P10)),IF(P10&gt;0,$I10/P10,"NM"),"NA")</f>
        <v/>
      </c>
      <c r="Y10" s="867">
        <f>IF(AND(ISNUMBER($I10),ISNUMBER(Q10)),IF(Q10&gt;0,$I10/Q10,"NM"),"NA")</f>
        <v/>
      </c>
      <c r="Z10" s="867">
        <f>IF(AND(ISNUMBER($I10),ISNUMBER(R10)),IF(R10&gt;0,$I10/R10,"NM"),"NA")</f>
        <v/>
      </c>
      <c r="AA10" s="867">
        <f>IF(AND(ISNUMBER($I10),ISNUMBER(S10)),IF(S10&gt;0,$I10/S10,"NM"),"NA")</f>
        <v/>
      </c>
      <c r="AB10" s="867">
        <f>IF(AND(ISNUMBER($I10),ISNUMBER(T10)),IF(T10&gt;0,$I10/T10,"NM"),"NA")</f>
        <v/>
      </c>
      <c r="AC10" s="867">
        <f>IF(AND(ISNUMBER($I10),ISNUMBER(U10)),IF(U10&gt;0,$I10/U10,"NM"),"NA")</f>
        <v/>
      </c>
      <c r="AD10" s="867">
        <f>IF(AND(ISNUMBER($I10),ISNUMBER(V10)),IF(V10&gt;0,$I10/V10,"NM"),"NA")</f>
        <v/>
      </c>
    </row>
    <row r="11" ht="15" customHeight="1">
      <c r="C11" s="513">
        <f t="array" ref="C11">_xll.FDS($E11,"FG_COMPANY_NAME")</f>
        <v/>
      </c>
      <c r="D11" s="514" t="n"/>
      <c r="E11" s="515" t="inlineStr">
        <is>
          <t>6588-JP</t>
        </is>
      </c>
      <c r="F11" s="517">
        <f t="array" ref="F11">_xll.FDS($E11,"FG_PRICE(0)")</f>
        <v/>
      </c>
      <c r="G11" s="517">
        <f t="array" ref="G11">_xll.FDS($E11,"FREF_SHARES_COMPANY(0,,,,0,""LEGACY"")")</f>
        <v/>
      </c>
      <c r="H11" s="890">
        <f>IF(AND(ISNUMBER(F11),ISNUMBER(G11)),F11*G11,"NA")</f>
        <v/>
      </c>
      <c r="I11" s="517">
        <f t="array" ref="I11">_xll.FDS($E11,"FG_ENT_VALUE(0)")</f>
        <v/>
      </c>
      <c r="J11" s="527">
        <f t="array" ref="J11">_xll.FDSR(E11,"FF_DEBT(ANN_R,0)")</f>
        <v/>
      </c>
      <c r="K11" s="527">
        <f t="array" ref="K11">_xll.FDS(E11,"FF_CASH_ST(ANN_R,0)")</f>
        <v/>
      </c>
      <c r="L11" s="893">
        <f>IFERROR(_xlfn.AGGREGATE(12,6,I54:L54),$L$64)</f>
        <v/>
      </c>
      <c r="M11" s="889">
        <f>IF(ISNUMBER(I76),I76,"NA")</f>
        <v/>
      </c>
      <c r="N11" s="890">
        <f>IF(AND(ISNUMBER(M11),ISNUMBER(L11),ISNUMBER(J11),ISNUMBER(H11)),IF(H11&gt;0,M11/(1+(1-L11)*(J11/H11)),"NM"),"NA")</f>
        <v/>
      </c>
      <c r="O11" s="527">
        <f t="array" ref="O11">_xll.FDS($E11,"FF_EBITDA_OPER(LTM_R,0)")</f>
        <v/>
      </c>
      <c r="P11" s="527">
        <f t="array" ref="P11">_xll.FDS($E11,"FE_ESTIMATE(EBITDA,MEAN,NTM4_ROLL,,NOW,,,'')")</f>
        <v/>
      </c>
      <c r="Q11" s="527">
        <f t="array" ref="Q11">_xll.FDS(E11,"FF_EBIT_OPER(LTM_R,0)")</f>
        <v/>
      </c>
      <c r="R11" s="517">
        <f t="array" ref="R11">_xll.FDS(E11,"FE_ESTIMATE(EBIT,MEAN,NTM4_ROLL,,NOW,,,'')")</f>
        <v/>
      </c>
      <c r="S11" s="517">
        <f t="array" ref="S11">_xll.FDS(E11,"FF_SALES(LTM_R,0)")</f>
        <v/>
      </c>
      <c r="T11" s="517">
        <f t="array" ref="T11">_xll.FDS(E11,"FE_ESTIMATE(SALES,MEAN,NTM4_ROLL,,NOW,,,'')")</f>
        <v/>
      </c>
      <c r="U11" s="517">
        <f t="array" ref="U11">_xll.FDS(E11,"FF_FREE_CF(ANN_R_FCF,0)")</f>
        <v/>
      </c>
      <c r="V11" s="517">
        <f t="array" ref="V11">_xll.FDS(E11,"FE_ESTIMATE(FCF,MEAN,NTM4_ROLL,,NOW,,,'')")</f>
        <v/>
      </c>
      <c r="W11" s="867">
        <f>IF(AND(ISNUMBER($I11),ISNUMBER(O11)),IF(O11&gt;0,$I11/O11,"NM"),"NA")</f>
        <v/>
      </c>
      <c r="X11" s="867">
        <f>IF(AND(ISNUMBER($I11),ISNUMBER(P11)),IF(P11&gt;0,$I11/P11,"NM"),"NA")</f>
        <v/>
      </c>
      <c r="Y11" s="867">
        <f>IF(AND(ISNUMBER($I11),ISNUMBER(Q11)),IF(Q11&gt;0,$I11/Q11,"NM"),"NA")</f>
        <v/>
      </c>
      <c r="Z11" s="867">
        <f>IF(AND(ISNUMBER($I11),ISNUMBER(R11)),IF(R11&gt;0,$I11/R11,"NM"),"NA")</f>
        <v/>
      </c>
      <c r="AA11" s="867">
        <f>IF(AND(ISNUMBER($I11),ISNUMBER(S11)),IF(S11&gt;0,$I11/S11,"NM"),"NA")</f>
        <v/>
      </c>
      <c r="AB11" s="867">
        <f>IF(AND(ISNUMBER($I11),ISNUMBER(T11)),IF(T11&gt;0,$I11/T11,"NM"),"NA")</f>
        <v/>
      </c>
      <c r="AC11" s="867">
        <f>IF(AND(ISNUMBER($I11),ISNUMBER(U11)),IF(U11&gt;0,$I11/U11,"NM"),"NA")</f>
        <v/>
      </c>
      <c r="AD11" s="867">
        <f>IF(AND(ISNUMBER($I11),ISNUMBER(V11)),IF(V11&gt;0,$I11/V11,"NM"),"NA")</f>
        <v/>
      </c>
    </row>
    <row r="12" ht="15" customHeight="1">
      <c r="C12" s="513">
        <f t="array" ref="C12">_xll.FDS($E12,"FG_COMPANY_NAME")</f>
        <v/>
      </c>
      <c r="D12" s="514" t="n"/>
      <c r="E12" s="515" t="inlineStr">
        <is>
          <t>6448-JP</t>
        </is>
      </c>
      <c r="F12" s="517">
        <f t="array" ref="F12">_xll.FDS($E12,"FG_PRICE(0)")</f>
        <v/>
      </c>
      <c r="G12" s="517">
        <f t="array" ref="G12">_xll.FDS($E12,"FREF_SHARES_COMPANY(0,,,,0,""LEGACY"")")</f>
        <v/>
      </c>
      <c r="H12" s="890">
        <f>IF(AND(ISNUMBER(F12),ISNUMBER(G12)),F12*G12,"NA")</f>
        <v/>
      </c>
      <c r="I12" s="517">
        <f t="array" ref="I12">_xll.FDS($E12,"FG_ENT_VALUE(0)")</f>
        <v/>
      </c>
      <c r="J12" s="527">
        <f t="array" ref="J12">_xll.FDSR(E12,"FF_DEBT(ANN_R,0)")</f>
        <v/>
      </c>
      <c r="K12" s="527">
        <f t="array" ref="K12">_xll.FDS(E12,"FF_CASH_ST(ANN_R,0)")</f>
        <v/>
      </c>
      <c r="L12" s="893">
        <f>IFERROR(_xlfn.AGGREGATE(12,6,I55:L55),$L$64)</f>
        <v/>
      </c>
      <c r="M12" s="889">
        <f>IF(ISNUMBER(I77),I77,"NA")</f>
        <v/>
      </c>
      <c r="N12" s="890">
        <f>IF(AND(ISNUMBER(M12),ISNUMBER(L12),ISNUMBER(J12),ISNUMBER(H12)),IF(H12&gt;0,M12/(1+(1-L12)*(J12/H12)),"NM"),"NA")</f>
        <v/>
      </c>
      <c r="O12" s="527">
        <f t="array" ref="O12">_xll.FDS($E12,"FF_EBITDA_OPER(LTM_R,0)")</f>
        <v/>
      </c>
      <c r="P12" s="527">
        <f t="array" ref="P12">_xll.FDS($E12,"FE_ESTIMATE(EBITDA,MEAN,NTM4_ROLL,,NOW,,,'')")</f>
        <v/>
      </c>
      <c r="Q12" s="527">
        <f t="array" ref="Q12">_xll.FDS(E12,"FF_EBIT_OPER(LTM_R,0)")</f>
        <v/>
      </c>
      <c r="R12" s="517">
        <f t="array" ref="R12">_xll.FDS(E12,"FE_ESTIMATE(EBIT,MEAN,NTM4_ROLL,,NOW,,,'')")</f>
        <v/>
      </c>
      <c r="S12" s="517">
        <f t="array" ref="S12">_xll.FDS(E12,"FF_SALES(LTM_R,0)")</f>
        <v/>
      </c>
      <c r="T12" s="517">
        <f t="array" ref="T12">_xll.FDS(E12,"FE_ESTIMATE(SALES,MEAN,NTM4_ROLL,,NOW,,,'')")</f>
        <v/>
      </c>
      <c r="U12" s="517">
        <f t="array" ref="U12">_xll.FDS(E12,"FF_FREE_CF(ANN_R_FCF,0)")</f>
        <v/>
      </c>
      <c r="V12" s="517">
        <f t="array" ref="V12">_xll.FDS(E12,"FE_ESTIMATE(FCF,MEAN,NTM4_ROLL,,NOW,,,'')")</f>
        <v/>
      </c>
      <c r="W12" s="867">
        <f>IF(AND(ISNUMBER($I12),ISNUMBER(O12)),IF(O12&gt;0,$I12/O12,"NM"),"NA")</f>
        <v/>
      </c>
      <c r="X12" s="867">
        <f>IF(AND(ISNUMBER($I12),ISNUMBER(P12)),IF(P12&gt;0,$I12/P12,"NM"),"NA")</f>
        <v/>
      </c>
      <c r="Y12" s="867">
        <f>IF(AND(ISNUMBER($I12),ISNUMBER(Q12)),IF(Q12&gt;0,$I12/Q12,"NM"),"NA")</f>
        <v/>
      </c>
      <c r="Z12" s="867">
        <f>IF(AND(ISNUMBER($I12),ISNUMBER(R12)),IF(R12&gt;0,$I12/R12,"NM"),"NA")</f>
        <v/>
      </c>
      <c r="AA12" s="867">
        <f>IF(AND(ISNUMBER($I12),ISNUMBER(S12)),IF(S12&gt;0,$I12/S12,"NM"),"NA")</f>
        <v/>
      </c>
      <c r="AB12" s="867">
        <f>IF(AND(ISNUMBER($I12),ISNUMBER(T12)),IF(T12&gt;0,$I12/T12,"NM"),"NA")</f>
        <v/>
      </c>
      <c r="AC12" s="867">
        <f>IF(AND(ISNUMBER($I12),ISNUMBER(U12)),IF(U12&gt;0,$I12/U12,"NM"),"NA")</f>
        <v/>
      </c>
      <c r="AD12" s="867">
        <f>IF(AND(ISNUMBER($I12),ISNUMBER(V12)),IF(V12&gt;0,$I12/V12,"NM"),"NA")</f>
        <v/>
      </c>
    </row>
    <row r="13" ht="15" customHeight="1">
      <c r="C13" s="513">
        <f t="array" ref="C13">_xll.FDS($E13,"FG_COMPANY_NAME")</f>
        <v/>
      </c>
      <c r="D13" s="514" t="n"/>
      <c r="E13" s="515" t="inlineStr">
        <is>
          <t>6724-JP</t>
        </is>
      </c>
      <c r="F13" s="517">
        <f t="array" ref="F13">_xll.FDS($E13,"FG_PRICE(0)")</f>
        <v/>
      </c>
      <c r="G13" s="517">
        <f t="array" ref="G13">_xll.FDS($E13,"FREF_SHARES_COMPANY(0,,,,0,""LEGACY"")")</f>
        <v/>
      </c>
      <c r="H13" s="890">
        <f>IF(AND(ISNUMBER(F13),ISNUMBER(G13)),F13*G13,"NA")</f>
        <v/>
      </c>
      <c r="I13" s="517">
        <f t="array" ref="I13">_xll.FDS($E13,"FG_ENT_VALUE(0)")</f>
        <v/>
      </c>
      <c r="J13" s="527">
        <f t="array" ref="J13">_xll.FDSR(E13,"FF_DEBT(ANN_R,0)")</f>
        <v/>
      </c>
      <c r="K13" s="527">
        <f t="array" ref="K13">_xll.FDS(E13,"FF_CASH_ST(ANN_R,0)")</f>
        <v/>
      </c>
      <c r="L13" s="893">
        <f>IFERROR(_xlfn.AGGREGATE(12,6,I56:L56),$L$64)</f>
        <v/>
      </c>
      <c r="M13" s="889">
        <f>IF(ISNUMBER(I78),I78,"NA")</f>
        <v/>
      </c>
      <c r="N13" s="890">
        <f>IF(AND(ISNUMBER(M13),ISNUMBER(L13),ISNUMBER(J13),ISNUMBER(H13)),IF(H13&gt;0,M13/(1+(1-L13)*(J13/H13)),"NM"),"NA")</f>
        <v/>
      </c>
      <c r="O13" s="527">
        <f t="array" ref="O13">_xll.FDS($E13,"FF_EBITDA_OPER(LTM_R,0)")</f>
        <v/>
      </c>
      <c r="P13" s="527">
        <f t="array" ref="P13">_xll.FDS($E13,"FE_ESTIMATE(EBITDA,MEAN,NTM4_ROLL,,NOW,,,'')")</f>
        <v/>
      </c>
      <c r="Q13" s="527">
        <f t="array" ref="Q13">_xll.FDS(E13,"FF_EBIT_OPER(LTM_R,0)")</f>
        <v/>
      </c>
      <c r="R13" s="517">
        <f t="array" ref="R13">_xll.FDS(E13,"FE_ESTIMATE(EBIT,MEAN,NTM4_ROLL,,NOW,,,'')")</f>
        <v/>
      </c>
      <c r="S13" s="517">
        <f t="array" ref="S13">_xll.FDS(E13,"FF_SALES(LTM_R,0)")</f>
        <v/>
      </c>
      <c r="T13" s="517">
        <f t="array" ref="T13">_xll.FDS(E13,"FE_ESTIMATE(SALES,MEAN,NTM4_ROLL,,NOW,,,'')")</f>
        <v/>
      </c>
      <c r="U13" s="517">
        <f t="array" ref="U13">_xll.FDS(E13,"FF_FREE_CF(ANN_R_FCF,0)")</f>
        <v/>
      </c>
      <c r="V13" s="517">
        <f t="array" ref="V13">_xll.FDS(E13,"FE_ESTIMATE(FCF,MEAN,NTM4_ROLL,,NOW,,,'')")</f>
        <v/>
      </c>
      <c r="W13" s="867">
        <f>IF(AND(ISNUMBER($I13),ISNUMBER(O13)),IF(O13&gt;0,$I13/O13,"NM"),"NA")</f>
        <v/>
      </c>
      <c r="X13" s="867">
        <f>IF(AND(ISNUMBER($I13),ISNUMBER(P13)),IF(P13&gt;0,$I13/P13,"NM"),"NA")</f>
        <v/>
      </c>
      <c r="Y13" s="867">
        <f>IF(AND(ISNUMBER($I13),ISNUMBER(Q13)),IF(Q13&gt;0,$I13/Q13,"NM"),"NA")</f>
        <v/>
      </c>
      <c r="Z13" s="867">
        <f>IF(AND(ISNUMBER($I13),ISNUMBER(R13)),IF(R13&gt;0,$I13/R13,"NM"),"NA")</f>
        <v/>
      </c>
      <c r="AA13" s="867">
        <f>IF(AND(ISNUMBER($I13),ISNUMBER(S13)),IF(S13&gt;0,$I13/S13,"NM"),"NA")</f>
        <v/>
      </c>
      <c r="AB13" s="867">
        <f>IF(AND(ISNUMBER($I13),ISNUMBER(T13)),IF(T13&gt;0,$I13/T13,"NM"),"NA")</f>
        <v/>
      </c>
      <c r="AC13" s="867">
        <f>IF(AND(ISNUMBER($I13),ISNUMBER(U13)),IF(U13&gt;0,$I13/U13,"NM"),"NA")</f>
        <v/>
      </c>
      <c r="AD13" s="867">
        <f>IF(AND(ISNUMBER($I13),ISNUMBER(V13)),IF(V13&gt;0,$I13/V13,"NM"),"NA")</f>
        <v/>
      </c>
    </row>
    <row r="14" ht="15" customHeight="1">
      <c r="C14" s="513">
        <f t="array" ref="C14">_xll.FDS($E14,"FG_COMPANY_NAME")</f>
        <v/>
      </c>
      <c r="D14" s="514" t="n"/>
      <c r="E14" s="515" t="inlineStr">
        <is>
          <t>PBI</t>
        </is>
      </c>
      <c r="F14" s="517">
        <f t="array" ref="F14">_xll.FDS($E14,"FG_PRICE(0)")</f>
        <v/>
      </c>
      <c r="G14" s="517">
        <f t="array" ref="G14">_xll.FDS($E14,"FREF_SHARES_COMPANY(0,,,,0,""LEGACY"")")</f>
        <v/>
      </c>
      <c r="H14" s="890">
        <f>IF(AND(ISNUMBER(F14),ISNUMBER(G14)),F14*G14,"NA")</f>
        <v/>
      </c>
      <c r="I14" s="517">
        <f t="array" ref="I14">_xll.FDS($E14,"FG_ENT_VALUE(0)")</f>
        <v/>
      </c>
      <c r="J14" s="527">
        <f t="array" ref="J14">_xll.FDSR(E14,"FF_DEBT(ANN_R,0)")</f>
        <v/>
      </c>
      <c r="K14" s="527">
        <f t="array" ref="K14">_xll.FDS(E14,"FF_CASH_ST(ANN_R,0)")</f>
        <v/>
      </c>
      <c r="L14" s="893">
        <f>IFERROR(_xlfn.AGGREGATE(12,6,I57:L57),$L$64)</f>
        <v/>
      </c>
      <c r="M14" s="889">
        <f>IF(ISNUMBER(I79),I79,"NA")</f>
        <v/>
      </c>
      <c r="N14" s="890">
        <f>IF(AND(ISNUMBER(M14),ISNUMBER(L14),ISNUMBER(J14),ISNUMBER(H14)),IF(H14&gt;0,M14/(1+(1-L14)*(J14/H14)),"NM"),"NA")</f>
        <v/>
      </c>
      <c r="O14" s="527">
        <f t="array" ref="O14">_xll.FDS($E14,"FF_EBITDA_OPER(LTM_R,0)")</f>
        <v/>
      </c>
      <c r="P14" s="527">
        <f t="array" ref="P14">_xll.FDS($E14,"FE_ESTIMATE(EBITDA,MEAN,NTM4_ROLL,,NOW,,,'')")</f>
        <v/>
      </c>
      <c r="Q14" s="527">
        <f t="array" ref="Q14">_xll.FDS(E14,"FF_EBIT_OPER(LTM_R,0)")</f>
        <v/>
      </c>
      <c r="R14" s="517">
        <f t="array" ref="R14">_xll.FDS(E14,"FE_ESTIMATE(EBIT,MEAN,NTM4_ROLL,,NOW,,,'')")</f>
        <v/>
      </c>
      <c r="S14" s="517">
        <f t="array" ref="S14">_xll.FDS(E14,"FF_SALES(LTM_R,0)")</f>
        <v/>
      </c>
      <c r="T14" s="517">
        <f t="array" ref="T14">_xll.FDS(E14,"FE_ESTIMATE(SALES,MEAN,NTM4_ROLL,,NOW,,,'')")</f>
        <v/>
      </c>
      <c r="U14" s="517">
        <f t="array" ref="U14">_xll.FDS(E14,"FF_FREE_CF(ANN_R_FCF,0)")</f>
        <v/>
      </c>
      <c r="V14" s="517">
        <f t="array" ref="V14">_xll.FDS(E14,"FE_ESTIMATE(FCF,MEAN,NTM4_ROLL,,NOW,,,'')")</f>
        <v/>
      </c>
      <c r="W14" s="867">
        <f>IF(AND(ISNUMBER($I14),ISNUMBER(O14)),IF(O14&gt;0,$I14/O14,"NM"),"NA")</f>
        <v/>
      </c>
      <c r="X14" s="867">
        <f>IF(AND(ISNUMBER($I14),ISNUMBER(P14)),IF(P14&gt;0,$I14/P14,"NM"),"NA")</f>
        <v/>
      </c>
      <c r="Y14" s="867">
        <f>IF(AND(ISNUMBER($I14),ISNUMBER(Q14)),IF(Q14&gt;0,$I14/Q14,"NM"),"NA")</f>
        <v/>
      </c>
      <c r="Z14" s="867">
        <f>IF(AND(ISNUMBER($I14),ISNUMBER(R14)),IF(R14&gt;0,$I14/R14,"NM"),"NA")</f>
        <v/>
      </c>
      <c r="AA14" s="867">
        <f>IF(AND(ISNUMBER($I14),ISNUMBER(S14)),IF(S14&gt;0,$I14/S14,"NM"),"NA")</f>
        <v/>
      </c>
      <c r="AB14" s="867">
        <f>IF(AND(ISNUMBER($I14),ISNUMBER(T14)),IF(T14&gt;0,$I14/T14,"NM"),"NA")</f>
        <v/>
      </c>
      <c r="AC14" s="867">
        <f>IF(AND(ISNUMBER($I14),ISNUMBER(U14)),IF(U14&gt;0,$I14/U14,"NM"),"NA")</f>
        <v/>
      </c>
      <c r="AD14" s="867">
        <f>IF(AND(ISNUMBER($I14),ISNUMBER(V14)),IF(V14&gt;0,$I14/V14,"NM"),"NA")</f>
        <v/>
      </c>
    </row>
    <row r="15" ht="15" customHeight="1">
      <c r="C15" s="513">
        <f t="array" ref="C15">_xll.FDS($E15,"FG_COMPANY_NAME")</f>
        <v/>
      </c>
      <c r="D15" s="514" t="n"/>
      <c r="E15" s="515" t="inlineStr">
        <is>
          <t>DBD</t>
        </is>
      </c>
      <c r="F15" s="517">
        <f t="array" ref="F15">_xll.FDS($E15,"FG_PRICE(0)")</f>
        <v/>
      </c>
      <c r="G15" s="517">
        <f t="array" ref="G15">_xll.FDS($E15,"FREF_SHARES_COMPANY(0,,,,0,""LEGACY"")")</f>
        <v/>
      </c>
      <c r="H15" s="890">
        <f>IF(AND(ISNUMBER(F15),ISNUMBER(G15)),F15*G15,"NA")</f>
        <v/>
      </c>
      <c r="I15" s="517">
        <f t="array" ref="I15">_xll.FDS($E15,"FG_ENT_VALUE(0)")</f>
        <v/>
      </c>
      <c r="J15" s="527">
        <f t="array" ref="J15">_xll.FDSR(E15,"FF_DEBT(ANN_R,0)")</f>
        <v/>
      </c>
      <c r="K15" s="527">
        <f t="array" ref="K15">_xll.FDS(E15,"FF_CASH_ST(ANN_R,0)")</f>
        <v/>
      </c>
      <c r="L15" s="893">
        <f>IFERROR(_xlfn.AGGREGATE(12,6,I58:L58),$L$64)</f>
        <v/>
      </c>
      <c r="M15" s="889">
        <f>IF(ISNUMBER(I80),I80,"NA")</f>
        <v/>
      </c>
      <c r="N15" s="890">
        <f>IF(AND(ISNUMBER(M15),ISNUMBER(L15),ISNUMBER(J15),ISNUMBER(H15)),IF(H15&gt;0,M15/(1+(1-L15)*(J15/H15)),"NM"),"NA")</f>
        <v/>
      </c>
      <c r="O15" s="527">
        <f t="array" ref="O15">_xll.FDS($E15,"FF_EBITDA_OPER(LTM_R,0)")</f>
        <v/>
      </c>
      <c r="P15" s="527">
        <f t="array" ref="P15">_xll.FDS($E15,"FE_ESTIMATE(EBITDA,MEAN,NTM4_ROLL,,NOW,,,'')")</f>
        <v/>
      </c>
      <c r="Q15" s="527">
        <f t="array" ref="Q15">_xll.FDS(E15,"FF_EBIT_OPER(LTM_R,0)")</f>
        <v/>
      </c>
      <c r="R15" s="517">
        <f t="array" ref="R15">_xll.FDS(E15,"FE_ESTIMATE(EBIT,MEAN,NTM4_ROLL,,NOW,,,'')")</f>
        <v/>
      </c>
      <c r="S15" s="517">
        <f t="array" ref="S15">_xll.FDS(E15,"FF_SALES(LTM_R,0)")</f>
        <v/>
      </c>
      <c r="T15" s="517">
        <f t="array" ref="T15">_xll.FDS(E15,"FE_ESTIMATE(SALES,MEAN,NTM4_ROLL,,NOW,,,'')")</f>
        <v/>
      </c>
      <c r="U15" s="517">
        <f t="array" ref="U15">_xll.FDS(E15,"FF_FREE_CF(ANN_R_FCF,0)")</f>
        <v/>
      </c>
      <c r="V15" s="517">
        <f t="array" ref="V15">_xll.FDS(E15,"FE_ESTIMATE(FCF,MEAN,NTM4_ROLL,,NOW,,,'')")</f>
        <v/>
      </c>
      <c r="W15" s="867">
        <f>IF(AND(ISNUMBER($I15),ISNUMBER(O15)),IF(O15&gt;0,$I15/O15,"NM"),"NA")</f>
        <v/>
      </c>
      <c r="X15" s="867">
        <f>IF(AND(ISNUMBER($I15),ISNUMBER(P15)),IF(P15&gt;0,$I15/P15,"NM"),"NA")</f>
        <v/>
      </c>
      <c r="Y15" s="867">
        <f>IF(AND(ISNUMBER($I15),ISNUMBER(Q15)),IF(Q15&gt;0,$I15/Q15,"NM"),"NA")</f>
        <v/>
      </c>
      <c r="Z15" s="867">
        <f>IF(AND(ISNUMBER($I15),ISNUMBER(R15)),IF(R15&gt;0,$I15/R15,"NM"),"NA")</f>
        <v/>
      </c>
      <c r="AA15" s="867">
        <f>IF(AND(ISNUMBER($I15),ISNUMBER(S15)),IF(S15&gt;0,$I15/S15,"NM"),"NA")</f>
        <v/>
      </c>
      <c r="AB15" s="867">
        <f>IF(AND(ISNUMBER($I15),ISNUMBER(T15)),IF(T15&gt;0,$I15/T15,"NM"),"NA")</f>
        <v/>
      </c>
      <c r="AC15" s="867">
        <f>IF(AND(ISNUMBER($I15),ISNUMBER(U15)),IF(U15&gt;0,$I15/U15,"NM"),"NA")</f>
        <v/>
      </c>
      <c r="AD15" s="867">
        <f>IF(AND(ISNUMBER($I15),ISNUMBER(V15)),IF(V15&gt;0,$I15/V15,"NM"),"NA")</f>
        <v/>
      </c>
    </row>
    <row r="16" ht="15" customHeight="1">
      <c r="C16" s="513">
        <f t="array" ref="C16">_xll.FDS($E16,"FG_COMPANY_NAME")</f>
        <v/>
      </c>
      <c r="D16" s="514" t="n"/>
      <c r="E16" s="515" t="inlineStr">
        <is>
          <t>KODK</t>
        </is>
      </c>
      <c r="F16" s="517">
        <f t="array" ref="F16">_xll.FDS($E16,"FG_PRICE(0)")</f>
        <v/>
      </c>
      <c r="G16" s="517">
        <f t="array" ref="G16">_xll.FDS($E16,"FREF_SHARES_COMPANY(0,,,,0,""LEGACY"")")</f>
        <v/>
      </c>
      <c r="H16" s="890">
        <f>IF(AND(ISNUMBER(F16),ISNUMBER(G16)),F16*G16,"NA")</f>
        <v/>
      </c>
      <c r="I16" s="517">
        <f t="array" ref="I16">_xll.FDS($E16,"FG_ENT_VALUE(0)")</f>
        <v/>
      </c>
      <c r="J16" s="527">
        <f t="array" ref="J16">_xll.FDSR(E16,"FF_DEBT(ANN_R,0)")</f>
        <v/>
      </c>
      <c r="K16" s="527">
        <f t="array" ref="K16">_xll.FDS(E16,"FF_CASH_ST(ANN_R,0)")</f>
        <v/>
      </c>
      <c r="L16" s="893">
        <f>IFERROR(_xlfn.AGGREGATE(12,6,I59:L59),$L$64)</f>
        <v/>
      </c>
      <c r="M16" s="889">
        <f>IF(ISNUMBER(I81),I81,"NA")</f>
        <v/>
      </c>
      <c r="N16" s="890">
        <f>IF(AND(ISNUMBER(M16),ISNUMBER(L16),ISNUMBER(J16),ISNUMBER(H16)),IF(H16&gt;0,M16/(1+(1-L16)*(J16/H16)),"NM"),"NA")</f>
        <v/>
      </c>
      <c r="O16" s="527">
        <f t="array" ref="O16">_xll.FDS($E16,"FF_EBITDA_OPER(LTM_R,0)")</f>
        <v/>
      </c>
      <c r="P16" s="527">
        <f t="array" ref="P16">_xll.FDS($E16,"FE_ESTIMATE(EBITDA,MEAN,NTM4_ROLL,,NOW,,,'')")</f>
        <v/>
      </c>
      <c r="Q16" s="527">
        <f t="array" ref="Q16">_xll.FDS(E16,"FF_EBIT_OPER(LTM_R,0)")</f>
        <v/>
      </c>
      <c r="R16" s="517">
        <f t="array" ref="R16">_xll.FDS(E16,"FE_ESTIMATE(EBIT,MEAN,NTM4_ROLL,,NOW,,,'')")</f>
        <v/>
      </c>
      <c r="S16" s="517">
        <f t="array" ref="S16">_xll.FDS(E16,"FF_SALES(LTM_R,0)")</f>
        <v/>
      </c>
      <c r="T16" s="517">
        <f t="array" ref="T16">_xll.FDS(E16,"FE_ESTIMATE(SALES,MEAN,NTM4_ROLL,,NOW,,,'')")</f>
        <v/>
      </c>
      <c r="U16" s="517">
        <f t="array" ref="U16">_xll.FDS(E16,"FF_FREE_CF(ANN_R_FCF,0)")</f>
        <v/>
      </c>
      <c r="V16" s="517">
        <f t="array" ref="V16">_xll.FDS(E16,"FE_ESTIMATE(FCF,MEAN,NTM4_ROLL,,NOW,,,'')")</f>
        <v/>
      </c>
      <c r="W16" s="867">
        <f>IF(AND(ISNUMBER($I16),ISNUMBER(O16)),IF(O16&gt;0,$I16/O16,"NM"),"NA")</f>
        <v/>
      </c>
      <c r="X16" s="867">
        <f>IF(AND(ISNUMBER($I16),ISNUMBER(P16)),IF(P16&gt;0,$I16/P16,"NM"),"NA")</f>
        <v/>
      </c>
      <c r="Y16" s="867">
        <f>IF(AND(ISNUMBER($I16),ISNUMBER(Q16)),IF(Q16&gt;0,$I16/Q16,"NM"),"NA")</f>
        <v/>
      </c>
      <c r="Z16" s="867">
        <f>IF(AND(ISNUMBER($I16),ISNUMBER(R16)),IF(R16&gt;0,$I16/R16,"NM"),"NA")</f>
        <v/>
      </c>
      <c r="AA16" s="867">
        <f>IF(AND(ISNUMBER($I16),ISNUMBER(S16)),IF(S16&gt;0,$I16/S16,"NM"),"NA")</f>
        <v/>
      </c>
      <c r="AB16" s="867">
        <f>IF(AND(ISNUMBER($I16),ISNUMBER(T16)),IF(T16&gt;0,$I16/T16,"NM"),"NA")</f>
        <v/>
      </c>
      <c r="AC16" s="867">
        <f>IF(AND(ISNUMBER($I16),ISNUMBER(U16)),IF(U16&gt;0,$I16/U16,"NM"),"NA")</f>
        <v/>
      </c>
      <c r="AD16" s="867">
        <f>IF(AND(ISNUMBER($I16),ISNUMBER(V16)),IF(V16&gt;0,$I16/V16,"NM"),"NA")</f>
        <v/>
      </c>
    </row>
    <row r="17" ht="15" customHeight="1">
      <c r="C17" s="513">
        <f t="array" ref="C17">_xll.FDS($E17,"FG_COMPANY_NAME")</f>
        <v/>
      </c>
      <c r="D17" s="514" t="n"/>
      <c r="E17" s="515" t="inlineStr">
        <is>
          <t>CNDT</t>
        </is>
      </c>
      <c r="F17" s="517">
        <f t="array" ref="F17">_xll.FDS($E17,"FG_PRICE(0)")</f>
        <v/>
      </c>
      <c r="G17" s="517">
        <f t="array" ref="G17">_xll.FDS($E17,"FREF_SHARES_COMPANY(0,,,,0,""LEGACY"")")</f>
        <v/>
      </c>
      <c r="H17" s="890">
        <f>IF(AND(ISNUMBER(F17),ISNUMBER(G17)),F17*G17,"NA")</f>
        <v/>
      </c>
      <c r="I17" s="517">
        <f t="array" ref="I17">_xll.FDS($E17,"FG_ENT_VALUE(0)")</f>
        <v/>
      </c>
      <c r="J17" s="527">
        <f t="array" ref="J17">_xll.FDSR(E17,"FF_DEBT(ANN_R,0)")</f>
        <v/>
      </c>
      <c r="K17" s="527">
        <f t="array" ref="K17">_xll.FDS(E17,"FF_CASH_ST(ANN_R,0)")</f>
        <v/>
      </c>
      <c r="L17" s="893">
        <f>IFERROR(_xlfn.AGGREGATE(12,6,I60:L60),$L$64)</f>
        <v/>
      </c>
      <c r="M17" s="889">
        <f>IF(ISNUMBER(I82),I82,"NA")</f>
        <v/>
      </c>
      <c r="N17" s="890">
        <f>IF(AND(ISNUMBER(M17),ISNUMBER(L17),ISNUMBER(J17),ISNUMBER(H17)),IF(H17&gt;0,M17/(1+(1-L17)*(J17/H17)),"NM"),"NA")</f>
        <v/>
      </c>
      <c r="O17" s="527">
        <f t="array" ref="O17">_xll.FDS($E17,"FF_EBITDA_OPER(LTM_R,0)")</f>
        <v/>
      </c>
      <c r="P17" s="527">
        <f t="array" ref="P17">_xll.FDS($E17,"FE_ESTIMATE(EBITDA,MEAN,NTM4_ROLL,,NOW,,,'')")</f>
        <v/>
      </c>
      <c r="Q17" s="527">
        <f t="array" ref="Q17">_xll.FDS(E17,"FF_EBIT_OPER(LTM_R,0)")</f>
        <v/>
      </c>
      <c r="R17" s="517">
        <f t="array" ref="R17">_xll.FDS(E17,"FE_ESTIMATE(EBIT,MEAN,NTM4_ROLL,,NOW,,,'')")</f>
        <v/>
      </c>
      <c r="S17" s="517">
        <f t="array" ref="S17">_xll.FDS(E17,"FF_SALES(LTM_R,0)")</f>
        <v/>
      </c>
      <c r="T17" s="517">
        <f t="array" ref="T17">_xll.FDS(E17,"FE_ESTIMATE(SALES,MEAN,NTM4_ROLL,,NOW,,,'')")</f>
        <v/>
      </c>
      <c r="U17" s="517">
        <f t="array" ref="U17">_xll.FDS(E17,"FF_FREE_CF(ANN_R_FCF,0)")</f>
        <v/>
      </c>
      <c r="V17" s="517">
        <f t="array" ref="V17">_xll.FDS(E17,"FE_ESTIMATE(FCF,MEAN,NTM4_ROLL,,NOW,,,'')")</f>
        <v/>
      </c>
      <c r="W17" s="867">
        <f>IF(AND(ISNUMBER($I17),ISNUMBER(O17)),IF(O17&gt;0,$I17/O17,"NM"),"NA")</f>
        <v/>
      </c>
      <c r="X17" s="867">
        <f>IF(AND(ISNUMBER($I17),ISNUMBER(P17)),IF(P17&gt;0,$I17/P17,"NM"),"NA")</f>
        <v/>
      </c>
      <c r="Y17" s="867">
        <f>IF(AND(ISNUMBER($I17),ISNUMBER(Q17)),IF(Q17&gt;0,$I17/Q17,"NM"),"NA")</f>
        <v/>
      </c>
      <c r="Z17" s="867">
        <f>IF(AND(ISNUMBER($I17),ISNUMBER(R17)),IF(R17&gt;0,$I17/R17,"NM"),"NA")</f>
        <v/>
      </c>
      <c r="AA17" s="867">
        <f>IF(AND(ISNUMBER($I17),ISNUMBER(S17)),IF(S17&gt;0,$I17/S17,"NM"),"NA")</f>
        <v/>
      </c>
      <c r="AB17" s="867">
        <f>IF(AND(ISNUMBER($I17),ISNUMBER(T17)),IF(T17&gt;0,$I17/T17,"NM"),"NA")</f>
        <v/>
      </c>
      <c r="AC17" s="867">
        <f>IF(AND(ISNUMBER($I17),ISNUMBER(U17)),IF(U17&gt;0,$I17/U17,"NM"),"NA")</f>
        <v/>
      </c>
      <c r="AD17" s="867">
        <f>IF(AND(ISNUMBER($I17),ISNUMBER(V17)),IF(V17&gt;0,$I17/V17,"NM"),"NA")</f>
        <v/>
      </c>
    </row>
    <row r="18" ht="15" customHeight="1">
      <c r="C18" s="529">
        <f t="array" ref="C18">_xll.FDS($E18,"FG_COMPANY_NAME")</f>
        <v/>
      </c>
      <c r="D18" s="530" t="n"/>
      <c r="E18" s="531" t="inlineStr">
        <is>
          <t>QDT-FR</t>
        </is>
      </c>
      <c r="F18" s="532">
        <f t="array" ref="F18">_xll.FDS($E18,"FG_PRICE(0)")</f>
        <v/>
      </c>
      <c r="G18" s="532">
        <f t="array" ref="G18">_xll.FDS($E18,"FREF_SHARES_COMPANY(0,,,,0,""LEGACY"")")</f>
        <v/>
      </c>
      <c r="H18" s="894">
        <f>IF(AND(ISNUMBER(F18),ISNUMBER(G18)),F18*G18,"NA")</f>
        <v/>
      </c>
      <c r="I18" s="532">
        <f t="array" ref="I18">_xll.FDS($E18,"FG_ENT_VALUE(0)")</f>
        <v/>
      </c>
      <c r="J18" s="534">
        <f t="array" ref="J18">_xll.FDSR(E18,"FF_DEBT(ANN_R,0)")</f>
        <v/>
      </c>
      <c r="K18" s="534">
        <f t="array" ref="K18">_xll.FDS(E18,"FF_CASH_ST(ANN_R,0)")</f>
        <v/>
      </c>
      <c r="L18" s="895">
        <f>IFERROR(_xlfn.AGGREGATE(12,6,I61:L61),$L$64)</f>
        <v/>
      </c>
      <c r="M18" s="896">
        <f>IF(ISNUMBER(I83),I83,"NA")</f>
        <v/>
      </c>
      <c r="N18" s="894">
        <f>IF(AND(ISNUMBER(M18),ISNUMBER(L18),ISNUMBER(J18),ISNUMBER(H18)),IF(H18&gt;0,M18/(1+(1-L18)*(J18/H18)),"NM"),"NA")</f>
        <v/>
      </c>
      <c r="O18" s="534">
        <f t="array" ref="O18">_xll.FDS($E18,"FF_EBITDA_OPER(LTM_R,0)")</f>
        <v/>
      </c>
      <c r="P18" s="534">
        <f t="array" ref="P18">_xll.FDS($E18,"FE_ESTIMATE(EBITDA,MEAN,NTM4_ROLL,,NOW,,,'')")</f>
        <v/>
      </c>
      <c r="Q18" s="534">
        <f t="array" ref="Q18">_xll.FDS(E18,"FF_EBIT_OPER(LTM_R,0)")</f>
        <v/>
      </c>
      <c r="R18" s="532">
        <f t="array" ref="R18">_xll.FDS(E18,"FE_ESTIMATE(EBIT,MEAN,NTM4_ROLL,,NOW,,,'')")</f>
        <v/>
      </c>
      <c r="S18" s="532">
        <f t="array" ref="S18">_xll.FDS(E18,"FF_SALES(LTM_R,0)")</f>
        <v/>
      </c>
      <c r="T18" s="532">
        <f t="array" ref="T18">_xll.FDS(E18,"FE_ESTIMATE(SALES,MEAN,NTM4_ROLL,,NOW,,,'')")</f>
        <v/>
      </c>
      <c r="U18" s="532">
        <f t="array" ref="U18">_xll.FDS(E18,"FF_FREE_CF(ANN_R_FCF,0)")</f>
        <v/>
      </c>
      <c r="V18" s="532">
        <f t="array" ref="V18">_xll.FDS(E18,"FE_ESTIMATE(FCF,MEAN,NTM4_ROLL,,NOW,,,'')")</f>
        <v/>
      </c>
      <c r="W18" s="868">
        <f>IF(AND(ISNUMBER($I18),ISNUMBER(O18)),IF(O18&gt;0,$I18/O18,"NM"),"NA")</f>
        <v/>
      </c>
      <c r="X18" s="868">
        <f>IF(AND(ISNUMBER($I18),ISNUMBER(P18)),IF(P18&gt;0,$I18/P18,"NM"),"NA")</f>
        <v/>
      </c>
      <c r="Y18" s="868">
        <f>IF(AND(ISNUMBER($I18),ISNUMBER(Q18)),IF(Q18&gt;0,$I18/Q18,"NM"),"NA")</f>
        <v/>
      </c>
      <c r="Z18" s="868">
        <f>IF(AND(ISNUMBER($I18),ISNUMBER(R18)),IF(R18&gt;0,$I18/R18,"NM"),"NA")</f>
        <v/>
      </c>
      <c r="AA18" s="868">
        <f>IF(AND(ISNUMBER($I18),ISNUMBER(S18)),IF(S18&gt;0,$I18/S18,"NM"),"NA")</f>
        <v/>
      </c>
      <c r="AB18" s="868">
        <f>IF(AND(ISNUMBER($I18),ISNUMBER(T18)),IF(T18&gt;0,$I18/T18,"NM"),"NA")</f>
        <v/>
      </c>
      <c r="AC18" s="868">
        <f>IF(AND(ISNUMBER($I18),ISNUMBER(U18)),IF(U18&gt;0,$I18/U18,"NM"),"NA")</f>
        <v/>
      </c>
      <c r="AD18" s="868">
        <f>IF(AND(ISNUMBER($I18),ISNUMBER(V18)),IF(V18&gt;0,$I18/V18,"NM"),"NA")</f>
        <v/>
      </c>
    </row>
    <row r="19" ht="15" customHeight="1">
      <c r="C19" s="538" t="n"/>
      <c r="D19" s="539" t="n"/>
      <c r="E19" s="540" t="n"/>
      <c r="F19" s="541" t="n"/>
      <c r="G19" s="542" t="n"/>
      <c r="H19" s="543" t="n"/>
      <c r="I19" s="544" t="n"/>
      <c r="J19" s="544" t="n"/>
      <c r="K19" s="544" t="n"/>
      <c r="L19" s="544" t="n"/>
      <c r="M19" s="545" t="n"/>
      <c r="N19" s="545" t="n"/>
      <c r="O19" s="544" t="n"/>
      <c r="P19" s="544" t="n"/>
      <c r="Q19" s="545" t="n"/>
      <c r="R19" s="545" t="n"/>
      <c r="S19" s="545" t="n"/>
      <c r="T19" s="545" t="n"/>
      <c r="U19" s="545" t="n"/>
      <c r="V19" s="545" t="n"/>
      <c r="Z19" s="545" t="n"/>
      <c r="AA19" s="545" t="n"/>
      <c r="AB19" s="545" t="n"/>
      <c r="AC19" s="545" t="n"/>
      <c r="AD19" s="545" t="n"/>
    </row>
    <row r="20" ht="15" customHeight="1">
      <c r="C20" s="546">
        <f t="array" ref="C20">_xll.FDS($E20,"FG_COMPANY_NAME")</f>
        <v/>
      </c>
      <c r="D20" s="547" t="n"/>
      <c r="E20" s="548" t="inlineStr">
        <is>
          <t>XRX</t>
        </is>
      </c>
      <c r="F20" s="897">
        <f t="array" ref="F20">_xll.FDS($E20,"FG_PRICE(0)")</f>
        <v/>
      </c>
      <c r="G20" s="550">
        <f t="array" ref="G20">_xll.FDS($E20,"FREF_SHARES_COMPANY(0,,,,0,""LEGACY"")")</f>
        <v/>
      </c>
      <c r="H20" s="898">
        <f>IF(AND(ISNUMBER(F20),ISNUMBER(G20)),F20*G20,"NA")</f>
        <v/>
      </c>
      <c r="I20" s="897">
        <f t="array" ref="I20">_xll.FDS($E20,"FG_ENT_VALUE(0)")</f>
        <v/>
      </c>
      <c r="J20" s="897">
        <f t="array" ref="J20">_xll.FDSR(E20,"FF_DEBT(ANN_R,0)")</f>
        <v/>
      </c>
      <c r="K20" s="897">
        <f t="array" ref="K20">_xll.FDS(E20,"FF_CASH_ST(ANN_R,0)")</f>
        <v/>
      </c>
      <c r="L20" s="899">
        <f>$L$66</f>
        <v/>
      </c>
      <c r="M20" s="900">
        <f>IF(ISNUMBER(I85),I85,"NA")</f>
        <v/>
      </c>
      <c r="N20" s="901" t="inlineStr">
        <is>
          <t>N/A</t>
        </is>
      </c>
      <c r="O20" s="897">
        <f t="array" ref="O20">_xll.FDS($E20,"FF_EBITDA_OPER(LTM_R,0)")</f>
        <v/>
      </c>
      <c r="P20" s="897">
        <f t="array" ref="P20">_xll.FDS($E20,"FE_ESTIMATE(EBITDA,MEAN,NTM4_ROLL,,NOW,,,'')")</f>
        <v/>
      </c>
      <c r="Q20" s="902">
        <f t="array" ref="Q20">_xll.FDS(E20,"FF_EBIT_OPER(LTM_R,0)")</f>
        <v/>
      </c>
      <c r="R20" s="897">
        <f t="array" ref="R20">_xll.FDS(E20,"FE_ESTIMATE(EBIT,MEAN,NTM4_ROLL,,NOW,,,'')")</f>
        <v/>
      </c>
      <c r="S20" s="897">
        <f t="array" ref="S20">_xll.FDS(E20,"FF_SALES(LTM_R,0)")</f>
        <v/>
      </c>
      <c r="T20" s="897">
        <f t="array" ref="T20">_xll.FDS(E20,"FE_ESTIMATE(SALES,MEAN,NTM4_ROLL,,NOW,,,'')")</f>
        <v/>
      </c>
      <c r="U20" s="897">
        <f t="array" ref="U20">_xll.FDS(E20,"FF_FREE_CF(ANN_R_FCF,0)")</f>
        <v/>
      </c>
      <c r="V20" s="897">
        <f t="array" ref="V20">_xll.FDS(E20,"FE_ESTIMATE(FCF,MEAN,NTM4_ROLL,,NOW,,,'')")</f>
        <v/>
      </c>
      <c r="W20" s="903">
        <f>IF(AND(ISNUMBER($I20),ISNUMBER(O20)),IF(O20&gt;0,$I20/O20,"NM"),"NA")</f>
        <v/>
      </c>
      <c r="X20" s="903">
        <f>IF(AND(ISNUMBER($I20),ISNUMBER(P20)),IF(P20&gt;0,$I20/P20,"NM"),"NA")</f>
        <v/>
      </c>
      <c r="Y20" s="903">
        <f>IF(AND(ISNUMBER($I20),ISNUMBER(Q20)),IF(Q20&gt;0,$I20/Q20,"NM"),"NA")</f>
        <v/>
      </c>
      <c r="Z20" s="903">
        <f>IF(AND(ISNUMBER($I20),ISNUMBER(R20)),IF(R20&gt;0,$I20/R20,"NM"),"NA")</f>
        <v/>
      </c>
      <c r="AA20" s="903">
        <f>IF(AND(ISNUMBER($I20),ISNUMBER(S20)),IF(S20&gt;0,$I20/S20,"NM"),"NA")</f>
        <v/>
      </c>
      <c r="AB20" s="903">
        <f>IF(AND(ISNUMBER($I20),ISNUMBER(T20)),IF(T20&gt;0,$I20/T20,"NM"),"NA")</f>
        <v/>
      </c>
      <c r="AC20" s="903">
        <f>IF(AND(ISNUMBER($I20),ISNUMBER(U20)),IF(U20&gt;0,$I20/U20,"NM"),"NA")</f>
        <v/>
      </c>
      <c r="AD20" s="903">
        <f>IF(AND(ISNUMBER($I20),ISNUMBER(V20)),IF(V20&gt;0,$I20/V20,"NM"),"NA")</f>
        <v/>
      </c>
    </row>
    <row r="21" ht="15" customHeight="1">
      <c r="C21" s="540" t="n"/>
      <c r="D21" s="540" t="n"/>
      <c r="E21" s="514" t="n"/>
      <c r="F21" s="514" t="n"/>
      <c r="G21" s="540" t="n"/>
      <c r="H21" s="540" t="n"/>
      <c r="I21" s="540" t="n"/>
      <c r="J21" s="540" t="n"/>
      <c r="K21" s="540" t="n"/>
      <c r="L21" s="557" t="n"/>
      <c r="M21" s="558" t="n"/>
      <c r="N21" s="514" t="n"/>
      <c r="O21" s="540" t="n"/>
      <c r="P21" s="540" t="n"/>
      <c r="Q21" s="540" t="n"/>
      <c r="R21" s="540" t="n"/>
      <c r="S21" s="540" t="n"/>
      <c r="T21" s="540" t="n"/>
      <c r="U21" s="540" t="n"/>
      <c r="V21" s="540" t="n"/>
      <c r="W21" s="540" t="n"/>
      <c r="X21" s="540" t="n"/>
      <c r="Y21" s="540" t="n"/>
      <c r="Z21" s="540" t="n"/>
      <c r="AA21" s="540" t="n"/>
      <c r="AB21" s="540" t="n"/>
      <c r="AC21" s="540" t="n"/>
      <c r="AD21" s="540" t="n"/>
    </row>
    <row r="22" ht="15" customHeight="1">
      <c r="C22" s="559" t="inlineStr">
        <is>
          <t>Min</t>
        </is>
      </c>
      <c r="D22" s="560" t="n"/>
      <c r="E22" s="561" t="n"/>
      <c r="F22" s="561" t="n"/>
      <c r="G22" s="561" t="n"/>
      <c r="H22" s="904">
        <f>IF(COUNT(H7:H18)=0,"NM",_xlfn.AGGREGATE(5,6,H7:H18))</f>
        <v/>
      </c>
      <c r="I22" s="904">
        <f>IF(COUNT(I7:I18)=0,"NM",_xlfn.AGGREGATE(5,6,I7:I18))</f>
        <v/>
      </c>
      <c r="J22" s="904">
        <f>IF(COUNT(J7:J18)=0,"NM",_xlfn.AGGREGATE(5,6,J7:J18))</f>
        <v/>
      </c>
      <c r="K22" s="904">
        <f>IF(COUNT(K7:K18)=0,"NM",_xlfn.AGGREGATE(5,6,K7:K18))</f>
        <v/>
      </c>
      <c r="L22" s="888">
        <f>IF(COUNT(L7:L18)=0,"NM",_xlfn.AGGREGATE(5,6,L7:L18))</f>
        <v/>
      </c>
      <c r="M22" s="905">
        <f>IF(COUNT(M7:M18)=0,"NM",_xlfn.AGGREGATE(5,6,M7:M18))</f>
        <v/>
      </c>
      <c r="N22" s="905">
        <f>IF(COUNT(N7:N18)=0,"NM",_xlfn.AGGREGATE(5,6,N7:N18))</f>
        <v/>
      </c>
      <c r="O22" s="904">
        <f>IF(COUNT(O7:O18)=0,"NM",_xlfn.AGGREGATE(5,6,O7:O18))</f>
        <v/>
      </c>
      <c r="P22" s="904">
        <f>IF(COUNT(P7:P18)=0,"NM",_xlfn.AGGREGATE(5,6,P7:P18))</f>
        <v/>
      </c>
      <c r="Q22" s="904">
        <f>IF(COUNT(Q7:Q18)=0,"NM",_xlfn.AGGREGATE(5,6,Q7:Q18))</f>
        <v/>
      </c>
      <c r="R22" s="904">
        <f>IF(COUNT(R7:R18)=0,"NM",_xlfn.AGGREGATE(5,6,R7:R18))</f>
        <v/>
      </c>
      <c r="S22" s="904">
        <f>IF(COUNT(S7:S18)=0,"NM",_xlfn.AGGREGATE(5,6,S7:S18))</f>
        <v/>
      </c>
      <c r="T22" s="904">
        <f>IF(COUNT(T7:T18)=0,"NM",_xlfn.AGGREGATE(5,6,T7:T18))</f>
        <v/>
      </c>
      <c r="U22" s="904">
        <f>IF(COUNT(U7:U18)=0,"NM",_xlfn.AGGREGATE(5,6,U7:U18))</f>
        <v/>
      </c>
      <c r="V22" s="904">
        <f>IF(COUNT(V7:V18)=0,"NM",_xlfn.AGGREGATE(5,6,V7:V18))</f>
        <v/>
      </c>
      <c r="W22" s="866">
        <f>IF(COUNT(W7:W18)=0,"NM",_xlfn.AGGREGATE(5,6,W7:W18))</f>
        <v/>
      </c>
      <c r="X22" s="866">
        <f>IF(COUNT(X7:X18)=0,"NM",_xlfn.AGGREGATE(5,6,X7:X18))</f>
        <v/>
      </c>
      <c r="Y22" s="866">
        <f>IF(COUNT(Y7:Y18)=0,"NM",_xlfn.AGGREGATE(5,6,Y7:Y18))</f>
        <v/>
      </c>
      <c r="Z22" s="866">
        <f>IF(COUNT(Z7:Z18)=0,"NM",_xlfn.AGGREGATE(5,6,Z7:Z18))</f>
        <v/>
      </c>
      <c r="AA22" s="866">
        <f>IF(COUNT(AA7:AA18)=0,"NM",_xlfn.AGGREGATE(5,6,AA7:AA18))</f>
        <v/>
      </c>
      <c r="AB22" s="866">
        <f>IF(COUNT(AB7:AB18)=0,"NM",_xlfn.AGGREGATE(5,6,AB7:AB18))</f>
        <v/>
      </c>
      <c r="AC22" s="866">
        <f>IF(COUNT(AC7:AC18)=0,"NM",_xlfn.AGGREGATE(5,6,AC7:AC18))</f>
        <v/>
      </c>
      <c r="AD22" s="866">
        <f>IF(COUNT(AD7:AD18)=0,"NM",_xlfn.AGGREGATE(5,6,AD7:AD18))</f>
        <v/>
      </c>
    </row>
    <row r="23" ht="14.5" customHeight="1">
      <c r="C23" s="538" t="inlineStr">
        <is>
          <t>Q1</t>
        </is>
      </c>
      <c r="D23" s="540" t="n"/>
      <c r="E23" s="514" t="n"/>
      <c r="F23" s="514" t="n"/>
      <c r="G23" s="514" t="n"/>
      <c r="H23" s="890">
        <f>IF(COUNT(H7:H18)=0,"NM",_xlfn.AGGREGATE(17,6,H7:H18,1))</f>
        <v/>
      </c>
      <c r="I23" s="890">
        <f>IF(COUNT(I7:I18)=0,"NM",_xlfn.AGGREGATE(17,6,I7:I18,1))</f>
        <v/>
      </c>
      <c r="J23" s="890">
        <f>IF(COUNT(J7:J18)=0,"NM",_xlfn.AGGREGATE(17,6,J7:J18,1))</f>
        <v/>
      </c>
      <c r="K23" s="890">
        <f>IF(COUNT(K7:K18)=0,"NM",_xlfn.AGGREGATE(17,6,K7:K18,1))</f>
        <v/>
      </c>
      <c r="L23" s="893">
        <f>IF(COUNT(L7:L18)=0,"NM",_xlfn.AGGREGATE(17,6,L7:L18,1))</f>
        <v/>
      </c>
      <c r="M23" s="890">
        <f>IF(COUNT(M7:M18)=0,"NM",_xlfn.AGGREGATE(17,6,M7:M18,1))</f>
        <v/>
      </c>
      <c r="N23" s="890">
        <f>IF(COUNT(N7:N18)=0,"NM",_xlfn.AGGREGATE(17,6,N7:N18,1))</f>
        <v/>
      </c>
      <c r="O23" s="890">
        <f>IF(COUNT(O7:O18)=0,"NM",_xlfn.AGGREGATE(17,6,O7:O18,1))</f>
        <v/>
      </c>
      <c r="P23" s="890">
        <f>IF(COUNT(P7:P18)=0,"NM",_xlfn.AGGREGATE(17,6,P7:P18,1))</f>
        <v/>
      </c>
      <c r="Q23" s="890">
        <f>IF(COUNT(Q7:Q18)=0,"NM",_xlfn.AGGREGATE(17,6,Q7:Q18,1))</f>
        <v/>
      </c>
      <c r="R23" s="890">
        <f>IF(COUNT(R7:R18)=0,"NM",_xlfn.AGGREGATE(17,6,R7:R18,1))</f>
        <v/>
      </c>
      <c r="S23" s="890">
        <f>IF(COUNT(S7:S18)=0,"NM",_xlfn.AGGREGATE(17,6,S7:S18,1))</f>
        <v/>
      </c>
      <c r="T23" s="890">
        <f>IF(COUNT(T7:T18)=0,"NM",_xlfn.AGGREGATE(17,6,T7:T18,1))</f>
        <v/>
      </c>
      <c r="U23" s="890">
        <f>IF(COUNT(U7:U18)=0,"NM",_xlfn.AGGREGATE(17,6,U7:U18,1))</f>
        <v/>
      </c>
      <c r="V23" s="890">
        <f>IF(COUNT(V7:V18)=0,"NM",_xlfn.AGGREGATE(17,6,V7:V18,1))</f>
        <v/>
      </c>
      <c r="W23" s="867">
        <f>IF(COUNT(W7:W18)=0,"NM",_xlfn.AGGREGATE(17,6,W7:W18,1))</f>
        <v/>
      </c>
      <c r="X23" s="867">
        <f>IF(COUNT(X7:X18)=0,"NM",_xlfn.AGGREGATE(17,6,X7:X18,1))</f>
        <v/>
      </c>
      <c r="Y23" s="867">
        <f>IF(COUNT(Y7:Y18)=0,"NM",_xlfn.AGGREGATE(17,6,Y7:Y18,1))</f>
        <v/>
      </c>
      <c r="Z23" s="867">
        <f>IF(COUNT(Z7:Z18)=0,"NM",_xlfn.AGGREGATE(17,6,Z7:Z18,1))</f>
        <v/>
      </c>
      <c r="AA23" s="867">
        <f>IF(COUNT(AA7:AA18)=0,"NM",_xlfn.AGGREGATE(17,6,AA7:AA18,1))</f>
        <v/>
      </c>
      <c r="AB23" s="867">
        <f>IF(COUNT(AB7:AB18)=0,"NM",_xlfn.AGGREGATE(17,6,AB7:AB18,1))</f>
        <v/>
      </c>
      <c r="AC23" s="867">
        <f>IF(COUNT(AC7:AC18)=0,"NM",_xlfn.AGGREGATE(17,6,AC7:AC18,1))</f>
        <v/>
      </c>
      <c r="AD23" s="867">
        <f>IF(COUNT(AD7:AD18)=0,"NM",_xlfn.AGGREGATE(17,6,AD7:AD18,1))</f>
        <v/>
      </c>
    </row>
    <row r="24" ht="15" customHeight="1">
      <c r="C24" s="538" t="inlineStr">
        <is>
          <t>Median</t>
        </is>
      </c>
      <c r="D24" s="540" t="n"/>
      <c r="E24" s="514" t="n"/>
      <c r="F24" s="514" t="n"/>
      <c r="G24" s="514" t="n"/>
      <c r="H24" s="890">
        <f>IF(COUNT(H7:H18)=0,"NM",_xlfn.AGGREGATE(12,6,H7:H18))</f>
        <v/>
      </c>
      <c r="I24" s="890">
        <f>IF(COUNT(I7:I18)=0,"NM",_xlfn.AGGREGATE(12,6,I7:I18))</f>
        <v/>
      </c>
      <c r="J24" s="890">
        <f>IF(COUNT(J7:J18)=0,"NM",_xlfn.AGGREGATE(12,6,J7:J18))</f>
        <v/>
      </c>
      <c r="K24" s="890">
        <f>IF(COUNT(K7:K18)=0,"NM",_xlfn.AGGREGATE(12,6,K7:K18))</f>
        <v/>
      </c>
      <c r="L24" s="893">
        <f>IF(COUNT(L7:L18)=0,"NM",_xlfn.AGGREGATE(12,6,L7:L18))</f>
        <v/>
      </c>
      <c r="M24" s="890">
        <f>IF(COUNT(M7:M18)=0,"NM",_xlfn.AGGREGATE(12,6,M7:M18))</f>
        <v/>
      </c>
      <c r="N24" s="890">
        <f>IF(COUNT(N7:N18)=0,"NM",_xlfn.AGGREGATE(12,6,N7:N18))</f>
        <v/>
      </c>
      <c r="O24" s="890">
        <f>IF(COUNT(O7:O18)=0,"NM",_xlfn.AGGREGATE(12,6,O7:O18))</f>
        <v/>
      </c>
      <c r="P24" s="890">
        <f>IF(COUNT(P7:P18)=0,"NM",_xlfn.AGGREGATE(12,6,P7:P18))</f>
        <v/>
      </c>
      <c r="Q24" s="890">
        <f>IF(COUNT(Q7:Q18)=0,"NM",_xlfn.AGGREGATE(12,6,Q7:Q18))</f>
        <v/>
      </c>
      <c r="R24" s="890">
        <f>IF(COUNT(R7:R18)=0,"NM",_xlfn.AGGREGATE(12,6,R7:R18))</f>
        <v/>
      </c>
      <c r="S24" s="890">
        <f>IF(COUNT(S7:S18)=0,"NM",_xlfn.AGGREGATE(12,6,S7:S18))</f>
        <v/>
      </c>
      <c r="T24" s="890">
        <f>IF(COUNT(T7:T18)=0,"NM",_xlfn.AGGREGATE(12,6,T7:T18))</f>
        <v/>
      </c>
      <c r="U24" s="890">
        <f>IF(COUNT(U7:U18)=0,"NM",_xlfn.AGGREGATE(12,6,U7:U18))</f>
        <v/>
      </c>
      <c r="V24" s="890">
        <f>IF(COUNT(V7:V18)=0,"NM",_xlfn.AGGREGATE(12,6,V7:V18))</f>
        <v/>
      </c>
      <c r="W24" s="867">
        <f>IF(COUNT(W7:W18)=0,"NM",_xlfn.AGGREGATE(12,6,W7:W18))</f>
        <v/>
      </c>
      <c r="X24" s="867">
        <f>IF(COUNT(X7:X18)=0,"NM",_xlfn.AGGREGATE(12,6,X7:X18))</f>
        <v/>
      </c>
      <c r="Y24" s="867">
        <f>IF(COUNT(Y7:Y18)=0,"NM",_xlfn.AGGREGATE(12,6,Y7:Y18))</f>
        <v/>
      </c>
      <c r="Z24" s="867">
        <f>IF(COUNT(Z7:Z18)=0,"NM",_xlfn.AGGREGATE(12,6,Z7:Z18))</f>
        <v/>
      </c>
      <c r="AA24" s="867">
        <f>IF(COUNT(AA7:AA18)=0,"NM",_xlfn.AGGREGATE(12,6,AA7:AA18))</f>
        <v/>
      </c>
      <c r="AB24" s="867">
        <f>IF(COUNT(AB7:AB18)=0,"NM",_xlfn.AGGREGATE(12,6,AB7:AB18))</f>
        <v/>
      </c>
      <c r="AC24" s="867">
        <f>IF(COUNT(AC7:AC18)=0,"NM",_xlfn.AGGREGATE(12,6,AC7:AC18))</f>
        <v/>
      </c>
      <c r="AD24" s="867">
        <f>IF(COUNT(AD7:AD18)=0,"NM",_xlfn.AGGREGATE(12,6,AD7:AD18))</f>
        <v/>
      </c>
    </row>
    <row r="25" ht="15" customHeight="1">
      <c r="C25" s="538" t="inlineStr">
        <is>
          <t>Mean</t>
        </is>
      </c>
      <c r="D25" s="540" t="n"/>
      <c r="E25" s="514" t="n"/>
      <c r="F25" s="514" t="n"/>
      <c r="G25" s="514" t="n"/>
      <c r="H25" s="890">
        <f>IF(COUNT(H7:H18)=0,"NM",_xlfn.AGGREGATE(1,6,H7:H18))</f>
        <v/>
      </c>
      <c r="I25" s="890">
        <f>IF(COUNT(I7:I18)=0,"NM",_xlfn.AGGREGATE(1,6,I7:I18))</f>
        <v/>
      </c>
      <c r="J25" s="890">
        <f>IF(COUNT(J7:J18)=0,"NM",_xlfn.AGGREGATE(1,6,J7:J18))</f>
        <v/>
      </c>
      <c r="K25" s="890">
        <f>IF(COUNT(K7:K18)=0,"NM",_xlfn.AGGREGATE(1,6,K7:K18))</f>
        <v/>
      </c>
      <c r="L25" s="893">
        <f>IF(COUNT(L7:L18)=0,"NM",_xlfn.AGGREGATE(1,6,L7:L18))</f>
        <v/>
      </c>
      <c r="M25" s="890">
        <f>IF(COUNT(M7:M18)=0,"NM",_xlfn.AGGREGATE(1,6,M7:M18))</f>
        <v/>
      </c>
      <c r="N25" s="890">
        <f>IF(COUNT(N7:N18)=0,"NM",_xlfn.AGGREGATE(1,6,N7:N18))</f>
        <v/>
      </c>
      <c r="O25" s="890">
        <f>IF(COUNT(O7:O18)=0,"NM",_xlfn.AGGREGATE(1,6,O7:O18))</f>
        <v/>
      </c>
      <c r="P25" s="890">
        <f>IF(COUNT(P7:P18)=0,"NM",_xlfn.AGGREGATE(1,6,P7:P18))</f>
        <v/>
      </c>
      <c r="Q25" s="890">
        <f>IF(COUNT(Q7:Q18)=0,"NM",_xlfn.AGGREGATE(1,6,Q7:Q18))</f>
        <v/>
      </c>
      <c r="R25" s="890">
        <f>IF(COUNT(R7:R18)=0,"NM",_xlfn.AGGREGATE(1,6,R7:R18))</f>
        <v/>
      </c>
      <c r="S25" s="890">
        <f>IF(COUNT(S7:S18)=0,"NM",_xlfn.AGGREGATE(1,6,S7:S18))</f>
        <v/>
      </c>
      <c r="T25" s="890">
        <f>IF(COUNT(T7:T18)=0,"NM",_xlfn.AGGREGATE(1,6,T7:T18))</f>
        <v/>
      </c>
      <c r="U25" s="890">
        <f>IF(COUNT(U7:U18)=0,"NM",_xlfn.AGGREGATE(1,6,U7:U18))</f>
        <v/>
      </c>
      <c r="V25" s="890">
        <f>IF(COUNT(V7:V18)=0,"NM",_xlfn.AGGREGATE(1,6,V7:V18))</f>
        <v/>
      </c>
      <c r="W25" s="867">
        <f>IF(COUNT(W7:W18)=0,"NM",_xlfn.AGGREGATE(1,6,W7:W18))</f>
        <v/>
      </c>
      <c r="X25" s="867">
        <f>IF(COUNT(X7:X18)=0,"NM",_xlfn.AGGREGATE(1,6,X7:X18))</f>
        <v/>
      </c>
      <c r="Y25" s="867">
        <f>IF(COUNT(Y7:Y18)=0,"NM",_xlfn.AGGREGATE(1,6,Y7:Y18))</f>
        <v/>
      </c>
      <c r="Z25" s="867">
        <f>IF(COUNT(Z7:Z18)=0,"NM",_xlfn.AGGREGATE(1,6,Z7:Z18))</f>
        <v/>
      </c>
      <c r="AA25" s="867">
        <f>IF(COUNT(AA7:AA18)=0,"NM",_xlfn.AGGREGATE(1,6,AA7:AA18))</f>
        <v/>
      </c>
      <c r="AB25" s="867">
        <f>IF(COUNT(AB7:AB18)=0,"NM",_xlfn.AGGREGATE(1,6,AB7:AB18))</f>
        <v/>
      </c>
      <c r="AC25" s="867">
        <f>IF(COUNT(AC7:AC18)=0,"NM",_xlfn.AGGREGATE(1,6,AC7:AC18))</f>
        <v/>
      </c>
      <c r="AD25" s="867">
        <f>IF(COUNT(AD7:AD18)=0,"NM",_xlfn.AGGREGATE(1,6,AD7:AD18))</f>
        <v/>
      </c>
    </row>
    <row r="26" ht="15" customHeight="1">
      <c r="C26" s="538" t="inlineStr">
        <is>
          <t>Q3</t>
        </is>
      </c>
      <c r="D26" s="540" t="n"/>
      <c r="E26" s="514" t="n"/>
      <c r="F26" s="514" t="n"/>
      <c r="G26" s="514" t="n"/>
      <c r="H26" s="906">
        <f>IF(COUNT(H7:H18)=0,"NM",_xlfn.AGGREGATE(17,6,H7:H18,3))</f>
        <v/>
      </c>
      <c r="I26" s="890">
        <f>IF(COUNT(I7:I18)=0,"NM",_xlfn.AGGREGATE(17,6,I7:I18,3))</f>
        <v/>
      </c>
      <c r="J26" s="890">
        <f>IF(COUNT(J7:J18)=0,"NM",_xlfn.AGGREGATE(17,6,J7:J18,3))</f>
        <v/>
      </c>
      <c r="K26" s="890">
        <f>IF(COUNT(K7:K18)=0,"NM",_xlfn.AGGREGATE(17,6,K7:K18,3))</f>
        <v/>
      </c>
      <c r="L26" s="893">
        <f>IF(COUNT(L7:L18)=0,"NM",_xlfn.AGGREGATE(17,6,L7:L18,3))</f>
        <v/>
      </c>
      <c r="M26" s="890">
        <f>IF(COUNT(M7:M18)=0,"NM",_xlfn.AGGREGATE(17,6,M7:M18,3))</f>
        <v/>
      </c>
      <c r="N26" s="890">
        <f>IF(COUNT(N7:N18)=0,"NM",_xlfn.AGGREGATE(17,6,N7:N18,3))</f>
        <v/>
      </c>
      <c r="O26" s="890">
        <f>IF(COUNT(O7:O18)=0,"NM",_xlfn.AGGREGATE(17,6,O7:O18,3))</f>
        <v/>
      </c>
      <c r="P26" s="890">
        <f>IF(COUNT(P7:P18)=0,"NM",_xlfn.AGGREGATE(17,6,P7:P18,3))</f>
        <v/>
      </c>
      <c r="Q26" s="890">
        <f>IF(COUNT(Q7:Q18)=0,"NM",_xlfn.AGGREGATE(17,6,Q7:Q18,3))</f>
        <v/>
      </c>
      <c r="R26" s="890">
        <f>IF(COUNT(R7:R18)=0,"NM",_xlfn.AGGREGATE(17,6,R7:R18,3))</f>
        <v/>
      </c>
      <c r="S26" s="890">
        <f>IF(COUNT(S7:S18)=0,"NM",_xlfn.AGGREGATE(17,6,S7:S18,3))</f>
        <v/>
      </c>
      <c r="T26" s="890">
        <f>IF(COUNT(T7:T18)=0,"NM",_xlfn.AGGREGATE(17,6,T7:T18,3))</f>
        <v/>
      </c>
      <c r="U26" s="890">
        <f>IF(COUNT(U7:U18)=0,"NM",_xlfn.AGGREGATE(17,6,U7:U18,3))</f>
        <v/>
      </c>
      <c r="V26" s="890">
        <f>IF(COUNT(V7:V18)=0,"NM",_xlfn.AGGREGATE(17,6,V7:V18,3))</f>
        <v/>
      </c>
      <c r="W26" s="867">
        <f>IF(COUNT(W7:W18)=0,"NM",_xlfn.AGGREGATE(17,6,W7:W18,3))</f>
        <v/>
      </c>
      <c r="X26" s="867">
        <f>IF(COUNT(X7:X18)=0,"NM",_xlfn.AGGREGATE(17,6,X7:X18,3))</f>
        <v/>
      </c>
      <c r="Y26" s="867">
        <f>IF(COUNT(Y7:Y18)=0,"NM",_xlfn.AGGREGATE(17,6,Y7:Y18,3))</f>
        <v/>
      </c>
      <c r="Z26" s="867">
        <f>IF(COUNT(Z7:Z18)=0,"NM",_xlfn.AGGREGATE(17,6,Z7:Z18,3))</f>
        <v/>
      </c>
      <c r="AA26" s="867">
        <f>IF(COUNT(AA7:AA18)=0,"NM",_xlfn.AGGREGATE(17,6,AA7:AA18,3))</f>
        <v/>
      </c>
      <c r="AB26" s="867">
        <f>IF(COUNT(AB7:AB18)=0,"NM",_xlfn.AGGREGATE(17,6,AB7:AB18,3))</f>
        <v/>
      </c>
      <c r="AC26" s="867">
        <f>IF(COUNT(AC7:AC18)=0,"NM",_xlfn.AGGREGATE(17,6,AC7:AC18,3))</f>
        <v/>
      </c>
      <c r="AD26" s="867">
        <f>IF(COUNT(AD7:AD18)=0,"NM",_xlfn.AGGREGATE(17,6,AD7:AD18,3))</f>
        <v/>
      </c>
    </row>
    <row r="27" ht="15" customHeight="1">
      <c r="C27" s="539" t="inlineStr">
        <is>
          <t>Max</t>
        </is>
      </c>
      <c r="D27" s="564" t="n"/>
      <c r="E27" s="530" t="n"/>
      <c r="F27" s="530" t="n"/>
      <c r="G27" s="530" t="n"/>
      <c r="H27" s="907">
        <f>IF(COUNT(H7:H18)=0,"NM",_xlfn.AGGREGATE(4,6,H7:H18))</f>
        <v/>
      </c>
      <c r="I27" s="907">
        <f>IF(COUNT(I7:I18)=0,"NM",_xlfn.AGGREGATE(4,6,I7:I18))</f>
        <v/>
      </c>
      <c r="J27" s="907">
        <f>IF(COUNT(J7:J18)=0,"NM",_xlfn.AGGREGATE(4,6,J7:J18))</f>
        <v/>
      </c>
      <c r="K27" s="907">
        <f>IF(COUNT(K7:K18)=0,"NM",_xlfn.AGGREGATE(4,6,K7:K18))</f>
        <v/>
      </c>
      <c r="L27" s="895">
        <f>IF(COUNT(L7:L18)=0,"NM",_xlfn.AGGREGATE(4,6,L7:L18))</f>
        <v/>
      </c>
      <c r="M27" s="894">
        <f>IF(COUNT(M7:M18)=0,"NM",_xlfn.AGGREGATE(4,6,M7:M18))</f>
        <v/>
      </c>
      <c r="N27" s="894">
        <f>IF(COUNT(N7:N18)=0,"NM",_xlfn.AGGREGATE(4,6,N7:N18))</f>
        <v/>
      </c>
      <c r="O27" s="907">
        <f>IF(COUNT(O7:O18)=0,"NM",_xlfn.AGGREGATE(4,6,O7:O18))</f>
        <v/>
      </c>
      <c r="P27" s="907">
        <f>IF(COUNT(P7:P18)=0,"NM",_xlfn.AGGREGATE(4,6,P7:P18))</f>
        <v/>
      </c>
      <c r="Q27" s="907">
        <f>IF(COUNT(Q7:Q18)=0,"NM",_xlfn.AGGREGATE(4,6,Q7:Q18))</f>
        <v/>
      </c>
      <c r="R27" s="907">
        <f>IF(COUNT(R7:R18)=0,"NM",_xlfn.AGGREGATE(4,6,R7:R18))</f>
        <v/>
      </c>
      <c r="S27" s="907">
        <f>IF(COUNT(S7:S18)=0,"NM",_xlfn.AGGREGATE(4,6,S7:S18))</f>
        <v/>
      </c>
      <c r="T27" s="907">
        <f>IF(COUNT(T7:T18)=0,"NM",_xlfn.AGGREGATE(4,6,T7:T18))</f>
        <v/>
      </c>
      <c r="U27" s="907">
        <f>IF(COUNT(U7:U18)=0,"NM",_xlfn.AGGREGATE(4,6,U7:U18))</f>
        <v/>
      </c>
      <c r="V27" s="907">
        <f>IF(COUNT(V7:V18)=0,"NM",_xlfn.AGGREGATE(4,6,V7:V18))</f>
        <v/>
      </c>
      <c r="W27" s="868">
        <f>IF(COUNT(W7:W18)=0,"NM",_xlfn.AGGREGATE(4,6,W7:W18))</f>
        <v/>
      </c>
      <c r="X27" s="868">
        <f>IF(COUNT(X7:X18)=0,"NM",_xlfn.AGGREGATE(4,6,X7:X18))</f>
        <v/>
      </c>
      <c r="Y27" s="868">
        <f>IF(COUNT(Y7:Y18)=0,"NM",_xlfn.AGGREGATE(4,6,Y7:Y18))</f>
        <v/>
      </c>
      <c r="Z27" s="868">
        <f>IF(COUNT(Z7:Z18)=0,"NM",_xlfn.AGGREGATE(4,6,Z7:Z18))</f>
        <v/>
      </c>
      <c r="AA27" s="868">
        <f>IF(COUNT(AA7:AA18)=0,"NM",_xlfn.AGGREGATE(4,6,AA7:AA18))</f>
        <v/>
      </c>
      <c r="AB27" s="868">
        <f>IF(COUNT(AB7:AB18)=0,"NM",_xlfn.AGGREGATE(4,6,AB7:AB18))</f>
        <v/>
      </c>
      <c r="AC27" s="868">
        <f>IF(COUNT(AC7:AC18)=0,"NM",_xlfn.AGGREGATE(4,6,AC7:AC18))</f>
        <v/>
      </c>
      <c r="AD27" s="868">
        <f>IF(COUNT(AD7:AD18)=0,"NM",_xlfn.AGGREGATE(4,6,AD7:AD18))</f>
        <v/>
      </c>
    </row>
    <row r="28" ht="15" customHeight="1">
      <c r="C28" s="540" t="n"/>
      <c r="D28" s="540" t="n"/>
      <c r="E28" s="514" t="n"/>
      <c r="F28" s="514" t="n"/>
      <c r="G28" s="514" t="n"/>
      <c r="H28" s="540" t="n"/>
      <c r="I28" s="540" t="n"/>
      <c r="J28" s="540" t="n"/>
      <c r="K28" s="540" t="n"/>
      <c r="L28" s="540" t="n"/>
      <c r="M28" s="540" t="n"/>
      <c r="P28" s="540" t="n"/>
      <c r="Q28" s="540" t="n"/>
      <c r="T28" s="540" t="n"/>
      <c r="U28" s="540" t="n"/>
      <c r="V28" s="540" t="n"/>
      <c r="W28" s="540" t="n"/>
      <c r="X28" s="540" t="n"/>
      <c r="Y28" s="540" t="n"/>
      <c r="Z28" s="540" t="n"/>
    </row>
    <row r="29" ht="14.5" customHeight="1">
      <c r="C29" s="559" t="inlineStr">
        <is>
          <t>Implied Multiple - Low</t>
        </is>
      </c>
      <c r="D29" s="561" t="n"/>
      <c r="E29" s="561" t="n"/>
      <c r="F29" s="561" t="n"/>
      <c r="G29" s="561" t="n"/>
      <c r="H29" s="560" t="n"/>
      <c r="I29" s="561" t="n"/>
      <c r="J29" s="561" t="n"/>
      <c r="K29" s="561" t="n"/>
      <c r="L29" s="561" t="n"/>
      <c r="M29" s="499" t="n"/>
      <c r="N29" s="499" t="n"/>
      <c r="O29" s="499" t="n"/>
      <c r="P29" s="565" t="n"/>
      <c r="Q29" s="565" t="n"/>
      <c r="R29" s="499" t="n"/>
      <c r="S29" s="499" t="n"/>
      <c r="T29" s="871" t="n"/>
      <c r="U29" s="871" t="n"/>
      <c r="V29" s="567" t="inlineStr">
        <is>
          <t>Q1</t>
        </is>
      </c>
      <c r="W29" s="866">
        <f>IFERROR(_xlfn.XLOOKUP($V$29,$C$22:$C$27,W22:W27),"NM")</f>
        <v/>
      </c>
      <c r="X29" s="866">
        <f>IFERROR(_xlfn.XLOOKUP($V$29,$C$22:$C$27,X22:X27),"NM")</f>
        <v/>
      </c>
      <c r="Y29" s="866">
        <f>IFERROR(_xlfn.XLOOKUP($V$29,$C$22:$C$27,Y22:Y27),"NM")</f>
        <v/>
      </c>
      <c r="Z29" s="866">
        <f>IFERROR(_xlfn.XLOOKUP($V$29,$C$22:$C$27,Z22:Z27),"NM")</f>
        <v/>
      </c>
      <c r="AA29" s="866">
        <f>IFERROR(_xlfn.XLOOKUP($V$29,$C$22:$C$27,AA22:AA27),"NM")</f>
        <v/>
      </c>
      <c r="AB29" s="866">
        <f>IFERROR(_xlfn.XLOOKUP($V$29,$C$22:$C$27,AB22:AB27),"NM")</f>
        <v/>
      </c>
      <c r="AC29" s="866">
        <f>IFERROR(_xlfn.XLOOKUP($V$29,$C$22:$C$27,AC22:AC27),"NM")</f>
        <v/>
      </c>
      <c r="AD29" s="866">
        <f>IFERROR(_xlfn.XLOOKUP($V$29,$C$22:$C$27,AD22:AD27),"NM")</f>
        <v/>
      </c>
    </row>
    <row r="30" ht="15" customHeight="1">
      <c r="C30" s="539" t="inlineStr">
        <is>
          <t>Implied Multiple - High</t>
        </is>
      </c>
      <c r="D30" s="498" t="n"/>
      <c r="E30" s="498" t="n"/>
      <c r="F30" s="498" t="n"/>
      <c r="G30" s="498" t="n"/>
      <c r="H30" s="498" t="n"/>
      <c r="I30" s="498" t="n"/>
      <c r="J30" s="498" t="n"/>
      <c r="K30" s="498" t="n"/>
      <c r="L30" s="498" t="n"/>
      <c r="M30" s="498" t="n"/>
      <c r="N30" s="498" t="n"/>
      <c r="O30" s="498" t="n"/>
      <c r="P30" s="568" t="n"/>
      <c r="Q30" s="568" t="n"/>
      <c r="R30" s="498" t="n"/>
      <c r="S30" s="498" t="n"/>
      <c r="T30" s="873" t="n"/>
      <c r="U30" s="873" t="n"/>
      <c r="V30" s="570" t="inlineStr">
        <is>
          <t>Median</t>
        </is>
      </c>
      <c r="W30" s="868">
        <f>IFERROR(_xlfn.XLOOKUP($V$30,$C$22:$C$27,W22:W27),"NM")</f>
        <v/>
      </c>
      <c r="X30" s="868">
        <f>IFERROR(_xlfn.XLOOKUP($V$30,$C$22:$C$27,X22:X27),"NM")</f>
        <v/>
      </c>
      <c r="Y30" s="868">
        <f>IFERROR(_xlfn.XLOOKUP($V$30,$C$22:$C$27,Y22:Y27),"NM")</f>
        <v/>
      </c>
      <c r="Z30" s="868">
        <f>IFERROR(_xlfn.XLOOKUP($V$30,$C$22:$C$27,Z22:Z27),"NM")</f>
        <v/>
      </c>
      <c r="AA30" s="868">
        <f>IFERROR(_xlfn.XLOOKUP($V$30,$C$22:$C$27,AA22:AA27),"NM")</f>
        <v/>
      </c>
      <c r="AB30" s="868">
        <f>IFERROR(_xlfn.XLOOKUP($V$30,$C$22:$C$27,AB22:AB27),"NM")</f>
        <v/>
      </c>
      <c r="AC30" s="868">
        <f>IFERROR(_xlfn.XLOOKUP($V$30,$C$22:$C$27,AC22:AC27),"NM")</f>
        <v/>
      </c>
      <c r="AD30" s="868">
        <f>IFERROR(_xlfn.XLOOKUP($V$30,$C$22:$C$27,AD22:AD27),"NM")</f>
        <v/>
      </c>
    </row>
    <row r="31"/>
    <row r="32" ht="15" customHeight="1">
      <c r="C32" s="497" t="inlineStr">
        <is>
          <t>Enterprise Value - Low</t>
        </is>
      </c>
      <c r="D32" s="499" t="n"/>
      <c r="E32" s="499" t="n"/>
      <c r="F32" s="499" t="n"/>
      <c r="G32" s="499" t="n"/>
      <c r="H32" s="499" t="n"/>
      <c r="I32" s="499" t="n"/>
      <c r="J32" s="499" t="n"/>
      <c r="K32" s="499" t="n"/>
      <c r="L32" s="499" t="n"/>
      <c r="M32" s="499" t="n"/>
      <c r="N32" s="499" t="n"/>
      <c r="O32" s="499" t="n"/>
      <c r="P32" s="565" t="n"/>
      <c r="Q32" s="565" t="n"/>
      <c r="R32" s="499" t="n"/>
      <c r="S32" s="499" t="n"/>
      <c r="T32" s="908" t="n"/>
      <c r="U32" s="908" t="n"/>
      <c r="V32" s="908" t="n"/>
      <c r="W32" s="909">
        <f>IFERROR(W29*O$20,"NM")</f>
        <v/>
      </c>
      <c r="X32" s="909">
        <f>IFERROR(X29*P$20,"NM")</f>
        <v/>
      </c>
      <c r="Y32" s="909">
        <f>IFERROR(Y29*Q$20,"NM")</f>
        <v/>
      </c>
      <c r="Z32" s="909">
        <f>IFERROR(Z29*R$20,"NM")</f>
        <v/>
      </c>
      <c r="AA32" s="909">
        <f>IFERROR(AA29*S$20,"NM")</f>
        <v/>
      </c>
      <c r="AB32" s="909">
        <f>IFERROR(AB29*T$20,"NM")</f>
        <v/>
      </c>
      <c r="AC32" s="909">
        <f>IFERROR(AC29*U$20,"NM")</f>
        <v/>
      </c>
      <c r="AD32" s="909">
        <f>IFERROR(AD29*V$20,"NM")</f>
        <v/>
      </c>
    </row>
    <row r="33" ht="15" customHeight="1">
      <c r="C33" s="501" t="inlineStr">
        <is>
          <t>Enterprise Value - High</t>
        </is>
      </c>
      <c r="D33" s="498" t="n"/>
      <c r="E33" s="498" t="n"/>
      <c r="F33" s="498" t="n"/>
      <c r="G33" s="498" t="n"/>
      <c r="H33" s="498" t="n"/>
      <c r="I33" s="498" t="n"/>
      <c r="J33" s="498" t="n"/>
      <c r="K33" s="498" t="n"/>
      <c r="L33" s="498" t="n"/>
      <c r="M33" s="498" t="n"/>
      <c r="N33" s="498" t="n"/>
      <c r="O33" s="498" t="n"/>
      <c r="P33" s="568" t="n"/>
      <c r="Q33" s="568" t="n"/>
      <c r="R33" s="498" t="n"/>
      <c r="S33" s="498" t="n"/>
      <c r="T33" s="910" t="n"/>
      <c r="U33" s="910" t="n"/>
      <c r="V33" s="910" t="n"/>
      <c r="W33" s="911">
        <f>IFERROR(W30*O$20,"NM")</f>
        <v/>
      </c>
      <c r="X33" s="911">
        <f>IFERROR(X30*P$20,"NM")</f>
        <v/>
      </c>
      <c r="Y33" s="911">
        <f>IFERROR(Y30*Q$20,"NM")</f>
        <v/>
      </c>
      <c r="Z33" s="911">
        <f>IFERROR(Z30*R$20,"NM")</f>
        <v/>
      </c>
      <c r="AA33" s="911">
        <f>IFERROR(AA30*S$20,"NM")</f>
        <v/>
      </c>
      <c r="AB33" s="911">
        <f>IFERROR(AB30*T$20,"NM")</f>
        <v/>
      </c>
      <c r="AC33" s="911">
        <f>IFERROR(AC30*U$20,"NM")</f>
        <v/>
      </c>
      <c r="AD33" s="911">
        <f>IFERROR(AD30*V$20,"NM")</f>
        <v/>
      </c>
    </row>
    <row r="34" ht="15" customHeight="1">
      <c r="V34" s="495" t="n"/>
    </row>
    <row r="35" ht="14.5" customHeight="1">
      <c r="C35" s="497" t="inlineStr">
        <is>
          <t>Equity Value - Low</t>
        </is>
      </c>
      <c r="D35" s="499" t="n"/>
      <c r="E35" s="499" t="n"/>
      <c r="F35" s="499" t="n"/>
      <c r="G35" s="499" t="n"/>
      <c r="H35" s="499" t="n"/>
      <c r="I35" s="499" t="n"/>
      <c r="J35" s="499" t="n"/>
      <c r="K35" s="499" t="n"/>
      <c r="L35" s="499" t="n"/>
      <c r="M35" s="499" t="n"/>
      <c r="N35" s="499" t="n"/>
      <c r="O35" s="499" t="n"/>
      <c r="P35" s="565" t="n"/>
      <c r="Q35" s="565" t="n"/>
      <c r="R35" s="499" t="n"/>
      <c r="S35" s="499" t="n"/>
      <c r="T35" s="908" t="n"/>
      <c r="U35" s="908" t="n"/>
      <c r="V35" s="908" t="n"/>
      <c r="W35" s="909">
        <f>IFERROR(W32-$J$20+$K$20,"NM")</f>
        <v/>
      </c>
      <c r="X35" s="909">
        <f>IFERROR(X32-$J$20+$K$20,"NM")</f>
        <v/>
      </c>
      <c r="Y35" s="909">
        <f>IFERROR(Y32-$J$20+$K$20,"NM")</f>
        <v/>
      </c>
      <c r="Z35" s="909">
        <f>IFERROR(Z32-$J$20+$K$20,"NM")</f>
        <v/>
      </c>
      <c r="AA35" s="909">
        <f>IFERROR(AA32-$J$20+$K$20,"NM")</f>
        <v/>
      </c>
      <c r="AB35" s="909">
        <f>IFERROR(AB32-$J$20+$K$20,"NM")</f>
        <v/>
      </c>
      <c r="AC35" s="909">
        <f>IFERROR(AC32-$J$20+$K$20,"NM")</f>
        <v/>
      </c>
      <c r="AD35" s="909">
        <f>IFERROR(AD32-$J$20+$K$20,"NM")</f>
        <v/>
      </c>
    </row>
    <row r="36" ht="14.5" customHeight="1">
      <c r="C36" s="501" t="inlineStr">
        <is>
          <t>Equity Value - High</t>
        </is>
      </c>
      <c r="D36" s="498" t="n"/>
      <c r="E36" s="498" t="n"/>
      <c r="F36" s="498" t="n"/>
      <c r="G36" s="498" t="n"/>
      <c r="H36" s="498" t="n"/>
      <c r="I36" s="498" t="n"/>
      <c r="J36" s="498" t="n"/>
      <c r="K36" s="498" t="n"/>
      <c r="L36" s="498" t="n"/>
      <c r="M36" s="498" t="n"/>
      <c r="N36" s="498" t="n"/>
      <c r="O36" s="498" t="n"/>
      <c r="P36" s="568" t="n"/>
      <c r="Q36" s="568" t="n"/>
      <c r="R36" s="498" t="n"/>
      <c r="S36" s="498" t="n"/>
      <c r="T36" s="910" t="n"/>
      <c r="U36" s="910" t="n"/>
      <c r="V36" s="910" t="n"/>
      <c r="W36" s="911">
        <f>IFERROR(W33-$J$20+$K$20,"NM")</f>
        <v/>
      </c>
      <c r="X36" s="911">
        <f>IFERROR(X33-$J$20+$K$20,"NM")</f>
        <v/>
      </c>
      <c r="Y36" s="911">
        <f>IFERROR(Y33-$J$20+$K$20,"NM")</f>
        <v/>
      </c>
      <c r="Z36" s="911">
        <f>IFERROR(Z33-$J$20+$K$20,"NM")</f>
        <v/>
      </c>
      <c r="AA36" s="911">
        <f>IFERROR(AA33-$J$20+$K$20,"NM")</f>
        <v/>
      </c>
      <c r="AB36" s="911">
        <f>IFERROR(AB33-$J$20+$K$20,"NM")</f>
        <v/>
      </c>
      <c r="AC36" s="911">
        <f>IFERROR(AC33-$J$20+$K$20,"NM")</f>
        <v/>
      </c>
      <c r="AD36" s="911">
        <f>IFERROR(AD33-$J$20+$K$20,"NM")</f>
        <v/>
      </c>
    </row>
    <row r="37"/>
    <row r="38" ht="15" customHeight="1">
      <c r="C38" s="497" t="inlineStr">
        <is>
          <t>Implied Price per Share - Low</t>
        </is>
      </c>
      <c r="D38" s="499" t="n"/>
      <c r="E38" s="499" t="n"/>
      <c r="F38" s="499" t="n"/>
      <c r="G38" s="499" t="n"/>
      <c r="H38" s="499" t="n"/>
      <c r="I38" s="499" t="n"/>
      <c r="J38" s="499" t="n"/>
      <c r="K38" s="499" t="n"/>
      <c r="L38" s="497" t="n"/>
      <c r="M38" s="499" t="n"/>
      <c r="N38" s="499" t="n"/>
      <c r="O38" s="499" t="n"/>
      <c r="P38" s="565" t="n"/>
      <c r="Q38" s="565" t="n"/>
      <c r="R38" s="499" t="n"/>
      <c r="S38" s="499" t="n"/>
      <c r="T38" s="908" t="n"/>
      <c r="U38" s="908" t="n"/>
      <c r="V38" s="908" t="n"/>
      <c r="W38" s="909">
        <f>IFERROR(W35/$G$20,"NM")</f>
        <v/>
      </c>
      <c r="X38" s="909">
        <f>IFERROR(X35/$G$20,"NM")</f>
        <v/>
      </c>
      <c r="Y38" s="909">
        <f>IFERROR(Y35/$G$20,"NM")</f>
        <v/>
      </c>
      <c r="Z38" s="909">
        <f>IFERROR(Z35/$G$20,"NM")</f>
        <v/>
      </c>
      <c r="AA38" s="909">
        <f>IFERROR(AA35/$G$20,"NM")</f>
        <v/>
      </c>
      <c r="AB38" s="909">
        <f>IFERROR(AB35/$G$20,"NM")</f>
        <v/>
      </c>
      <c r="AC38" s="909">
        <f>IFERROR(AC35/$G$20,"NM")</f>
        <v/>
      </c>
      <c r="AD38" s="909">
        <f>IFERROR(AD35/$G$20,"NM")</f>
        <v/>
      </c>
    </row>
    <row r="39" ht="15" customHeight="1">
      <c r="B39" s="450" t="n"/>
      <c r="C39" s="501" t="inlineStr">
        <is>
          <t>Implied Price per Share - High</t>
        </is>
      </c>
      <c r="D39" s="498" t="n"/>
      <c r="E39" s="498" t="n"/>
      <c r="F39" s="498" t="n"/>
      <c r="G39" s="498" t="n"/>
      <c r="H39" s="498" t="n"/>
      <c r="I39" s="498" t="n"/>
      <c r="J39" s="498" t="n"/>
      <c r="K39" s="498" t="n"/>
      <c r="L39" s="498" t="n"/>
      <c r="M39" s="498" t="n"/>
      <c r="N39" s="498" t="n"/>
      <c r="O39" s="498" t="n"/>
      <c r="P39" s="568" t="n"/>
      <c r="Q39" s="568" t="n"/>
      <c r="R39" s="498" t="n"/>
      <c r="S39" s="498" t="n"/>
      <c r="T39" s="910" t="n"/>
      <c r="U39" s="910" t="n"/>
      <c r="V39" s="910" t="n"/>
      <c r="W39" s="911">
        <f>IFERROR(W36/$G$20,"NM")</f>
        <v/>
      </c>
      <c r="X39" s="911">
        <f>IFERROR(X36/$G$20,"NM")</f>
        <v/>
      </c>
      <c r="Y39" s="911">
        <f>IFERROR(Y36/$G$20,"NM")</f>
        <v/>
      </c>
      <c r="Z39" s="911">
        <f>IFERROR(Z36/$G$20,"NM")</f>
        <v/>
      </c>
      <c r="AA39" s="911">
        <f>IFERROR(AA36/$G$20,"NM")</f>
        <v/>
      </c>
      <c r="AB39" s="911">
        <f>IFERROR(AB36/$G$20,"NM")</f>
        <v/>
      </c>
      <c r="AC39" s="911">
        <f>IFERROR(AC36/$G$20,"NM")</f>
        <v/>
      </c>
      <c r="AD39" s="911">
        <f>IFERROR(AD36/$G$20,"NM")</f>
        <v/>
      </c>
    </row>
    <row r="40" ht="15" customHeight="1">
      <c r="B40" s="450" t="n"/>
      <c r="C40" s="450" t="n"/>
      <c r="P40" s="450" t="n"/>
      <c r="Q40" s="450" t="n"/>
      <c r="T40" s="450" t="n"/>
      <c r="U40" s="450" t="n"/>
      <c r="V40" s="450" t="n"/>
      <c r="W40" s="450" t="n"/>
      <c r="X40" s="450" t="n"/>
      <c r="Y40" s="450" t="n"/>
      <c r="Z40" s="450" t="n"/>
    </row>
    <row r="41" ht="15" customHeight="1">
      <c r="B41" s="450" t="n"/>
      <c r="C41" s="497" t="inlineStr">
        <is>
          <t>Implied Upside (Downside) - Low</t>
        </is>
      </c>
      <c r="D41" s="499" t="n"/>
      <c r="E41" s="499" t="n"/>
      <c r="F41" s="499" t="n"/>
      <c r="G41" s="499" t="n"/>
      <c r="H41" s="499" t="n"/>
      <c r="I41" s="499" t="n"/>
      <c r="J41" s="499" t="n"/>
      <c r="K41" s="499" t="n"/>
      <c r="L41" s="499" t="n"/>
      <c r="M41" s="499" t="n"/>
      <c r="N41" s="499" t="n"/>
      <c r="O41" s="499" t="n"/>
      <c r="P41" s="565" t="n"/>
      <c r="Q41" s="565" t="n"/>
      <c r="R41" s="499" t="n"/>
      <c r="S41" s="499" t="n"/>
      <c r="T41" s="571" t="n"/>
      <c r="U41" s="571" t="n"/>
      <c r="V41" s="571" t="n"/>
      <c r="W41" s="912">
        <f>IFERROR((W38-$F$20)/$F$20,"NM")</f>
        <v/>
      </c>
      <c r="X41" s="912">
        <f>IFERROR((X38-$F$20)/$F$20,"NM")</f>
        <v/>
      </c>
      <c r="Y41" s="912">
        <f>IFERROR((Y38-$F$20)/$F$20,"NM")</f>
        <v/>
      </c>
      <c r="Z41" s="912">
        <f>IFERROR((Z38-$F$20)/$F$20,"NM")</f>
        <v/>
      </c>
      <c r="AA41" s="912">
        <f>IFERROR((AA38-$F$20)/$F$20,"NM")</f>
        <v/>
      </c>
      <c r="AB41" s="912">
        <f>IFERROR((AB38-$F$20)/$F$20,"NM")</f>
        <v/>
      </c>
      <c r="AC41" s="912">
        <f>IFERROR((AC38-$F$20)/$F$20,"NM")</f>
        <v/>
      </c>
      <c r="AD41" s="912">
        <f>IFERROR((AD38-$F$20)/$F$20,"NM")</f>
        <v/>
      </c>
    </row>
    <row r="42" ht="15" customHeight="1">
      <c r="B42" s="450" t="n"/>
      <c r="C42" s="501" t="inlineStr">
        <is>
          <t>Implied Upside (Downside) - High</t>
        </is>
      </c>
      <c r="D42" s="498" t="n"/>
      <c r="E42" s="498" t="n"/>
      <c r="F42" s="498" t="n"/>
      <c r="G42" s="498" t="n"/>
      <c r="H42" s="498" t="n"/>
      <c r="I42" s="498" t="n"/>
      <c r="J42" s="498" t="n"/>
      <c r="K42" s="498" t="n"/>
      <c r="L42" s="498" t="n"/>
      <c r="M42" s="498" t="n"/>
      <c r="N42" s="498" t="n"/>
      <c r="O42" s="498" t="n"/>
      <c r="P42" s="568" t="n"/>
      <c r="Q42" s="568" t="n"/>
      <c r="R42" s="498" t="n"/>
      <c r="S42" s="498" t="n"/>
      <c r="T42" s="572" t="n"/>
      <c r="U42" s="572" t="n"/>
      <c r="V42" s="572" t="n"/>
      <c r="W42" s="913">
        <f>IFERROR((W39-$F$20)/$F$20,"NM")</f>
        <v/>
      </c>
      <c r="X42" s="913">
        <f>IFERROR((X39-$F$20)/$F$20,"NM")</f>
        <v/>
      </c>
      <c r="Y42" s="913">
        <f>IFERROR((Y39-$F$20)/$F$20,"NM")</f>
        <v/>
      </c>
      <c r="Z42" s="913">
        <f>IFERROR((Z39-$F$20)/$F$20,"NM")</f>
        <v/>
      </c>
      <c r="AA42" s="913">
        <f>IFERROR((AA39-$F$20)/$F$20,"NM")</f>
        <v/>
      </c>
      <c r="AB42" s="913">
        <f>IFERROR((AB39-$F$20)/$F$20,"NM")</f>
        <v/>
      </c>
      <c r="AC42" s="913">
        <f>IFERROR((AC39-$F$20)/$F$20,"NM")</f>
        <v/>
      </c>
      <c r="AD42" s="913">
        <f>IFERROR((AD39-$F$20)/$F$20,"NM")</f>
        <v/>
      </c>
    </row>
    <row r="43" ht="15" customHeight="1">
      <c r="B43" t="inlineStr">
        <is>
          <t>x</t>
        </is>
      </c>
    </row>
    <row r="44" ht="15" customHeight="1">
      <c r="C44" s="760" t="inlineStr">
        <is>
          <t>Note: Japanese comps report in JPY - size columns (price, market cap, EV, debt, cash, EBITDA $) are local currency, multiples are currency-neutral. Equity value deducts total debt only; Xerox's $180mm Series A preferred is not netted here (see Precedent Transactions tab).</t>
        </is>
      </c>
    </row>
    <row r="46" ht="15" customHeight="1">
      <c r="L46" t="n"/>
    </row>
    <row r="48" ht="15" customHeight="1">
      <c r="B48" s="450" t="inlineStr">
        <is>
          <t>x</t>
        </is>
      </c>
      <c r="C48" s="503" t="inlineStr">
        <is>
          <t>Tax Calculation</t>
        </is>
      </c>
      <c r="D48" s="573" t="n"/>
      <c r="E48" s="573" t="n"/>
      <c r="F48" s="573" t="n"/>
      <c r="G48" s="574" t="n"/>
      <c r="H48" s="574" t="n"/>
      <c r="I48" s="574" t="n"/>
      <c r="J48" s="574" t="n"/>
      <c r="K48" s="574" t="n"/>
      <c r="L48" s="574" t="n"/>
      <c r="M48" s="575" t="n"/>
      <c r="U48" s="576" t="n"/>
      <c r="V48" s="576" t="n"/>
      <c r="W48" s="576" t="n"/>
      <c r="X48" s="576" t="n"/>
      <c r="Y48" s="576" t="n"/>
      <c r="Z48" s="576" t="n"/>
      <c r="AA48" s="576" t="n"/>
      <c r="AB48" s="576" t="n"/>
      <c r="AC48" s="576" t="n"/>
      <c r="AD48" s="576" t="n"/>
    </row>
    <row r="49" ht="15" customHeight="1">
      <c r="C49" s="577" t="inlineStr">
        <is>
          <t>Ticker</t>
        </is>
      </c>
      <c r="D49" s="578" t="n"/>
      <c r="E49" s="578" t="n"/>
      <c r="F49" s="455" t="inlineStr">
        <is>
          <t>2020</t>
        </is>
      </c>
      <c r="G49" s="455" t="inlineStr">
        <is>
          <t>2021</t>
        </is>
      </c>
      <c r="H49" s="455" t="inlineStr">
        <is>
          <t>2022</t>
        </is>
      </c>
      <c r="I49" s="455" t="inlineStr">
        <is>
          <t>2023</t>
        </is>
      </c>
      <c r="J49" s="455" t="inlineStr">
        <is>
          <t>2024</t>
        </is>
      </c>
      <c r="K49" s="455" t="inlineStr">
        <is>
          <t>2025</t>
        </is>
      </c>
      <c r="L49" s="455" t="inlineStr">
        <is>
          <t>Latest Quarter</t>
        </is>
      </c>
      <c r="M49" s="579" t="n"/>
      <c r="U49" s="461" t="n"/>
      <c r="V49" s="461" t="n"/>
      <c r="W49" s="461" t="n"/>
      <c r="X49" s="461" t="n"/>
      <c r="Y49" s="461" t="n"/>
      <c r="Z49" s="461" t="n"/>
      <c r="AA49" s="461" t="n"/>
    </row>
    <row r="50" ht="15" customHeight="1">
      <c r="C50" s="538">
        <f>E7</f>
        <v/>
      </c>
      <c r="D50" s="454" t="n"/>
      <c r="E50" s="454" t="n"/>
      <c r="F50" s="580">
        <f t="array" ref="F50">_xll.FDSR($C50,"FF_INC_TAX(ANN_R,01/01/2020,12/31/2020)")/_xll.FDSR($C50,"FF_PTX_INC(ANN_R,01/01/2020,12/31/2020)")</f>
        <v/>
      </c>
      <c r="G50" s="580">
        <f t="array" ref="G50">_xll.FDSR($C50,"FF_INC_TAX(ANN_R,01/01/2021,12/31/2021)")/_xll.FDSR($C50,"FF_PTX_INC(ANN_R,01/01/2021,12/31/2021)")</f>
        <v/>
      </c>
      <c r="H50" s="580">
        <f t="array" ref="H50">_xll.FDSR($C50,"FF_INC_TAX(ANN_R,01/01/2022,12/31/2022)")/_xll.FDSR($C50,"FF_PTX_INC(ANN_R,01/01/2022,12/31/2022)")</f>
        <v/>
      </c>
      <c r="I50" s="580">
        <f t="array" ref="I50">_xll.FDSR($C50,"FF_INC_TAX(ANN_R,01/01/2023,12/31/2023)")/_xll.FDSR($C50,"FF_PTX_INC(ANN_R,01/01/2023,12/31/2023)")</f>
        <v/>
      </c>
      <c r="J50" s="580">
        <f t="array" ref="J50">_xll.FDSR($C50,"FF_INC_TAX(ANN_R,01/01/2024,12/31/2024)")/_xll.FDSR($C50,"FF_PTX_INC(ANN_R,01/01/2024,12/31/2024)")</f>
        <v/>
      </c>
      <c r="K50" s="581">
        <f t="array" ref="K50">_xll.FDSR($C50,"FF_INC_TAX(ANN_R,01/01/2025,12/31/2025)")/_xll.FDSR($C50,"FF_PTX_INC(ANN_R,01/01/2025,12/31/2025)")</f>
        <v/>
      </c>
      <c r="L50" s="580">
        <f t="array" ref="L50">_xll.FDSR($C50,"FF_INC_TAX(QTR_R,0)")/_xll.FDSR($C50,"FF_PTX_INC(QTR_R,0)")</f>
        <v/>
      </c>
      <c r="M50" s="454" t="n"/>
      <c r="U50" s="580" t="n"/>
      <c r="V50" s="580" t="n"/>
      <c r="W50" s="580" t="n"/>
      <c r="X50" s="580" t="n"/>
      <c r="Y50" s="580" t="n"/>
      <c r="Z50" s="580" t="n"/>
      <c r="AA50" s="580" t="n"/>
    </row>
    <row r="51" ht="15" customHeight="1">
      <c r="C51" s="538">
        <f>E8</f>
        <v/>
      </c>
      <c r="D51" s="454" t="n"/>
      <c r="E51" s="454" t="n"/>
      <c r="F51" s="580">
        <f t="array" ref="F51">_xll.FDSR($C51,"FF_INC_TAX(ANN_R,01/01/2020,12/31/2020)")/_xll.FDSR($C51,"FF_PTX_INC(ANN_R,01/01/2020,12/31/2020)")</f>
        <v/>
      </c>
      <c r="G51" s="580">
        <f t="array" ref="G51">_xll.FDSR($C51,"FF_INC_TAX(ANN_R,01/01/2021,12/31/2021)")/_xll.FDSR($C51,"FF_PTX_INC(ANN_R,01/01/2021,12/31/2021)")</f>
        <v/>
      </c>
      <c r="H51" s="580">
        <f t="array" ref="H51">_xll.FDSR($C51,"FF_INC_TAX(ANN_R,01/01/2022,12/31/2022)")/_xll.FDSR($C51,"FF_PTX_INC(ANN_R,01/01/2022,12/31/2022)")</f>
        <v/>
      </c>
      <c r="I51" s="580">
        <f t="array" ref="I51">_xll.FDSR($C51,"FF_INC_TAX(ANN_R,01/01/2023,12/31/2023)")/_xll.FDSR($C51,"FF_PTX_INC(ANN_R,01/01/2023,12/31/2023)")</f>
        <v/>
      </c>
      <c r="J51" s="580">
        <f t="array" ref="J51">_xll.FDSR($C51,"FF_INC_TAX(ANN_R,01/01/2024,12/31/2024)")/_xll.FDSR($C51,"FF_PTX_INC(ANN_R,01/01/2024,12/31/2024)")</f>
        <v/>
      </c>
      <c r="K51" s="581">
        <f t="array" ref="K51">_xll.FDSR($C51,"FF_INC_TAX(ANN_R,01/01/2025,12/31/2025)")/_xll.FDSR($C51,"FF_PTX_INC(ANN_R,01/01/2025,12/31/2025)")</f>
        <v/>
      </c>
      <c r="L51" s="580">
        <f t="array" ref="L51">_xll.FDSR($C51,"FF_INC_TAX(QTR_R,0)")/_xll.FDSR($C51,"FF_PTX_INC(QTR_R,0)")</f>
        <v/>
      </c>
      <c r="M51" s="454" t="n"/>
      <c r="U51" s="580" t="n"/>
      <c r="V51" s="580" t="n"/>
      <c r="W51" s="580" t="n"/>
      <c r="X51" s="580" t="n"/>
      <c r="Y51" s="580" t="n"/>
      <c r="Z51" s="580" t="n"/>
      <c r="AA51" s="580" t="n"/>
    </row>
    <row r="52" ht="15" customHeight="1">
      <c r="C52" s="538">
        <f>E9</f>
        <v/>
      </c>
      <c r="D52" s="454" t="n"/>
      <c r="E52" s="454" t="n"/>
      <c r="F52" s="580">
        <f t="array" ref="F52">_xll.FDSR($C52,"FF_INC_TAX(ANN_R,01/01/2020,12/31/2020)")/_xll.FDSR($C52,"FF_PTX_INC(ANN_R,01/01/2020,12/31/2020)")</f>
        <v/>
      </c>
      <c r="G52" s="580">
        <f t="array" ref="G52">_xll.FDSR($C52,"FF_INC_TAX(ANN_R,01/01/2021,12/31/2021)")/_xll.FDSR($C52,"FF_PTX_INC(ANN_R,01/01/2021,12/31/2021)")</f>
        <v/>
      </c>
      <c r="H52" s="580">
        <f t="array" ref="H52">_xll.FDSR($C52,"FF_INC_TAX(ANN_R,01/01/2022,12/31/2022)")/_xll.FDSR($C52,"FF_PTX_INC(ANN_R,01/01/2022,12/31/2022)")</f>
        <v/>
      </c>
      <c r="I52" s="580">
        <f t="array" ref="I52">_xll.FDSR($C52,"FF_INC_TAX(ANN_R,01/01/2023,12/31/2023)")/_xll.FDSR($C52,"FF_PTX_INC(ANN_R,01/01/2023,12/31/2023)")</f>
        <v/>
      </c>
      <c r="J52" s="580">
        <f t="array" ref="J52">_xll.FDSR($C52,"FF_INC_TAX(ANN_R,01/01/2024,12/31/2024)")/_xll.FDSR($C52,"FF_PTX_INC(ANN_R,01/01/2024,12/31/2024)")</f>
        <v/>
      </c>
      <c r="K52" s="581">
        <f t="array" ref="K52">_xll.FDSR($C52,"FF_INC_TAX(ANN_R,01/01/2025,12/31/2025)")/_xll.FDSR($C52,"FF_PTX_INC(ANN_R,01/01/2025,12/31/2025)")</f>
        <v/>
      </c>
      <c r="L52" s="580">
        <f t="array" ref="L52">_xll.FDSR($C52,"FF_INC_TAX(QTR_R,0)")/_xll.FDSR($C52,"FF_PTX_INC(QTR_R,0)")</f>
        <v/>
      </c>
      <c r="M52" s="454" t="n"/>
      <c r="U52" s="580" t="n"/>
      <c r="V52" s="580" t="n"/>
      <c r="W52" s="580" t="n"/>
      <c r="X52" s="580" t="n"/>
      <c r="Y52" s="580" t="n"/>
      <c r="Z52" s="580" t="n"/>
      <c r="AA52" s="580" t="n"/>
    </row>
    <row r="53" ht="15" customHeight="1">
      <c r="C53" s="538">
        <f>E10</f>
        <v/>
      </c>
      <c r="D53" s="454" t="n"/>
      <c r="E53" s="454" t="n"/>
      <c r="F53" s="580">
        <f t="array" ref="F53">_xll.FDSR($C53,"FF_INC_TAX(ANN_R,01/01/2020,12/31/2020)")/_xll.FDSR($C53,"FF_PTX_INC(ANN_R,01/01/2020,12/31/2020)")</f>
        <v/>
      </c>
      <c r="G53" s="580">
        <f t="array" ref="G53">_xll.FDSR($C53,"FF_INC_TAX(ANN_R,01/01/2021,12/31/2021)")/_xll.FDSR($C53,"FF_PTX_INC(ANN_R,01/01/2021,12/31/2021)")</f>
        <v/>
      </c>
      <c r="H53" s="580">
        <f t="array" ref="H53">_xll.FDSR($C53,"FF_INC_TAX(ANN_R,01/01/2022,12/31/2022)")/_xll.FDSR($C53,"FF_PTX_INC(ANN_R,01/01/2022,12/31/2022)")</f>
        <v/>
      </c>
      <c r="I53" s="580">
        <f t="array" ref="I53">_xll.FDSR($C53,"FF_INC_TAX(ANN_R,01/01/2023,12/31/2023)")/_xll.FDSR($C53,"FF_PTX_INC(ANN_R,01/01/2023,12/31/2023)")</f>
        <v/>
      </c>
      <c r="J53" s="580">
        <f t="array" ref="J53">_xll.FDSR($C53,"FF_INC_TAX(ANN_R,01/01/2024,12/31/2024)")/_xll.FDSR($C53,"FF_PTX_INC(ANN_R,01/01/2024,12/31/2024)")</f>
        <v/>
      </c>
      <c r="K53" s="581">
        <f t="array" ref="K53">_xll.FDSR($C53,"FF_INC_TAX(ANN_R,01/01/2025,12/31/2025)")/_xll.FDSR($C53,"FF_PTX_INC(ANN_R,01/01/2025,12/31/2025)")</f>
        <v/>
      </c>
      <c r="L53" s="580">
        <f t="array" ref="L53">_xll.FDSR($C53,"FF_INC_TAX(QTR_R,0)")/_xll.FDSR($C53,"FF_PTX_INC(QTR_R,0)")</f>
        <v/>
      </c>
      <c r="M53" s="454" t="n"/>
      <c r="U53" s="580" t="n"/>
      <c r="V53" s="580" t="n"/>
      <c r="W53" s="580" t="n"/>
      <c r="X53" s="580" t="n"/>
      <c r="Y53" s="580" t="n"/>
      <c r="Z53" s="580" t="n"/>
      <c r="AA53" s="580" t="n"/>
    </row>
    <row r="54" ht="15" customHeight="1">
      <c r="C54" s="538">
        <f>E11</f>
        <v/>
      </c>
      <c r="D54" s="454" t="n"/>
      <c r="E54" s="454" t="n"/>
      <c r="F54" s="580">
        <f t="array" ref="F54">_xll.FDSR($C54,"FF_INC_TAX(ANN_R,01/01/2020,12/31/2020)")/_xll.FDSR($C54,"FF_PTX_INC(ANN_R,01/01/2020,12/31/2020)")</f>
        <v/>
      </c>
      <c r="G54" s="580">
        <f t="array" ref="G54">_xll.FDSR($C54,"FF_INC_TAX(ANN_R,01/01/2021,12/31/2021)")/_xll.FDSR($C54,"FF_PTX_INC(ANN_R,01/01/2021,12/31/2021)")</f>
        <v/>
      </c>
      <c r="H54" s="580">
        <f t="array" ref="H54">_xll.FDSR($C54,"FF_INC_TAX(ANN_R,01/01/2022,12/31/2022)")/_xll.FDSR($C54,"FF_PTX_INC(ANN_R,01/01/2022,12/31/2022)")</f>
        <v/>
      </c>
      <c r="I54" s="580">
        <f t="array" ref="I54">_xll.FDSR($C54,"FF_INC_TAX(ANN_R,01/01/2023,12/31/2023)")/_xll.FDSR($C54,"FF_PTX_INC(ANN_R,01/01/2023,12/31/2023)")</f>
        <v/>
      </c>
      <c r="J54" s="580">
        <f t="array" ref="J54">_xll.FDSR($C54,"FF_INC_TAX(ANN_R,01/01/2024,12/31/2024)")/_xll.FDSR($C54,"FF_PTX_INC(ANN_R,01/01/2024,12/31/2024)")</f>
        <v/>
      </c>
      <c r="K54" s="581">
        <f t="array" ref="K54">_xll.FDSR($C54,"FF_INC_TAX(ANN_R,01/01/2025,12/31/2025)")/_xll.FDSR($C54,"FF_PTX_INC(ANN_R,01/01/2025,12/31/2025)")</f>
        <v/>
      </c>
      <c r="L54" s="580">
        <f t="array" ref="L54">_xll.FDSR($C54,"FF_INC_TAX(QTR_R,0)")/_xll.FDSR($C54,"FF_PTX_INC(QTR_R,0)")</f>
        <v/>
      </c>
      <c r="M54" s="454" t="n"/>
      <c r="U54" s="580" t="n"/>
      <c r="V54" s="580" t="n"/>
      <c r="W54" s="580" t="n"/>
      <c r="X54" s="580" t="n"/>
      <c r="Y54" s="580" t="n"/>
      <c r="Z54" s="580" t="n"/>
      <c r="AA54" s="580" t="n"/>
    </row>
    <row r="55" ht="15" customHeight="1">
      <c r="C55" s="538">
        <f>E12</f>
        <v/>
      </c>
      <c r="D55" s="454" t="n"/>
      <c r="E55" s="454" t="n"/>
      <c r="F55" s="580">
        <f t="array" ref="F55">_xll.FDSR($C55,"FF_INC_TAX(ANN_R,01/01/2020,12/31/2020)")/_xll.FDSR($C55,"FF_PTX_INC(ANN_R,01/01/2020,12/31/2020)")</f>
        <v/>
      </c>
      <c r="G55" s="580">
        <f t="array" ref="G55">_xll.FDSR($C55,"FF_INC_TAX(ANN_R,01/01/2021,12/31/2021)")/_xll.FDSR($C55,"FF_PTX_INC(ANN_R,01/01/2021,12/31/2021)")</f>
        <v/>
      </c>
      <c r="H55" s="580">
        <f t="array" ref="H55">_xll.FDSR($C55,"FF_INC_TAX(ANN_R,01/01/2022,12/31/2022)")/_xll.FDSR($C55,"FF_PTX_INC(ANN_R,01/01/2022,12/31/2022)")</f>
        <v/>
      </c>
      <c r="I55" s="580">
        <f t="array" ref="I55">_xll.FDSR($C55,"FF_INC_TAX(ANN_R,01/01/2023,12/31/2023)")/_xll.FDSR($C55,"FF_PTX_INC(ANN_R,01/01/2023,12/31/2023)")</f>
        <v/>
      </c>
      <c r="J55" s="580">
        <f t="array" ref="J55">_xll.FDSR($C55,"FF_INC_TAX(ANN_R,01/01/2024,12/31/2024)")/_xll.FDSR($C55,"FF_PTX_INC(ANN_R,01/01/2024,12/31/2024)")</f>
        <v/>
      </c>
      <c r="K55" s="581">
        <f t="array" ref="K55">_xll.FDSR($C55,"FF_INC_TAX(ANN_R,01/01/2025,12/31/2025)")/_xll.FDSR($C55,"FF_PTX_INC(ANN_R,01/01/2025,12/31/2025)")</f>
        <v/>
      </c>
      <c r="L55" s="580">
        <f t="array" ref="L55">_xll.FDSR($C55,"FF_INC_TAX(QTR_R,0)")/_xll.FDSR($C55,"FF_PTX_INC(QTR_R,0)")</f>
        <v/>
      </c>
      <c r="M55" s="454" t="n"/>
      <c r="U55" s="580" t="n"/>
      <c r="V55" s="580" t="n"/>
      <c r="W55" s="580" t="n"/>
      <c r="X55" s="580" t="n"/>
      <c r="Y55" s="580" t="n"/>
      <c r="Z55" s="580" t="n"/>
      <c r="AA55" s="580" t="n"/>
    </row>
    <row r="56" ht="15" customHeight="1">
      <c r="C56" s="538">
        <f>E13</f>
        <v/>
      </c>
      <c r="D56" s="454" t="n"/>
      <c r="E56" s="454" t="n"/>
      <c r="F56" s="580">
        <f t="array" ref="F56">_xll.FDSR($C56,"FF_INC_TAX(ANN_R,01/01/2020,12/31/2020)")/_xll.FDSR($C56,"FF_PTX_INC(ANN_R,01/01/2020,12/31/2020)")</f>
        <v/>
      </c>
      <c r="G56" s="580">
        <f t="array" ref="G56">_xll.FDSR($C56,"FF_INC_TAX(ANN_R,01/01/2021,12/31/2021)")/_xll.FDSR($C56,"FF_PTX_INC(ANN_R,01/01/2021,12/31/2021)")</f>
        <v/>
      </c>
      <c r="H56" s="580">
        <f t="array" ref="H56">_xll.FDSR($C56,"FF_INC_TAX(ANN_R,01/01/2022,12/31/2022)")/_xll.FDSR($C56,"FF_PTX_INC(ANN_R,01/01/2022,12/31/2022)")</f>
        <v/>
      </c>
      <c r="I56" s="580">
        <f t="array" ref="I56">_xll.FDSR($C56,"FF_INC_TAX(ANN_R,01/01/2023,12/31/2023)")/_xll.FDSR($C56,"FF_PTX_INC(ANN_R,01/01/2023,12/31/2023)")</f>
        <v/>
      </c>
      <c r="J56" s="580">
        <f t="array" ref="J56">_xll.FDSR($C56,"FF_INC_TAX(ANN_R,01/01/2024,12/31/2024)")/_xll.FDSR($C56,"FF_PTX_INC(ANN_R,01/01/2024,12/31/2024)")</f>
        <v/>
      </c>
      <c r="K56" s="581">
        <f t="array" ref="K56">_xll.FDSR($C56,"FF_INC_TAX(ANN_R,01/01/2025,12/31/2025)")/_xll.FDSR($C56,"FF_PTX_INC(ANN_R,01/01/2025,12/31/2025)")</f>
        <v/>
      </c>
      <c r="L56" s="580">
        <f t="array" ref="L56">_xll.FDSR($C56,"FF_INC_TAX(QTR_R,0)")/_xll.FDSR($C56,"FF_PTX_INC(QTR_R,0)")</f>
        <v/>
      </c>
      <c r="M56" s="454" t="n"/>
      <c r="U56" s="580" t="n"/>
      <c r="V56" s="580" t="n"/>
      <c r="W56" s="580" t="n"/>
      <c r="X56" s="580" t="n"/>
      <c r="Y56" s="580" t="n"/>
      <c r="Z56" s="580" t="n"/>
      <c r="AA56" s="580" t="n"/>
    </row>
    <row r="57" ht="15" customHeight="1">
      <c r="C57" s="538">
        <f>E14</f>
        <v/>
      </c>
      <c r="D57" s="454" t="n"/>
      <c r="E57" s="454" t="n"/>
      <c r="F57" s="580">
        <f t="array" ref="F57">_xll.FDSR($C57,"FF_INC_TAX(ANN_R,01/01/2020,12/31/2020)")/_xll.FDSR($C57,"FF_PTX_INC(ANN_R,01/01/2020,12/31/2020)")</f>
        <v/>
      </c>
      <c r="G57" s="580">
        <f t="array" ref="G57">_xll.FDSR($C57,"FF_INC_TAX(ANN_R,01/01/2021,12/31/2021)")/_xll.FDSR($C57,"FF_PTX_INC(ANN_R,01/01/2021,12/31/2021)")</f>
        <v/>
      </c>
      <c r="H57" s="580">
        <f t="array" ref="H57">_xll.FDSR($C57,"FF_INC_TAX(ANN_R,01/01/2022,12/31/2022)")/_xll.FDSR($C57,"FF_PTX_INC(ANN_R,01/01/2022,12/31/2022)")</f>
        <v/>
      </c>
      <c r="I57" s="580">
        <f t="array" ref="I57">_xll.FDSR($C57,"FF_INC_TAX(ANN_R,01/01/2023,12/31/2023)")/_xll.FDSR($C57,"FF_PTX_INC(ANN_R,01/01/2023,12/31/2023)")</f>
        <v/>
      </c>
      <c r="J57" s="580">
        <f t="array" ref="J57">_xll.FDSR($C57,"FF_INC_TAX(ANN_R,01/01/2024,12/31/2024)")/_xll.FDSR($C57,"FF_PTX_INC(ANN_R,01/01/2024,12/31/2024)")</f>
        <v/>
      </c>
      <c r="K57" s="581">
        <f t="array" ref="K57">_xll.FDSR($C57,"FF_INC_TAX(ANN_R,01/01/2025,12/31/2025)")/_xll.FDSR($C57,"FF_PTX_INC(ANN_R,01/01/2025,12/31/2025)")</f>
        <v/>
      </c>
      <c r="L57" s="580">
        <f t="array" ref="L57">_xll.FDSR($C57,"FF_INC_TAX(QTR_R,0)")/_xll.FDSR($C57,"FF_PTX_INC(QTR_R,0)")</f>
        <v/>
      </c>
      <c r="M57" s="454" t="n"/>
      <c r="U57" s="580" t="n"/>
      <c r="V57" s="580" t="n"/>
      <c r="W57" s="580" t="n"/>
      <c r="X57" s="580" t="n"/>
      <c r="Y57" s="580" t="n"/>
      <c r="Z57" s="580" t="n"/>
      <c r="AA57" s="580" t="n"/>
    </row>
    <row r="58" ht="15" customHeight="1">
      <c r="C58" s="538">
        <f>E15</f>
        <v/>
      </c>
      <c r="D58" s="454" t="n"/>
      <c r="E58" s="454" t="n"/>
      <c r="F58" s="580">
        <f t="array" ref="F58">_xll.FDSR($C58,"FF_INC_TAX(ANN_R,01/01/2020,12/31/2020)")/_xll.FDSR($C58,"FF_PTX_INC(ANN_R,01/01/2020,12/31/2020)")</f>
        <v/>
      </c>
      <c r="G58" s="580">
        <f t="array" ref="G58">_xll.FDSR($C58,"FF_INC_TAX(ANN_R,01/01/2021,12/31/2021)")/_xll.FDSR($C58,"FF_PTX_INC(ANN_R,01/01/2021,12/31/2021)")</f>
        <v/>
      </c>
      <c r="H58" s="580">
        <f t="array" ref="H58">_xll.FDSR($C58,"FF_INC_TAX(ANN_R,01/01/2022,12/31/2022)")/_xll.FDSR($C58,"FF_PTX_INC(ANN_R,01/01/2022,12/31/2022)")</f>
        <v/>
      </c>
      <c r="I58" s="580">
        <f t="array" ref="I58">_xll.FDSR($C58,"FF_INC_TAX(ANN_R,01/01/2023,12/31/2023)")/_xll.FDSR($C58,"FF_PTX_INC(ANN_R,01/01/2023,12/31/2023)")</f>
        <v/>
      </c>
      <c r="J58" s="580">
        <f t="array" ref="J58">_xll.FDSR($C58,"FF_INC_TAX(ANN_R,01/01/2024,12/31/2024)")/_xll.FDSR($C58,"FF_PTX_INC(ANN_R,01/01/2024,12/31/2024)")</f>
        <v/>
      </c>
      <c r="K58" s="581">
        <f t="array" ref="K58">_xll.FDSR($C58,"FF_INC_TAX(ANN_R,01/01/2025,12/31/2025)")/_xll.FDSR($C58,"FF_PTX_INC(ANN_R,01/01/2025,12/31/2025)")</f>
        <v/>
      </c>
      <c r="L58" s="580">
        <f t="array" ref="L58">_xll.FDSR($C58,"FF_INC_TAX(QTR_R,0)")/_xll.FDSR($C58,"FF_PTX_INC(QTR_R,0)")</f>
        <v/>
      </c>
      <c r="M58" s="454" t="n"/>
      <c r="U58" s="580" t="n"/>
      <c r="V58" s="580" t="n"/>
      <c r="W58" s="580" t="n"/>
      <c r="X58" s="580" t="n"/>
      <c r="Y58" s="580" t="n"/>
      <c r="Z58" s="580" t="n"/>
      <c r="AA58" s="580" t="n"/>
    </row>
    <row r="59" ht="15" customHeight="1">
      <c r="C59" s="538">
        <f>E16</f>
        <v/>
      </c>
      <c r="D59" s="454" t="n"/>
      <c r="E59" s="454" t="n"/>
      <c r="F59" s="580">
        <f t="array" ref="F59">_xll.FDSR($C59,"FF_INC_TAX(ANN_R,01/01/2020,12/31/2020)")/_xll.FDSR($C59,"FF_PTX_INC(ANN_R,01/01/2020,12/31/2020)")</f>
        <v/>
      </c>
      <c r="G59" s="580">
        <f t="array" ref="G59">_xll.FDSR($C59,"FF_INC_TAX(ANN_R,01/01/2021,12/31/2021)")/_xll.FDSR($C59,"FF_PTX_INC(ANN_R,01/01/2021,12/31/2021)")</f>
        <v/>
      </c>
      <c r="H59" s="580">
        <f t="array" ref="H59">_xll.FDSR($C59,"FF_INC_TAX(ANN_R,01/01/2022,12/31/2022)")/_xll.FDSR($C59,"FF_PTX_INC(ANN_R,01/01/2022,12/31/2022)")</f>
        <v/>
      </c>
      <c r="I59" s="580">
        <f t="array" ref="I59">_xll.FDSR($C59,"FF_INC_TAX(ANN_R,01/01/2023,12/31/2023)")/_xll.FDSR($C59,"FF_PTX_INC(ANN_R,01/01/2023,12/31/2023)")</f>
        <v/>
      </c>
      <c r="J59" s="580">
        <f t="array" ref="J59">_xll.FDSR($C59,"FF_INC_TAX(ANN_R,01/01/2024,12/31/2024)")/_xll.FDSR($C59,"FF_PTX_INC(ANN_R,01/01/2024,12/31/2024)")</f>
        <v/>
      </c>
      <c r="K59" s="581">
        <f t="array" ref="K59">_xll.FDSR($C59,"FF_INC_TAX(ANN_R,01/01/2025,12/31/2025)")/_xll.FDSR($C59,"FF_PTX_INC(ANN_R,01/01/2025,12/31/2025)")</f>
        <v/>
      </c>
      <c r="L59" s="580">
        <f t="array" ref="L59">_xll.FDSR($C59,"FF_INC_TAX(QTR_R,0)")/_xll.FDSR($C59,"FF_PTX_INC(QTR_R,0)")</f>
        <v/>
      </c>
      <c r="M59" s="454" t="n"/>
      <c r="U59" s="580" t="n"/>
      <c r="V59" s="580" t="n"/>
      <c r="W59" s="580" t="n"/>
      <c r="X59" s="580" t="n"/>
      <c r="Y59" s="580" t="n"/>
      <c r="Z59" s="580" t="n"/>
      <c r="AA59" s="580" t="n"/>
    </row>
    <row r="60" ht="15" customHeight="1">
      <c r="C60" s="538">
        <f>E17</f>
        <v/>
      </c>
      <c r="D60" s="454" t="n"/>
      <c r="E60" s="454" t="n"/>
      <c r="F60" s="580">
        <f t="array" ref="F60">_xll.FDSR($C60,"FF_INC_TAX(ANN_R,01/01/2020,12/31/2020)")/_xll.FDSR($C60,"FF_PTX_INC(ANN_R,01/01/2020,12/31/2020)")</f>
        <v/>
      </c>
      <c r="G60" s="580">
        <f t="array" ref="G60">_xll.FDSR($C60,"FF_INC_TAX(ANN_R,01/01/2021,12/31/2021)")/_xll.FDSR($C60,"FF_PTX_INC(ANN_R,01/01/2021,12/31/2021)")</f>
        <v/>
      </c>
      <c r="H60" s="580">
        <f t="array" ref="H60">_xll.FDSR($C60,"FF_INC_TAX(ANN_R,01/01/2022,12/31/2022)")/_xll.FDSR($C60,"FF_PTX_INC(ANN_R,01/01/2022,12/31/2022)")</f>
        <v/>
      </c>
      <c r="I60" s="580">
        <f t="array" ref="I60">_xll.FDSR($C60,"FF_INC_TAX(ANN_R,01/01/2023,12/31/2023)")/_xll.FDSR($C60,"FF_PTX_INC(ANN_R,01/01/2023,12/31/2023)")</f>
        <v/>
      </c>
      <c r="J60" s="580">
        <f t="array" ref="J60">_xll.FDSR($C60,"FF_INC_TAX(ANN_R,01/01/2024,12/31/2024)")/_xll.FDSR($C60,"FF_PTX_INC(ANN_R,01/01/2024,12/31/2024)")</f>
        <v/>
      </c>
      <c r="K60" s="581">
        <f t="array" ref="K60">_xll.FDSR($C60,"FF_INC_TAX(ANN_R,01/01/2025,12/31/2025)")/_xll.FDSR($C60,"FF_PTX_INC(ANN_R,01/01/2025,12/31/2025)")</f>
        <v/>
      </c>
      <c r="L60" s="580">
        <f t="array" ref="L60">_xll.FDSR($C60,"FF_INC_TAX(QTR_R,0)")/_xll.FDSR($C60,"FF_PTX_INC(QTR_R,0)")</f>
        <v/>
      </c>
      <c r="M60" s="454" t="n"/>
      <c r="U60" s="580" t="n"/>
      <c r="V60" s="580" t="n"/>
      <c r="W60" s="580" t="n"/>
      <c r="X60" s="580" t="n"/>
      <c r="Y60" s="580" t="n"/>
      <c r="Z60" s="580" t="n"/>
      <c r="AA60" s="580" t="n"/>
    </row>
    <row r="61" ht="15" customHeight="1">
      <c r="C61" s="538">
        <f>E18</f>
        <v/>
      </c>
      <c r="D61" s="454" t="n"/>
      <c r="E61" s="454" t="n"/>
      <c r="F61" s="580">
        <f t="array" ref="F61">_xll.FDSR($C61,"FF_INC_TAX(ANN_R,01/01/2020,12/31/2020)")/_xll.FDSR($C61,"FF_PTX_INC(ANN_R,01/01/2020,12/31/2020)")</f>
        <v/>
      </c>
      <c r="G61" s="580">
        <f t="array" ref="G61">_xll.FDSR($C61,"FF_INC_TAX(ANN_R,01/01/2021,12/31/2021)")/_xll.FDSR($C61,"FF_PTX_INC(ANN_R,01/01/2021,12/31/2021)")</f>
        <v/>
      </c>
      <c r="H61" s="580">
        <f t="array" ref="H61">_xll.FDSR($C61,"FF_INC_TAX(ANN_R,01/01/2022,12/31/2022)")/_xll.FDSR($C61,"FF_PTX_INC(ANN_R,01/01/2022,12/31/2022)")</f>
        <v/>
      </c>
      <c r="I61" s="580">
        <f t="array" ref="I61">_xll.FDSR($C61,"FF_INC_TAX(ANN_R,01/01/2023,12/31/2023)")/_xll.FDSR($C61,"FF_PTX_INC(ANN_R,01/01/2023,12/31/2023)")</f>
        <v/>
      </c>
      <c r="J61" s="580">
        <f t="array" ref="J61">_xll.FDSR($C61,"FF_INC_TAX(ANN_R,01/01/2024,12/31/2024)")/_xll.FDSR($C61,"FF_PTX_INC(ANN_R,01/01/2024,12/31/2024)")</f>
        <v/>
      </c>
      <c r="K61" s="581">
        <f t="array" ref="K61">_xll.FDSR($C61,"FF_INC_TAX(ANN_R,01/01/2025,12/31/2025)")/_xll.FDSR($C61,"FF_PTX_INC(ANN_R,01/01/2025,12/31/2025)")</f>
        <v/>
      </c>
      <c r="L61" s="580">
        <f t="array" ref="L61">_xll.FDSR($C61,"FF_INC_TAX(QTR_R,0)")/_xll.FDSR($C61,"FF_PTX_INC(QTR_R,0)")</f>
        <v/>
      </c>
      <c r="M61" s="454" t="n"/>
      <c r="U61" s="580" t="n"/>
      <c r="V61" s="580" t="n"/>
      <c r="W61" s="580" t="n"/>
      <c r="X61" s="580" t="n"/>
      <c r="Y61" s="580" t="n"/>
      <c r="Z61" s="580" t="n"/>
      <c r="AA61" s="580" t="n"/>
    </row>
    <row r="62" ht="15" customHeight="1" thickBot="1">
      <c r="C62" s="582" t="inlineStr">
        <is>
          <t>Median Tax Rate</t>
        </is>
      </c>
      <c r="D62" s="583" t="n"/>
      <c r="E62" s="583" t="n"/>
      <c r="F62" s="914">
        <f>IF(COUNT(F50:F61)=0,"NM",_xlfn.AGGREGATE(12,6,F50:F61))</f>
        <v/>
      </c>
      <c r="G62" s="914">
        <f>IF(COUNT(G50:G61)=0,"NM",_xlfn.AGGREGATE(12,6,G50:G61))</f>
        <v/>
      </c>
      <c r="H62" s="914">
        <f>IF(COUNT(H50:H61)=0,"NM",_xlfn.AGGREGATE(12,6,H50:H61))</f>
        <v/>
      </c>
      <c r="I62" s="914">
        <f>IF(COUNT(I50:I61)=0,"NM",_xlfn.AGGREGATE(12,6,I50:I61))</f>
        <v/>
      </c>
      <c r="J62" s="914">
        <f>IF(COUNT(J50:J61)=0,"NM",_xlfn.AGGREGATE(12,6,J50:J61))</f>
        <v/>
      </c>
      <c r="K62" s="914">
        <f>IF(COUNT(K50:K61)=0,"NM",_xlfn.AGGREGATE(12,6,K50:K61))</f>
        <v/>
      </c>
      <c r="L62" s="914">
        <f>IF(COUNT(L50:L61)=0,"NM",_xlfn.AGGREGATE(12,6,L50:L61))</f>
        <v/>
      </c>
      <c r="M62" s="454" t="n"/>
      <c r="U62" s="585" t="n"/>
      <c r="V62" s="585" t="n"/>
      <c r="W62" s="585" t="n"/>
      <c r="X62" s="585" t="n"/>
      <c r="Y62" s="585" t="n"/>
      <c r="Z62" s="585" t="n"/>
      <c r="AA62" s="585" t="n"/>
    </row>
    <row r="63" ht="15" customHeight="1">
      <c r="C63" s="586" t="n"/>
      <c r="D63" s="586" t="n"/>
      <c r="E63" s="586" t="n"/>
      <c r="F63" s="586" t="n"/>
      <c r="G63" s="587" t="n"/>
      <c r="H63" s="587" t="n"/>
      <c r="I63" s="587" t="n"/>
      <c r="J63" s="454" t="n"/>
      <c r="K63" s="454" t="n"/>
      <c r="L63" s="454" t="n"/>
      <c r="M63" s="586" t="n"/>
      <c r="U63" s="454" t="n"/>
      <c r="V63" s="454" t="n"/>
      <c r="W63" s="454" t="n"/>
      <c r="X63" s="454" t="n"/>
      <c r="Y63" s="454" t="n"/>
      <c r="Z63" s="454" t="n"/>
      <c r="AA63" s="454" t="n"/>
      <c r="AB63" s="454" t="n"/>
      <c r="AC63" s="454" t="n"/>
      <c r="AD63" s="454" t="n"/>
    </row>
    <row r="64" ht="15" customHeight="1">
      <c r="C64" s="547" t="inlineStr">
        <is>
          <t>Damodaran Industry Tax Rate (Computers/Peripherals, Jan-2026)</t>
        </is>
      </c>
      <c r="D64" s="588" t="n"/>
      <c r="E64" s="588" t="n"/>
      <c r="F64" s="588" t="n"/>
      <c r="G64" s="588" t="n"/>
      <c r="H64" s="588" t="n"/>
      <c r="I64" s="588" t="n"/>
      <c r="J64" s="588" t="n"/>
      <c r="K64" s="588" t="n"/>
      <c r="L64" s="589" t="n">
        <v>0.0591</v>
      </c>
      <c r="M64" s="454" t="n"/>
      <c r="U64" s="454" t="n"/>
      <c r="V64" s="454" t="n"/>
      <c r="W64" s="454" t="n"/>
      <c r="X64" s="454" t="n"/>
      <c r="Y64" s="454" t="n"/>
      <c r="Z64" s="454" t="n"/>
      <c r="AA64" s="454" t="n"/>
      <c r="AB64" s="454" t="n"/>
      <c r="AC64" s="454" t="n"/>
    </row>
    <row r="65" ht="15" customHeight="1" thickBot="1">
      <c r="C65" s="514" t="n"/>
      <c r="D65" s="454" t="n"/>
      <c r="E65" s="454" t="n"/>
      <c r="F65" s="454" t="n"/>
      <c r="G65" s="454" t="n"/>
      <c r="H65" s="454" t="n"/>
      <c r="I65" s="454" t="n"/>
      <c r="J65" s="454" t="n"/>
      <c r="K65" s="454" t="n"/>
      <c r="L65" s="454" t="n"/>
      <c r="M65" s="454" t="n"/>
      <c r="U65" s="454" t="n"/>
      <c r="V65" s="454" t="n"/>
      <c r="W65" s="454" t="n"/>
      <c r="X65" s="454" t="n"/>
      <c r="Y65" s="454" t="n"/>
      <c r="Z65" s="454" t="n"/>
      <c r="AA65" s="454" t="n"/>
      <c r="AB65" s="454" t="n"/>
      <c r="AC65" s="454" t="n"/>
      <c r="AD65" s="590" t="n"/>
    </row>
    <row r="66" ht="15" customHeight="1" thickBot="1">
      <c r="B66" t="inlineStr">
        <is>
          <t>x</t>
        </is>
      </c>
      <c r="C66" s="591">
        <f>C20&amp;" Implied Tax Rate"</f>
        <v/>
      </c>
      <c r="D66" s="592" t="n"/>
      <c r="E66" s="592" t="n"/>
      <c r="F66" s="592" t="n"/>
      <c r="G66" s="592" t="n"/>
      <c r="H66" s="592" t="n"/>
      <c r="I66" s="592" t="n"/>
      <c r="J66" s="592" t="n"/>
      <c r="K66" s="592" t="n"/>
      <c r="L66" s="593">
        <f>IFERROR(AVERAGE(_xlfn.AGGREGATE(12,6,J62:L62),L64),L64)</f>
        <v/>
      </c>
      <c r="M66" s="454" t="n"/>
      <c r="U66" s="454" t="n"/>
      <c r="V66" s="454" t="n"/>
      <c r="W66" s="454" t="n"/>
      <c r="X66" s="454" t="n"/>
      <c r="Y66" s="454" t="n"/>
      <c r="Z66" s="454" t="n"/>
      <c r="AA66" s="454" t="n"/>
      <c r="AB66" s="454" t="n"/>
      <c r="AC66" s="454" t="n"/>
    </row>
    <row r="70" ht="14.5" customHeight="1">
      <c r="B70" s="450" t="inlineStr">
        <is>
          <t>x</t>
        </is>
      </c>
      <c r="C70" s="595" t="inlineStr">
        <is>
          <t>Company Name</t>
        </is>
      </c>
      <c r="D70" s="596" t="n"/>
      <c r="E70" s="596" t="n"/>
      <c r="F70" s="596" t="n"/>
      <c r="G70" s="596" t="inlineStr">
        <is>
          <t>Credit</t>
        </is>
      </c>
      <c r="H70" s="596" t="inlineStr">
        <is>
          <t>Interest</t>
        </is>
      </c>
      <c r="I70" s="596" t="inlineStr">
        <is>
          <t>Levered</t>
        </is>
      </c>
      <c r="J70" s="596" t="inlineStr">
        <is>
          <t>Debt %</t>
        </is>
      </c>
      <c r="K70" s="597" t="n"/>
      <c r="L70" s="597" t="n"/>
      <c r="M70" s="597" t="n"/>
      <c r="N70" s="597" t="n"/>
      <c r="O70" s="597" t="n"/>
      <c r="P70" s="597" t="n"/>
      <c r="Q70" s="597" t="n"/>
      <c r="R70" s="597" t="n"/>
      <c r="S70" s="597" t="n"/>
      <c r="T70" s="597" t="n"/>
      <c r="U70" s="597" t="n"/>
      <c r="V70" s="597" t="n"/>
      <c r="W70" s="597" t="n"/>
      <c r="X70" s="597" t="n"/>
      <c r="Y70" s="597" t="n"/>
      <c r="Z70" s="597" t="n"/>
      <c r="AA70" s="597" t="n"/>
      <c r="AB70" s="454" t="n"/>
      <c r="AC70" s="454" t="n"/>
      <c r="AD70" s="594" t="n"/>
    </row>
    <row r="71" ht="14.5" customHeight="1">
      <c r="C71" s="509" t="n"/>
      <c r="D71" s="509" t="n"/>
      <c r="E71" s="509" t="n"/>
      <c r="F71" s="509" t="inlineStr">
        <is>
          <t>Ticker</t>
        </is>
      </c>
      <c r="G71" s="510" t="inlineStr">
        <is>
          <t>Rating (S&amp;P)</t>
        </is>
      </c>
      <c r="H71" s="510" t="inlineStr">
        <is>
          <t>Coverage Ratio</t>
        </is>
      </c>
      <c r="I71" s="509" t="inlineStr">
        <is>
          <t>Beta</t>
        </is>
      </c>
      <c r="J71" s="509" t="inlineStr">
        <is>
          <t>of Equity</t>
        </is>
      </c>
      <c r="K71" s="598" t="n"/>
      <c r="L71" s="598" t="n"/>
      <c r="M71" s="598" t="n"/>
      <c r="N71" s="598" t="n"/>
      <c r="O71" s="598" t="n"/>
      <c r="P71" s="598" t="n"/>
      <c r="Q71" s="598" t="n"/>
      <c r="R71" s="598" t="n"/>
      <c r="S71" s="598" t="n"/>
      <c r="T71" s="598" t="n"/>
      <c r="U71" s="598" t="n"/>
      <c r="V71" s="598" t="n"/>
      <c r="W71" s="598" t="n"/>
      <c r="X71" s="598" t="n"/>
      <c r="Y71" s="598" t="n"/>
      <c r="Z71" s="598" t="n"/>
      <c r="AA71" s="598" t="n"/>
      <c r="AB71" s="454" t="n"/>
      <c r="AC71" s="454" t="n"/>
      <c r="AD71" s="594" t="n"/>
    </row>
    <row r="72" ht="14.5" customHeight="1">
      <c r="C72" s="513">
        <f t="array" ref="C72">_xll.FDS($F72,"FG_COMPANY_NAME")</f>
        <v/>
      </c>
      <c r="D72" s="514" t="n"/>
      <c r="E72" s="514" t="n"/>
      <c r="F72" s="599">
        <f>E7</f>
        <v/>
      </c>
      <c r="G72" s="915" t="inlineStr">
        <is>
          <t>BBB</t>
        </is>
      </c>
      <c r="H72" s="916">
        <f t="array" ref="H72">_xll.FDS(F72,"FG_EBIT_OPER_INT_COVER(10/16/2026,10/16/2026)")</f>
        <v/>
      </c>
      <c r="I72" s="517">
        <f t="array" ref="I72">_xll.FDS(F72,"P_BETA_PR(10/16/2026,10/16/2026,,""5Y"")")</f>
        <v/>
      </c>
      <c r="J72" s="602">
        <f t="array" ref="J72">_xll.FDS(F72,"FF_DEBT_EQ(ANN_R,10/16/2026,10/16/2026)")</f>
        <v/>
      </c>
      <c r="K72" s="602" t="n"/>
      <c r="L72" s="602" t="n"/>
      <c r="M72" s="602" t="n"/>
      <c r="N72" s="602" t="n"/>
      <c r="O72" s="602" t="n"/>
      <c r="P72" s="602" t="n"/>
      <c r="Q72" s="602" t="n"/>
      <c r="R72" s="602" t="n"/>
      <c r="S72" s="602" t="n"/>
      <c r="T72" s="602" t="n"/>
      <c r="U72" s="602" t="n"/>
      <c r="V72" s="602" t="n"/>
      <c r="W72" s="602" t="n"/>
      <c r="X72" s="602" t="n"/>
      <c r="Y72" s="602" t="n"/>
      <c r="Z72" s="602" t="n"/>
      <c r="AA72" s="602" t="n"/>
      <c r="AB72" s="454" t="n"/>
      <c r="AC72" s="454" t="n"/>
      <c r="AD72" s="594" t="n"/>
    </row>
    <row r="73" ht="14.5" customHeight="1">
      <c r="C73" s="513">
        <f t="array" ref="C73">_xll.FDS($F73,"FG_COMPANY_NAME")</f>
        <v/>
      </c>
      <c r="D73" s="514" t="n"/>
      <c r="E73" s="514" t="n"/>
      <c r="F73" s="603">
        <f>E8</f>
        <v/>
      </c>
      <c r="G73" s="915" t="inlineStr">
        <is>
          <t>NA</t>
        </is>
      </c>
      <c r="H73" s="916">
        <f t="array" ref="H73">_xll.FDS(F73,"FG_EBIT_OPER_INT_COVER(10/16/2026,10/16/2026)")</f>
        <v/>
      </c>
      <c r="I73" s="517">
        <f t="array" ref="I73">_xll.FDS(F73,"P_BETA_PR(10/16/2026,10/16/2026,,""5Y"")")</f>
        <v/>
      </c>
      <c r="J73" s="602">
        <f t="array" ref="J73">_xll.FDS(F73,"FF_DEBT_EQ(ANN_R,10/16/2026,10/16/2026)")</f>
        <v/>
      </c>
      <c r="K73" s="602" t="n"/>
      <c r="L73" s="602" t="n"/>
      <c r="M73" s="602" t="n"/>
      <c r="N73" s="602" t="n"/>
      <c r="O73" s="602" t="n"/>
      <c r="P73" s="602" t="n"/>
      <c r="Q73" s="602" t="n"/>
      <c r="R73" s="602" t="n"/>
      <c r="S73" s="602" t="n"/>
      <c r="T73" s="602" t="n"/>
      <c r="U73" s="602" t="n"/>
      <c r="V73" s="602" t="n"/>
      <c r="W73" s="602" t="n"/>
      <c r="X73" s="602" t="n"/>
      <c r="Y73" s="602" t="n"/>
      <c r="Z73" s="602" t="n"/>
      <c r="AA73" s="602" t="n"/>
      <c r="AB73" s="454" t="n"/>
      <c r="AC73" s="454" t="n"/>
      <c r="AD73" s="594" t="n"/>
    </row>
    <row r="74" ht="14.5" customHeight="1">
      <c r="C74" s="513">
        <f t="array" ref="C74">_xll.FDS($F74,"FG_COMPANY_NAME")</f>
        <v/>
      </c>
      <c r="D74" s="514" t="n"/>
      <c r="E74" s="514" t="n"/>
      <c r="F74" s="603">
        <f>E9</f>
        <v/>
      </c>
      <c r="G74" s="915" t="inlineStr">
        <is>
          <t>NA</t>
        </is>
      </c>
      <c r="H74" s="916">
        <f t="array" ref="H74">_xll.FDS(F74,"FG_EBIT_OPER_INT_COVER(10/16/2026,10/16/2026)")</f>
        <v/>
      </c>
      <c r="I74" s="517">
        <f t="array" ref="I74">_xll.FDS(F74,"P_BETA_PR(10/16/2026,10/16/2026,,""5Y"")")</f>
        <v/>
      </c>
      <c r="J74" s="602">
        <f t="array" ref="J74">_xll.FDS(F74,"FF_DEBT_EQ(ANN_R,10/16/2026,10/16/2026)")</f>
        <v/>
      </c>
      <c r="K74" s="602" t="n"/>
      <c r="L74" s="602" t="n"/>
      <c r="M74" s="602" t="n"/>
      <c r="N74" s="602" t="n"/>
      <c r="O74" s="602" t="n"/>
      <c r="P74" s="602" t="n"/>
      <c r="Q74" s="602" t="n"/>
      <c r="R74" s="602" t="n"/>
      <c r="S74" s="602" t="n"/>
      <c r="T74" s="602" t="n"/>
      <c r="U74" s="602" t="n"/>
      <c r="V74" s="602" t="n"/>
      <c r="W74" s="602" t="n"/>
      <c r="X74" s="602" t="n"/>
      <c r="Y74" s="602" t="n"/>
      <c r="Z74" s="602" t="n"/>
      <c r="AA74" s="602" t="n"/>
      <c r="AB74" s="454" t="n"/>
      <c r="AC74" s="454" t="n"/>
      <c r="AD74" s="594" t="n"/>
    </row>
    <row r="75" ht="14.5" customHeight="1">
      <c r="C75" s="513">
        <f t="array" ref="C75">_xll.FDS($F75,"FG_COMPANY_NAME")</f>
        <v/>
      </c>
      <c r="D75" s="514" t="n"/>
      <c r="E75" s="514" t="n"/>
      <c r="F75" s="603">
        <f>E10</f>
        <v/>
      </c>
      <c r="G75" s="915" t="inlineStr">
        <is>
          <t>NA</t>
        </is>
      </c>
      <c r="H75" s="916">
        <f t="array" ref="H75">_xll.FDS(F75,"FG_EBIT_OPER_INT_COVER(10/16/2026,10/16/2026)")</f>
        <v/>
      </c>
      <c r="I75" s="517">
        <f t="array" ref="I75">_xll.FDS(F75,"P_BETA_PR(10/16/2026,10/16/2026,,""5Y"")")</f>
        <v/>
      </c>
      <c r="J75" s="602">
        <f t="array" ref="J75">_xll.FDS(F75,"FF_DEBT_EQ(ANN_R,10/16/2026,10/16/2026)")</f>
        <v/>
      </c>
      <c r="K75" s="602" t="n"/>
      <c r="L75" s="602" t="n"/>
      <c r="M75" s="602" t="n"/>
      <c r="N75" s="602" t="n"/>
      <c r="O75" s="602" t="n"/>
      <c r="P75" s="602" t="n"/>
      <c r="Q75" s="602" t="n"/>
      <c r="R75" s="602" t="n"/>
      <c r="S75" s="602" t="n"/>
      <c r="T75" s="602" t="n"/>
      <c r="U75" s="602" t="n"/>
      <c r="V75" s="602" t="n"/>
      <c r="W75" s="602" t="n"/>
      <c r="X75" s="602" t="n"/>
      <c r="Y75" s="602" t="n"/>
      <c r="Z75" s="602" t="n"/>
      <c r="AA75" s="602" t="n"/>
      <c r="AB75" s="454" t="n"/>
      <c r="AC75" s="454" t="n"/>
      <c r="AD75" s="594" t="n"/>
    </row>
    <row r="76" ht="14.5" customHeight="1">
      <c r="C76" s="513">
        <f t="array" ref="C76">_xll.FDS($F76,"FG_COMPANY_NAME")</f>
        <v/>
      </c>
      <c r="D76" s="514" t="n"/>
      <c r="E76" s="514" t="n"/>
      <c r="F76" s="603">
        <f>E11</f>
        <v/>
      </c>
      <c r="G76" s="915" t="inlineStr">
        <is>
          <t>NA</t>
        </is>
      </c>
      <c r="H76" s="916">
        <f t="array" ref="H76">_xll.FDS(F76,"FG_EBIT_OPER_INT_COVER(10/16/2026,10/16/2026)")</f>
        <v/>
      </c>
      <c r="I76" s="517">
        <f t="array" ref="I76">_xll.FDS(F76,"P_BETA_PR(10/16/2026,10/16/2026,,""5Y"")")</f>
        <v/>
      </c>
      <c r="J76" s="602">
        <f t="array" ref="J76">_xll.FDS(F76,"FF_DEBT_EQ(ANN_R,10/16/2026,10/16/2026)")</f>
        <v/>
      </c>
      <c r="K76" s="602" t="n"/>
      <c r="L76" s="602" t="n"/>
      <c r="M76" s="602" t="n"/>
      <c r="N76" s="602" t="n"/>
      <c r="O76" s="602" t="n"/>
      <c r="P76" s="602" t="n"/>
      <c r="Q76" s="602" t="n"/>
      <c r="R76" s="602" t="n"/>
      <c r="S76" s="602" t="n"/>
      <c r="T76" s="602" t="n"/>
      <c r="U76" s="602" t="n"/>
      <c r="V76" s="602" t="n"/>
      <c r="W76" s="602" t="n"/>
      <c r="X76" s="602" t="n"/>
      <c r="Y76" s="602" t="n"/>
      <c r="Z76" s="602" t="n"/>
      <c r="AA76" s="602" t="n"/>
      <c r="AB76" s="454" t="n"/>
      <c r="AC76" s="454" t="n"/>
      <c r="AD76" s="594" t="n"/>
    </row>
    <row r="77" ht="14.5" customHeight="1">
      <c r="C77" s="513">
        <f t="array" ref="C77">_xll.FDS($F77,"FG_COMPANY_NAME")</f>
        <v/>
      </c>
      <c r="D77" s="514" t="n"/>
      <c r="E77" s="514" t="n"/>
      <c r="F77" s="603">
        <f>E12</f>
        <v/>
      </c>
      <c r="G77" s="915" t="inlineStr">
        <is>
          <t>NA</t>
        </is>
      </c>
      <c r="H77" s="916">
        <f t="array" ref="H77">_xll.FDS(F77,"FG_EBIT_OPER_INT_COVER(10/16/2026,10/16/2026)")</f>
        <v/>
      </c>
      <c r="I77" s="517">
        <f t="array" ref="I77">_xll.FDS(F77,"P_BETA_PR(10/16/2026,10/16/2026,,""5Y"")")</f>
        <v/>
      </c>
      <c r="J77" s="602">
        <f t="array" ref="J77">_xll.FDS(F77,"FF_DEBT_EQ(ANN_R,10/16/2026,10/16/2026)")</f>
        <v/>
      </c>
      <c r="K77" s="602" t="n"/>
      <c r="L77" s="602" t="n"/>
      <c r="M77" s="602" t="n"/>
      <c r="N77" s="602" t="n"/>
      <c r="O77" s="602" t="n"/>
      <c r="P77" s="602" t="n"/>
      <c r="Q77" s="602" t="n"/>
      <c r="R77" s="602" t="n"/>
      <c r="S77" s="602" t="n"/>
      <c r="T77" s="602" t="n"/>
      <c r="U77" s="602" t="n"/>
      <c r="V77" s="602" t="n"/>
      <c r="W77" s="602" t="n"/>
      <c r="X77" s="602" t="n"/>
      <c r="Y77" s="602" t="n"/>
      <c r="Z77" s="602" t="n"/>
      <c r="AA77" s="602" t="n"/>
      <c r="AB77" s="454" t="n"/>
      <c r="AC77" s="454" t="n"/>
      <c r="AD77" s="594" t="n"/>
    </row>
    <row r="78" ht="14.5" customHeight="1">
      <c r="C78" s="513">
        <f t="array" ref="C78">_xll.FDS($F78,"FG_COMPANY_NAME")</f>
        <v/>
      </c>
      <c r="D78" s="514" t="n"/>
      <c r="E78" s="514" t="n"/>
      <c r="F78" s="603">
        <f>E13</f>
        <v/>
      </c>
      <c r="G78" s="915" t="inlineStr">
        <is>
          <t>NA</t>
        </is>
      </c>
      <c r="H78" s="916">
        <f t="array" ref="H78">_xll.FDS(F78,"FG_EBIT_OPER_INT_COVER(10/16/2026,10/16/2026)")</f>
        <v/>
      </c>
      <c r="I78" s="517">
        <f t="array" ref="I78">_xll.FDS(F78,"P_BETA_PR(10/16/2026,10/16/2026,,""5Y"")")</f>
        <v/>
      </c>
      <c r="J78" s="602">
        <f t="array" ref="J78">_xll.FDS(F78,"FF_DEBT_EQ(ANN_R,10/16/2026,10/16/2026)")</f>
        <v/>
      </c>
      <c r="K78" s="602" t="n"/>
      <c r="L78" s="602" t="n"/>
      <c r="M78" s="602" t="n"/>
      <c r="N78" s="602" t="n"/>
      <c r="O78" s="602" t="n"/>
      <c r="P78" s="602" t="n"/>
      <c r="Q78" s="602" t="n"/>
      <c r="R78" s="602" t="n"/>
      <c r="S78" s="602" t="n"/>
      <c r="T78" s="602" t="n"/>
      <c r="U78" s="602" t="n"/>
      <c r="V78" s="602" t="n"/>
      <c r="W78" s="602" t="n"/>
      <c r="X78" s="602" t="n"/>
      <c r="Y78" s="602" t="n"/>
      <c r="Z78" s="602" t="n"/>
      <c r="AA78" s="602" t="n"/>
      <c r="AB78" s="454" t="n"/>
      <c r="AC78" s="454" t="n"/>
      <c r="AD78" s="594" t="n"/>
    </row>
    <row r="79" ht="14.5" customHeight="1">
      <c r="C79" s="513">
        <f t="array" ref="C79">_xll.FDS($F79,"FG_COMPANY_NAME")</f>
        <v/>
      </c>
      <c r="D79" s="514" t="n"/>
      <c r="E79" s="514" t="n"/>
      <c r="F79" s="603">
        <f>E14</f>
        <v/>
      </c>
      <c r="G79" s="915" t="inlineStr">
        <is>
          <t>NA</t>
        </is>
      </c>
      <c r="H79" s="916">
        <f t="array" ref="H79">_xll.FDS(F79,"FG_EBIT_OPER_INT_COVER(10/16/2026,10/16/2026)")</f>
        <v/>
      </c>
      <c r="I79" s="517">
        <f t="array" ref="I79">_xll.FDS(F79,"P_BETA_PR(10/16/2026,10/16/2026,,""5Y"")")</f>
        <v/>
      </c>
      <c r="J79" s="602">
        <f t="array" ref="J79">_xll.FDS(F79,"FF_DEBT_EQ(ANN_R,10/16/2026,10/16/2026)")</f>
        <v/>
      </c>
      <c r="K79" s="602" t="n"/>
      <c r="L79" s="602" t="n"/>
      <c r="M79" s="602" t="n"/>
      <c r="N79" s="602" t="n"/>
      <c r="O79" s="602" t="n"/>
      <c r="P79" s="602" t="n"/>
      <c r="Q79" s="602" t="n"/>
      <c r="R79" s="602" t="n"/>
      <c r="S79" s="602" t="n"/>
      <c r="T79" s="602" t="n"/>
      <c r="U79" s="602" t="n"/>
      <c r="V79" s="602" t="n"/>
      <c r="W79" s="602" t="n"/>
      <c r="X79" s="602" t="n"/>
      <c r="Y79" s="602" t="n"/>
      <c r="Z79" s="602" t="n"/>
      <c r="AA79" s="602" t="n"/>
      <c r="AB79" s="454" t="n"/>
      <c r="AC79" s="454" t="n"/>
      <c r="AD79" s="594" t="n"/>
    </row>
    <row r="80" ht="14.5" customHeight="1">
      <c r="C80" s="513">
        <f t="array" ref="C80">_xll.FDS($F80,"FG_COMPANY_NAME")</f>
        <v/>
      </c>
      <c r="D80" s="514" t="n"/>
      <c r="E80" s="514" t="n"/>
      <c r="F80" s="603">
        <f>E15</f>
        <v/>
      </c>
      <c r="G80" s="915" t="inlineStr">
        <is>
          <t>NA</t>
        </is>
      </c>
      <c r="H80" s="916">
        <f t="array" ref="H80">_xll.FDS(F80,"FG_EBIT_OPER_INT_COVER(10/16/2026,10/16/2026)")</f>
        <v/>
      </c>
      <c r="I80" s="517">
        <f t="array" ref="I80">_xll.FDS(F80,"P_BETA_PR(10/16/2026,10/16/2026,,""5Y"")")</f>
        <v/>
      </c>
      <c r="J80" s="602">
        <f t="array" ref="J80">_xll.FDS(F80,"FF_DEBT_EQ(ANN_R,10/16/2026,10/16/2026)")</f>
        <v/>
      </c>
      <c r="K80" s="602" t="n"/>
      <c r="L80" s="602" t="n"/>
      <c r="M80" s="602" t="n"/>
      <c r="N80" s="602" t="n"/>
      <c r="O80" s="602" t="n"/>
      <c r="P80" s="602" t="n"/>
      <c r="Q80" s="602" t="n"/>
      <c r="R80" s="602" t="n"/>
      <c r="S80" s="602" t="n"/>
      <c r="T80" s="602" t="n"/>
      <c r="U80" s="602" t="n"/>
      <c r="V80" s="602" t="n"/>
      <c r="W80" s="602" t="n"/>
      <c r="X80" s="602" t="n"/>
      <c r="Y80" s="602" t="n"/>
      <c r="Z80" s="602" t="n"/>
      <c r="AA80" s="602" t="n"/>
      <c r="AB80" s="454" t="n"/>
      <c r="AC80" s="454" t="n"/>
      <c r="AD80" s="594" t="n"/>
    </row>
    <row r="81" ht="14.5" customHeight="1">
      <c r="C81" s="513">
        <f t="array" ref="C81">_xll.FDS($F81,"FG_COMPANY_NAME")</f>
        <v/>
      </c>
      <c r="D81" s="514" t="n"/>
      <c r="E81" s="514" t="n"/>
      <c r="F81" s="603">
        <f>E16</f>
        <v/>
      </c>
      <c r="G81" s="915" t="inlineStr">
        <is>
          <t>NA</t>
        </is>
      </c>
      <c r="H81" s="916">
        <f t="array" ref="H81">_xll.FDS(F81,"FG_EBIT_OPER_INT_COVER(10/16/2026,10/16/2026)")</f>
        <v/>
      </c>
      <c r="I81" s="517">
        <f t="array" ref="I81">_xll.FDS(F81,"P_BETA_PR(10/16/2026,10/16/2026,,""5Y"")")</f>
        <v/>
      </c>
      <c r="J81" s="602">
        <f t="array" ref="J81">_xll.FDS(F81,"FF_DEBT_EQ(ANN_R,10/16/2026,10/16/2026)")</f>
        <v/>
      </c>
      <c r="K81" s="602" t="n"/>
      <c r="L81" s="602" t="n"/>
      <c r="M81" s="602" t="n"/>
      <c r="N81" s="602" t="n"/>
      <c r="O81" s="602" t="n"/>
      <c r="P81" s="602" t="n"/>
      <c r="Q81" s="602" t="n"/>
      <c r="R81" s="602" t="n"/>
      <c r="S81" s="602" t="n"/>
      <c r="T81" s="602" t="n"/>
      <c r="U81" s="602" t="n"/>
      <c r="V81" s="602" t="n"/>
      <c r="W81" s="602" t="n"/>
      <c r="X81" s="602" t="n"/>
      <c r="Y81" s="602" t="n"/>
      <c r="Z81" s="602" t="n"/>
      <c r="AA81" s="602" t="n"/>
      <c r="AB81" s="454" t="n"/>
      <c r="AC81" s="454" t="n"/>
      <c r="AD81" s="594" t="n"/>
    </row>
    <row r="82" ht="14.5" customHeight="1">
      <c r="C82" s="513">
        <f t="array" ref="C82">_xll.FDS($F82,"FG_COMPANY_NAME")</f>
        <v/>
      </c>
      <c r="D82" s="514" t="n"/>
      <c r="E82" s="514" t="n"/>
      <c r="F82" s="603">
        <f>E17</f>
        <v/>
      </c>
      <c r="G82" s="915" t="inlineStr">
        <is>
          <t>NA</t>
        </is>
      </c>
      <c r="H82" s="916">
        <f t="array" ref="H82">_xll.FDS(F82,"FG_EBIT_OPER_INT_COVER(10/16/2026,10/16/2026)")</f>
        <v/>
      </c>
      <c r="I82" s="517">
        <f t="array" ref="I82">_xll.FDS(F82,"P_BETA_PR(10/16/2026,10/16/2026,,""5Y"")")</f>
        <v/>
      </c>
      <c r="J82" s="602">
        <f t="array" ref="J82">_xll.FDS(F82,"FF_DEBT_EQ(ANN_R,10/16/2026,10/16/2026)")</f>
        <v/>
      </c>
      <c r="K82" s="602" t="n"/>
      <c r="L82" s="602" t="n"/>
      <c r="M82" s="602" t="n"/>
      <c r="N82" s="602" t="n"/>
      <c r="O82" s="602" t="n"/>
      <c r="P82" s="602" t="n"/>
      <c r="Q82" s="602" t="n"/>
      <c r="R82" s="602" t="n"/>
      <c r="S82" s="602" t="n"/>
      <c r="T82" s="602" t="n"/>
      <c r="U82" s="602" t="n"/>
      <c r="V82" s="602" t="n"/>
      <c r="W82" s="602" t="n"/>
      <c r="X82" s="602" t="n"/>
      <c r="Y82" s="602" t="n"/>
      <c r="Z82" s="602" t="n"/>
      <c r="AA82" s="602" t="n"/>
      <c r="AB82" s="454" t="n"/>
      <c r="AC82" s="454" t="n"/>
      <c r="AD82" s="594" t="n"/>
    </row>
    <row r="83" ht="14.5" customHeight="1">
      <c r="C83" s="513">
        <f t="array" ref="C83">_xll.FDS($F83,"FG_COMPANY_NAME")</f>
        <v/>
      </c>
      <c r="D83" s="514" t="n"/>
      <c r="E83" s="514" t="n"/>
      <c r="F83" s="603">
        <f>E18</f>
        <v/>
      </c>
      <c r="G83" s="915" t="inlineStr">
        <is>
          <t>NA</t>
        </is>
      </c>
      <c r="H83" s="916">
        <f t="array" ref="H83">_xll.FDS(F83,"FG_EBIT_OPER_INT_COVER(10/16/2026,10/16/2026)")</f>
        <v/>
      </c>
      <c r="I83" s="517">
        <f t="array" ref="I83">_xll.FDS(F83,"P_BETA_PR(10/16/2026,10/16/2026,,""5Y"")")</f>
        <v/>
      </c>
      <c r="J83" s="602">
        <f t="array" ref="J83">_xll.FDS(F83,"FF_DEBT_EQ(ANN_R,10/16/2026,10/16/2026)")</f>
        <v/>
      </c>
      <c r="K83" s="602" t="n"/>
      <c r="L83" s="602" t="n"/>
      <c r="M83" s="602" t="n"/>
      <c r="N83" s="602" t="n"/>
      <c r="O83" s="602" t="n"/>
      <c r="P83" s="602" t="n"/>
      <c r="Q83" s="602" t="n"/>
      <c r="R83" s="602" t="n"/>
      <c r="S83" s="602" t="n"/>
      <c r="T83" s="602" t="n"/>
      <c r="U83" s="602" t="n"/>
      <c r="V83" s="602" t="n"/>
      <c r="W83" s="602" t="n"/>
      <c r="X83" s="602" t="n"/>
      <c r="Y83" s="602" t="n"/>
      <c r="Z83" s="602" t="n"/>
      <c r="AA83" s="602" t="n"/>
      <c r="AB83" s="454" t="n"/>
      <c r="AC83" s="454" t="n"/>
      <c r="AD83" s="594" t="n"/>
    </row>
    <row r="84" ht="14.5" customHeight="1">
      <c r="C84" s="604" t="n"/>
      <c r="D84" s="604" t="n"/>
      <c r="E84" s="604" t="n"/>
      <c r="F84" s="605" t="n"/>
      <c r="G84" s="917" t="n"/>
      <c r="H84" s="607" t="n"/>
      <c r="I84" s="608" t="n"/>
      <c r="J84" s="608" t="n"/>
      <c r="K84" s="609" t="n"/>
      <c r="L84" s="609" t="n"/>
      <c r="M84" s="609" t="n"/>
      <c r="N84" s="609" t="n"/>
      <c r="O84" s="609" t="n"/>
      <c r="P84" s="609" t="n"/>
      <c r="Q84" s="609" t="n"/>
      <c r="R84" s="609" t="n"/>
      <c r="S84" s="609" t="n"/>
      <c r="T84" s="609" t="n"/>
      <c r="U84" s="609" t="n"/>
      <c r="V84" s="609" t="n"/>
      <c r="W84" s="609" t="n"/>
      <c r="X84" s="609" t="n"/>
      <c r="Y84" s="609" t="n"/>
      <c r="Z84" s="609" t="n"/>
      <c r="AA84" s="609" t="n"/>
      <c r="AB84" s="454" t="n"/>
      <c r="AC84" s="454" t="n"/>
      <c r="AD84" s="594" t="n"/>
    </row>
    <row r="85" ht="14.5" customHeight="1">
      <c r="C85" s="604">
        <f t="array" ref="C85">_xll.FDS($F85,"FG_COMPANY_NAME")</f>
        <v/>
      </c>
      <c r="D85" s="547" t="n"/>
      <c r="E85" s="547" t="n"/>
      <c r="F85" s="610">
        <f>E20</f>
        <v/>
      </c>
      <c r="G85" s="918" t="inlineStr">
        <is>
          <t>CCC+</t>
        </is>
      </c>
      <c r="H85" s="919">
        <f t="array" ref="H85">_xll.FDS(F85,"FG_EBIT_OPER_INT_COVER(10/16/2026,10/16/2026)")</f>
        <v/>
      </c>
      <c r="I85" s="532">
        <f t="array" ref="I85">_xll.FDS(F85,"P_BETA_PR(10/16/2026,10/16/2026,,""5Y"")")</f>
        <v/>
      </c>
      <c r="J85" s="613">
        <f t="array" ref="J85">_xll.FDS(F85,"FF_DEBT_EQ(ANN_R,10/16/2026,10/16/2026)")</f>
        <v/>
      </c>
      <c r="K85" s="614" t="n"/>
      <c r="L85" s="614" t="n"/>
      <c r="M85" s="614" t="n"/>
      <c r="N85" s="614" t="n"/>
      <c r="O85" s="614" t="n"/>
      <c r="P85" s="614" t="n"/>
      <c r="Q85" s="614" t="n"/>
      <c r="R85" s="614" t="n"/>
      <c r="S85" s="614" t="n"/>
      <c r="T85" s="614" t="n"/>
      <c r="U85" s="614" t="n"/>
      <c r="V85" s="614" t="n"/>
      <c r="W85" s="614" t="n"/>
      <c r="X85" s="614" t="n"/>
      <c r="Y85" s="614" t="n"/>
      <c r="Z85" s="614" t="n"/>
      <c r="AA85" s="614" t="n"/>
      <c r="AB85" s="454" t="n"/>
      <c r="AC85" s="454" t="n"/>
      <c r="AD85" s="594" t="n"/>
    </row>
    <row r="86" ht="14.5" customHeight="1">
      <c r="C86" s="514" t="n"/>
      <c r="D86" s="514" t="n"/>
      <c r="E86" s="514" t="n"/>
      <c r="F86" s="514" t="n"/>
      <c r="G86" s="514" t="n"/>
      <c r="H86" s="514" t="n"/>
      <c r="I86" s="514" t="n"/>
      <c r="J86" s="615" t="n"/>
      <c r="K86" s="615" t="n"/>
      <c r="L86" s="615" t="n"/>
      <c r="M86" s="615" t="n"/>
      <c r="N86" s="615" t="n"/>
      <c r="O86" s="615" t="n"/>
      <c r="P86" s="615" t="n"/>
      <c r="Q86" s="615" t="n"/>
      <c r="R86" s="615" t="n"/>
      <c r="S86" s="615" t="n"/>
      <c r="T86" s="615" t="n"/>
      <c r="U86" s="615" t="n"/>
      <c r="V86" s="615" t="n"/>
      <c r="W86" s="615" t="n"/>
      <c r="X86" s="615" t="n"/>
      <c r="Y86" s="615" t="n"/>
      <c r="Z86" s="615" t="n"/>
      <c r="AA86" s="615" t="n"/>
      <c r="AB86" s="454" t="n"/>
      <c r="AC86" s="454" t="n"/>
      <c r="AD86" s="594" t="n"/>
    </row>
    <row r="87" ht="14.5" customHeight="1">
      <c r="C87" s="559" t="inlineStr">
        <is>
          <t>Min</t>
        </is>
      </c>
      <c r="D87" s="561" t="n"/>
      <c r="E87" s="561" t="n"/>
      <c r="F87" s="560" t="n"/>
      <c r="G87" s="616" t="n"/>
      <c r="H87" s="866">
        <f>IF(COUNT(H72:H83)=0,"NM",_xlfn.AGGREGATE(5,6,H72:H83))</f>
        <v/>
      </c>
      <c r="I87" s="905">
        <f>IF(COUNT(I72:I83)=0,"NM",_xlfn.AGGREGATE(5,6,I72:I83))</f>
        <v/>
      </c>
      <c r="J87" s="920">
        <f>IF(COUNT(J72:J83)=0,"NM",_xlfn.AGGREGATE(5,6,J72:J83))</f>
        <v/>
      </c>
      <c r="K87" s="619" t="n"/>
      <c r="L87" s="619" t="n"/>
      <c r="M87" s="619" t="n"/>
      <c r="N87" s="619" t="n"/>
      <c r="O87" s="619" t="n"/>
      <c r="P87" s="619" t="n"/>
      <c r="Q87" s="619" t="n"/>
      <c r="R87" s="619" t="n"/>
      <c r="S87" s="619" t="n"/>
      <c r="T87" s="619" t="n"/>
      <c r="U87" s="619" t="n"/>
      <c r="V87" s="619" t="n"/>
      <c r="W87" s="619" t="n"/>
      <c r="X87" s="619" t="n"/>
      <c r="Y87" s="619" t="n"/>
      <c r="Z87" s="619" t="n"/>
      <c r="AA87" s="619" t="n"/>
      <c r="AB87" s="454" t="n"/>
      <c r="AC87" s="454" t="n"/>
      <c r="AD87" s="594" t="n"/>
    </row>
    <row r="88" ht="14.5" customHeight="1">
      <c r="C88" s="538" t="inlineStr">
        <is>
          <t>Q1</t>
        </is>
      </c>
      <c r="D88" s="514" t="n"/>
      <c r="E88" s="514" t="n"/>
      <c r="F88" s="540" t="n"/>
      <c r="G88" s="620" t="n"/>
      <c r="H88" s="867">
        <f>IF(COUNT(H72:H83)=0,"NM",_xlfn.AGGREGATE(17,6,H72:H83,1))</f>
        <v/>
      </c>
      <c r="I88" s="890">
        <f>IF(COUNT(I72:I83)=0,"NM",_xlfn.AGGREGATE(17,6,I72:I83,1))</f>
        <v/>
      </c>
      <c r="J88" s="921">
        <f>IF(COUNT(J72:J83)=0,"NM",_xlfn.AGGREGATE(17,6,J72:J83,1))</f>
        <v/>
      </c>
      <c r="K88" s="619" t="n"/>
      <c r="L88" s="619" t="n"/>
      <c r="M88" s="619" t="n"/>
      <c r="N88" s="619" t="n"/>
      <c r="O88" s="619" t="n"/>
      <c r="P88" s="619" t="n"/>
      <c r="Q88" s="619" t="n"/>
      <c r="R88" s="619" t="n"/>
      <c r="S88" s="619" t="n"/>
      <c r="T88" s="619" t="n"/>
      <c r="U88" s="619" t="n"/>
      <c r="V88" s="619" t="n"/>
      <c r="W88" s="619" t="n"/>
      <c r="X88" s="619" t="n"/>
      <c r="Y88" s="619" t="n"/>
      <c r="Z88" s="619" t="n"/>
      <c r="AA88" s="619" t="n"/>
      <c r="AB88" s="454" t="n"/>
      <c r="AC88" s="454" t="n"/>
      <c r="AD88" s="594" t="n"/>
    </row>
    <row r="89" ht="14.5" customHeight="1">
      <c r="C89" s="538" t="inlineStr">
        <is>
          <t>Median</t>
        </is>
      </c>
      <c r="D89" s="514" t="n"/>
      <c r="E89" s="514" t="n"/>
      <c r="F89" s="540" t="n"/>
      <c r="G89" s="620" t="n"/>
      <c r="H89" s="867">
        <f>IF(COUNT(H72:H83)=0,"NM",_xlfn.AGGREGATE(12,6,H72:H83))</f>
        <v/>
      </c>
      <c r="I89" s="890">
        <f>IF(COUNT(I72:I83)=0,"NM",_xlfn.AGGREGATE(12,6,I72:I83))</f>
        <v/>
      </c>
      <c r="J89" s="921">
        <f>IF(COUNT(J72:J83)=0,"NM",_xlfn.AGGREGATE(12,6,J72:J83))</f>
        <v/>
      </c>
      <c r="K89" s="619" t="n"/>
      <c r="L89" s="619" t="n"/>
      <c r="M89" s="619" t="n"/>
      <c r="N89" s="619" t="n"/>
      <c r="O89" s="619" t="n"/>
      <c r="P89" s="619" t="n"/>
      <c r="Q89" s="619" t="n"/>
      <c r="R89" s="619" t="n"/>
      <c r="S89" s="619" t="n"/>
      <c r="T89" s="619" t="n"/>
      <c r="U89" s="619" t="n"/>
      <c r="V89" s="619" t="n"/>
      <c r="W89" s="619" t="n"/>
      <c r="X89" s="619" t="n"/>
      <c r="Y89" s="619" t="n"/>
      <c r="Z89" s="619" t="n"/>
      <c r="AA89" s="619" t="n"/>
      <c r="AB89" s="454" t="n"/>
      <c r="AC89" s="454" t="n"/>
      <c r="AD89" s="594" t="n"/>
    </row>
    <row r="90" ht="14.5" customHeight="1">
      <c r="C90" s="538" t="inlineStr">
        <is>
          <t>Mean</t>
        </is>
      </c>
      <c r="D90" s="514" t="n"/>
      <c r="E90" s="514" t="n"/>
      <c r="F90" s="540" t="n"/>
      <c r="G90" s="620" t="n"/>
      <c r="H90" s="867">
        <f>IF(COUNT(H72:H83)=0,"NM",_xlfn.AGGREGATE(1,6,H72:H83))</f>
        <v/>
      </c>
      <c r="I90" s="890">
        <f>IF(COUNT(I72:I83)=0,"NM",_xlfn.AGGREGATE(1,6,I72:I83))</f>
        <v/>
      </c>
      <c r="J90" s="922">
        <f>IF(COUNT(J72:J83)=0,"NM",_xlfn.AGGREGATE(1,6,J72:J83))</f>
        <v/>
      </c>
      <c r="K90" s="623" t="n"/>
      <c r="L90" s="623" t="n"/>
      <c r="M90" s="623" t="n"/>
      <c r="N90" s="623" t="n"/>
      <c r="O90" s="623" t="n"/>
      <c r="P90" s="623" t="n"/>
      <c r="Q90" s="623" t="n"/>
      <c r="R90" s="623" t="n"/>
      <c r="S90" s="623" t="n"/>
      <c r="T90" s="623" t="n"/>
      <c r="U90" s="623" t="n"/>
      <c r="V90" s="623" t="n"/>
      <c r="W90" s="623" t="n"/>
      <c r="X90" s="623" t="n"/>
      <c r="Y90" s="623" t="n"/>
      <c r="Z90" s="623" t="n"/>
      <c r="AA90" s="623" t="n"/>
      <c r="AB90" s="454" t="n"/>
      <c r="AC90" s="454" t="n"/>
      <c r="AD90" s="594" t="n"/>
    </row>
    <row r="91" ht="14.5" customHeight="1">
      <c r="C91" s="538" t="inlineStr">
        <is>
          <t>Q3</t>
        </is>
      </c>
      <c r="D91" s="514" t="n"/>
      <c r="E91" s="514" t="n"/>
      <c r="F91" s="540" t="n"/>
      <c r="G91" s="620" t="n"/>
      <c r="H91" s="867">
        <f>IF(COUNT(H72:H83)=0,"NM",_xlfn.AGGREGATE(17,6,H72:H83,3))</f>
        <v/>
      </c>
      <c r="I91" s="890">
        <f>IF(COUNT(I72:I83)=0,"NM",_xlfn.AGGREGATE(17,6,I72:I83,3))</f>
        <v/>
      </c>
      <c r="J91" s="922">
        <f>IF(COUNT(J72:J83)=0,"NM",_xlfn.AGGREGATE(17,6,J72:J83,3))</f>
        <v/>
      </c>
      <c r="K91" s="623" t="n"/>
      <c r="L91" s="623" t="n"/>
      <c r="M91" s="623" t="n"/>
      <c r="N91" s="623" t="n"/>
      <c r="O91" s="623" t="n"/>
      <c r="P91" s="623" t="n"/>
      <c r="Q91" s="623" t="n"/>
      <c r="R91" s="623" t="n"/>
      <c r="S91" s="623" t="n"/>
      <c r="T91" s="623" t="n"/>
      <c r="U91" s="623" t="n"/>
      <c r="V91" s="623" t="n"/>
      <c r="W91" s="623" t="n"/>
      <c r="X91" s="623" t="n"/>
      <c r="Y91" s="623" t="n"/>
      <c r="Z91" s="623" t="n"/>
      <c r="AA91" s="623" t="n"/>
      <c r="AB91" s="514" t="n"/>
      <c r="AC91" s="514" t="n"/>
      <c r="AD91" s="514" t="n"/>
    </row>
    <row r="92" ht="14.5" customHeight="1">
      <c r="A92" s="450" t="inlineStr">
        <is>
          <t>x</t>
        </is>
      </c>
      <c r="B92" s="450" t="inlineStr">
        <is>
          <t>x</t>
        </is>
      </c>
      <c r="C92" s="539" t="inlineStr">
        <is>
          <t>Max</t>
        </is>
      </c>
      <c r="D92" s="530" t="n"/>
      <c r="E92" s="530" t="n"/>
      <c r="F92" s="564" t="n"/>
      <c r="G92" s="624" t="n"/>
      <c r="H92" s="868">
        <f>IF(COUNT(H72:H83)=0,"NM",_xlfn.AGGREGATE(4,6,H72:H83))</f>
        <v/>
      </c>
      <c r="I92" s="894">
        <f>IF(COUNT(I72:I83)=0,"NM",_xlfn.AGGREGATE(4,6,I72:I83))</f>
        <v/>
      </c>
      <c r="J92" s="923">
        <f>IF(COUNT(J72:J83)=0,"NM",_xlfn.AGGREGATE(4,6,J72:J83))</f>
        <v/>
      </c>
      <c r="K92" s="623" t="n"/>
      <c r="L92" s="623" t="n"/>
      <c r="M92" s="623" t="n"/>
      <c r="N92" s="623" t="n"/>
      <c r="O92" s="623" t="n"/>
      <c r="P92" s="623" t="n"/>
      <c r="Q92" s="623" t="n"/>
      <c r="R92" s="623" t="n"/>
      <c r="S92" s="623" t="n"/>
      <c r="T92" s="623" t="n"/>
      <c r="U92" s="623" t="n"/>
      <c r="V92" s="623" t="n"/>
      <c r="W92" s="623" t="n"/>
      <c r="X92" s="623" t="n"/>
      <c r="Y92" s="623" t="n"/>
      <c r="Z92" s="623" t="n"/>
      <c r="AA92" s="623" t="n"/>
      <c r="AB92" s="514" t="n"/>
      <c r="AC92" s="514" t="n"/>
      <c r="AD92" s="514" t="n"/>
    </row>
    <row r="93" ht="14.5" customHeight="1">
      <c r="A93" s="450" t="inlineStr">
        <is>
          <t>End</t>
        </is>
      </c>
    </row>
  </sheetData>
  <dataValidations count="1">
    <dataValidation sqref="V21" showDropDown="0" showInputMessage="1" showErrorMessage="1" allowBlank="1" type="list">
      <formula1>$C$14:$C$19</formula1>
    </dataValidation>
  </dataValidations>
  <hyperlinks>
    <hyperlink ref="B1" location="'Cover Page'!A1" display="'Cover Page'!A1"/>
  </hyperlinks>
  <pageMargins left="0.7" right="0.7" top="0.75" bottom="0.75" header="0.3" footer="0.3"/>
  <pageSetup orientation="portrait" scale="3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M106"/>
  <sheetViews>
    <sheetView showGridLines="0" tabSelected="0" workbookViewId="0">
      <selection activeCell="A1" sqref="A1"/>
    </sheetView>
  </sheetViews>
  <sheetFormatPr baseColWidth="8" defaultRowHeight="15"/>
  <cols>
    <col width="1.73" customWidth="1" min="1" max="1"/>
    <col width="1.73" customWidth="1" min="2" max="2"/>
    <col width="52"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73" customWidth="1" min="14" max="14"/>
  </cols>
  <sheetData>
    <row r="1" ht="12.75" customHeight="1">
      <c r="A1" s="924">
        <f>C3</f>
        <v/>
      </c>
      <c r="B1" s="925">
        <f>'Cover Page'!A1</f>
        <v/>
      </c>
    </row>
    <row r="2" ht="12.75" customHeight="1"/>
    <row r="3" ht="14.25" customHeight="1">
      <c r="C3" s="926" t="inlineStr">
        <is>
          <t>$XRX, Revenue Build</t>
        </is>
      </c>
      <c r="D3" s="927" t="n"/>
      <c r="E3" s="927" t="n"/>
      <c r="F3" s="927" t="n"/>
      <c r="G3" s="927" t="n"/>
      <c r="H3" s="927" t="n"/>
      <c r="I3" s="927" t="n"/>
      <c r="J3" s="927" t="n"/>
      <c r="K3" s="927" t="n"/>
      <c r="L3" s="927" t="n"/>
      <c r="M3" s="928" t="inlineStr">
        <is>
          <t>Xerox Holdings Corporation</t>
        </is>
      </c>
    </row>
    <row r="4" ht="12.75" customHeight="1">
      <c r="C4" s="929" t="inlineStr">
        <is>
          <t>All values in $ millions (USD)</t>
        </is>
      </c>
    </row>
    <row r="6">
      <c r="C6" s="930" t="inlineStr">
        <is>
          <t>Active Case (select on Cover Page)</t>
        </is>
      </c>
      <c r="D6" s="931">
        <f>'Cover Page'!$F$31</f>
        <v/>
      </c>
      <c r="E6" s="932">
        <f>IF(D6="Bear",1,IF(D6="Bull",3,2))</f>
        <v/>
      </c>
    </row>
    <row r="8" ht="12.75" customHeight="1">
      <c r="A8" s="933" t="inlineStr">
        <is>
          <t>x</t>
        </is>
      </c>
      <c r="B8" s="933" t="inlineStr">
        <is>
          <t>x</t>
        </is>
      </c>
      <c r="C8" s="934" t="inlineStr">
        <is>
          <t>Revenue Build Summary</t>
        </is>
      </c>
      <c r="D8" s="935" t="inlineStr">
        <is>
          <t>Fiscal Year Ended December 31,</t>
        </is>
      </c>
      <c r="E8" s="935" t="n"/>
      <c r="F8" s="935" t="n"/>
      <c r="G8" s="935" t="n"/>
      <c r="H8" s="936" t="inlineStr">
        <is>
          <t>LTM</t>
        </is>
      </c>
      <c r="I8" s="937" t="inlineStr">
        <is>
          <t>Projected</t>
        </is>
      </c>
      <c r="J8" s="937" t="n"/>
      <c r="K8" s="937" t="n"/>
      <c r="L8" s="937" t="n"/>
      <c r="M8" s="937" t="n"/>
    </row>
    <row r="9" ht="12.75" customHeight="1">
      <c r="C9" s="938" t="n"/>
      <c r="D9" s="939" t="inlineStr">
        <is>
          <t>2022A</t>
        </is>
      </c>
      <c r="E9" s="939" t="inlineStr">
        <is>
          <t>2023A</t>
        </is>
      </c>
      <c r="F9" s="939" t="inlineStr">
        <is>
          <t>2024A</t>
        </is>
      </c>
      <c r="G9" s="939" t="inlineStr">
        <is>
          <t>2025A</t>
        </is>
      </c>
      <c r="H9" s="940" t="inlineStr">
        <is>
          <t>LTM 2Q'26</t>
        </is>
      </c>
      <c r="I9" s="939" t="inlineStr">
        <is>
          <t>2026E</t>
        </is>
      </c>
      <c r="J9" s="939" t="inlineStr">
        <is>
          <t>2027E</t>
        </is>
      </c>
      <c r="K9" s="939" t="inlineStr">
        <is>
          <t>2028E</t>
        </is>
      </c>
      <c r="L9" s="939" t="inlineStr">
        <is>
          <t>2029E</t>
        </is>
      </c>
      <c r="M9" s="939" t="inlineStr">
        <is>
          <t>2030E</t>
        </is>
      </c>
    </row>
    <row r="10" ht="3" customHeight="1">
      <c r="H10" s="941" t="n"/>
    </row>
    <row r="11" ht="12.75" customHeight="1">
      <c r="C11" s="942" t="inlineStr">
        <is>
          <t>Equipment Sales (Print &amp; Other)</t>
        </is>
      </c>
      <c r="D11" s="943">
        <f>D41</f>
        <v/>
      </c>
      <c r="E11" s="943">
        <f>E41</f>
        <v/>
      </c>
      <c r="F11" s="943">
        <f>F41</f>
        <v/>
      </c>
      <c r="G11" s="943">
        <f>G41</f>
        <v/>
      </c>
      <c r="H11" s="944">
        <f>H41</f>
        <v/>
      </c>
      <c r="I11" s="943">
        <f>I41</f>
        <v/>
      </c>
      <c r="J11" s="943">
        <f>J41</f>
        <v/>
      </c>
      <c r="K11" s="943">
        <f>K41</f>
        <v/>
      </c>
      <c r="L11" s="943">
        <f>L41</f>
        <v/>
      </c>
      <c r="M11" s="943">
        <f>M41</f>
        <v/>
      </c>
    </row>
    <row r="12" ht="12.75" customHeight="1">
      <c r="C12" s="945" t="inlineStr">
        <is>
          <t>% Growth</t>
        </is>
      </c>
      <c r="E12" s="946">
        <f>E11/D11-1</f>
        <v/>
      </c>
      <c r="F12" s="946">
        <f>F11/E11-1</f>
        <v/>
      </c>
      <c r="G12" s="946">
        <f>G11/F11-1</f>
        <v/>
      </c>
      <c r="H12" s="941" t="n"/>
      <c r="I12" s="946">
        <f>I11/G11-1</f>
        <v/>
      </c>
      <c r="J12" s="946">
        <f>J11/I11-1</f>
        <v/>
      </c>
      <c r="K12" s="946">
        <f>K11/J11-1</f>
        <v/>
      </c>
      <c r="L12" s="946">
        <f>L11/K11-1</f>
        <v/>
      </c>
      <c r="M12" s="946">
        <f>M11/L11-1</f>
        <v/>
      </c>
    </row>
    <row r="13" ht="12.75" customHeight="1">
      <c r="C13" s="945" t="inlineStr">
        <is>
          <t>% of Total Revenue</t>
        </is>
      </c>
      <c r="D13" s="946">
        <f>D11/D24</f>
        <v/>
      </c>
      <c r="E13" s="946">
        <f>E11/E24</f>
        <v/>
      </c>
      <c r="F13" s="946">
        <f>F11/F24</f>
        <v/>
      </c>
      <c r="G13" s="946">
        <f>G11/G24</f>
        <v/>
      </c>
      <c r="H13" s="947">
        <f>H11/H24</f>
        <v/>
      </c>
      <c r="I13" s="946">
        <f>I11/I24</f>
        <v/>
      </c>
      <c r="J13" s="946">
        <f>J11/J24</f>
        <v/>
      </c>
      <c r="K13" s="946">
        <f>K11/K24</f>
        <v/>
      </c>
      <c r="L13" s="946">
        <f>L11/L24</f>
        <v/>
      </c>
      <c r="M13" s="946">
        <f>M11/M24</f>
        <v/>
      </c>
    </row>
    <row r="14">
      <c r="H14" s="941" t="n"/>
    </row>
    <row r="15" ht="12.75" customHeight="1">
      <c r="C15" s="942" t="inlineStr">
        <is>
          <t>Post Sale Revenue (Print &amp; Other)</t>
        </is>
      </c>
      <c r="D15" s="948">
        <f>D58</f>
        <v/>
      </c>
      <c r="E15" s="948">
        <f>E58</f>
        <v/>
      </c>
      <c r="F15" s="948">
        <f>F58</f>
        <v/>
      </c>
      <c r="G15" s="948">
        <f>G58</f>
        <v/>
      </c>
      <c r="H15" s="949">
        <f>H58</f>
        <v/>
      </c>
      <c r="I15" s="948">
        <f>I58</f>
        <v/>
      </c>
      <c r="J15" s="948">
        <f>J58</f>
        <v/>
      </c>
      <c r="K15" s="948">
        <f>K58</f>
        <v/>
      </c>
      <c r="L15" s="948">
        <f>L58</f>
        <v/>
      </c>
      <c r="M15" s="948">
        <f>M58</f>
        <v/>
      </c>
    </row>
    <row r="16" ht="12.75" customHeight="1">
      <c r="C16" s="945" t="inlineStr">
        <is>
          <t>% Growth</t>
        </is>
      </c>
      <c r="E16" s="946">
        <f>E15/D15-1</f>
        <v/>
      </c>
      <c r="F16" s="946">
        <f>(F15+F19+F23)/E15-1</f>
        <v/>
      </c>
      <c r="G16" s="946">
        <f>G15/F15-1</f>
        <v/>
      </c>
      <c r="H16" s="941" t="n"/>
      <c r="I16" s="946">
        <f>I15/G15-1</f>
        <v/>
      </c>
      <c r="J16" s="946">
        <f>J15/I15-1</f>
        <v/>
      </c>
      <c r="K16" s="946">
        <f>K15/J15-1</f>
        <v/>
      </c>
      <c r="L16" s="946">
        <f>L15/K15-1</f>
        <v/>
      </c>
      <c r="M16" s="946">
        <f>M15/L15-1</f>
        <v/>
      </c>
    </row>
    <row r="17" ht="12.75" customHeight="1">
      <c r="C17" s="945" t="inlineStr">
        <is>
          <t>% of Total Revenue</t>
        </is>
      </c>
      <c r="D17" s="946">
        <f>D15/D24</f>
        <v/>
      </c>
      <c r="E17" s="946">
        <f>E15/E24</f>
        <v/>
      </c>
      <c r="F17" s="946">
        <f>F15/F24</f>
        <v/>
      </c>
      <c r="G17" s="946">
        <f>G15/G24</f>
        <v/>
      </c>
      <c r="H17" s="947">
        <f>H15/H24</f>
        <v/>
      </c>
      <c r="I17" s="946">
        <f>I15/I24</f>
        <v/>
      </c>
      <c r="J17" s="946">
        <f>J15/J24</f>
        <v/>
      </c>
      <c r="K17" s="946">
        <f>K15/K24</f>
        <v/>
      </c>
      <c r="L17" s="946">
        <f>L15/L24</f>
        <v/>
      </c>
      <c r="M17" s="946">
        <f>M15/M24</f>
        <v/>
      </c>
    </row>
    <row r="18">
      <c r="H18" s="941" t="n"/>
    </row>
    <row r="19" ht="12.75" customHeight="1">
      <c r="C19" s="942" t="inlineStr">
        <is>
          <t>IT Solutions</t>
        </is>
      </c>
      <c r="D19" s="950" t="inlineStr">
        <is>
          <t>n.a.</t>
        </is>
      </c>
      <c r="E19" s="950" t="inlineStr">
        <is>
          <t>n.a.</t>
        </is>
      </c>
      <c r="F19" s="948">
        <f>F75</f>
        <v/>
      </c>
      <c r="G19" s="948">
        <f>G75</f>
        <v/>
      </c>
      <c r="H19" s="949">
        <f>H75</f>
        <v/>
      </c>
      <c r="I19" s="948">
        <f>I75</f>
        <v/>
      </c>
      <c r="J19" s="948">
        <f>J75</f>
        <v/>
      </c>
      <c r="K19" s="948">
        <f>K75</f>
        <v/>
      </c>
      <c r="L19" s="948">
        <f>L75</f>
        <v/>
      </c>
      <c r="M19" s="948">
        <f>M75</f>
        <v/>
      </c>
    </row>
    <row r="20" ht="12.75" customHeight="1">
      <c r="C20" s="945" t="inlineStr">
        <is>
          <t>% Growth</t>
        </is>
      </c>
      <c r="G20" s="946">
        <f>G19/F19-1</f>
        <v/>
      </c>
      <c r="H20" s="941" t="n"/>
      <c r="I20" s="946">
        <f>I19/G19-1</f>
        <v/>
      </c>
      <c r="J20" s="946">
        <f>J19/I19-1</f>
        <v/>
      </c>
      <c r="K20" s="946">
        <f>K19/J19-1</f>
        <v/>
      </c>
      <c r="L20" s="946">
        <f>L19/K19-1</f>
        <v/>
      </c>
      <c r="M20" s="946">
        <f>M19/L19-1</f>
        <v/>
      </c>
    </row>
    <row r="21" ht="12.75" customHeight="1">
      <c r="C21" s="945" t="inlineStr">
        <is>
          <t>% of Total Revenue</t>
        </is>
      </c>
      <c r="D21" s="951" t="inlineStr">
        <is>
          <t>n.a.</t>
        </is>
      </c>
      <c r="E21" s="951" t="inlineStr">
        <is>
          <t>n.a.</t>
        </is>
      </c>
      <c r="F21" s="946">
        <f>F19/F24</f>
        <v/>
      </c>
      <c r="G21" s="946">
        <f>G19/G24</f>
        <v/>
      </c>
      <c r="H21" s="947">
        <f>H19/H24</f>
        <v/>
      </c>
      <c r="I21" s="946">
        <f>I19/I24</f>
        <v/>
      </c>
      <c r="J21" s="946">
        <f>J19/J24</f>
        <v/>
      </c>
      <c r="K21" s="946">
        <f>K19/K24</f>
        <v/>
      </c>
      <c r="L21" s="946">
        <f>L19/L24</f>
        <v/>
      </c>
      <c r="M21" s="946">
        <f>M19/M24</f>
        <v/>
      </c>
    </row>
    <row r="22">
      <c r="H22" s="941" t="n"/>
    </row>
    <row r="23" ht="12.75" customHeight="1">
      <c r="C23" s="942" t="inlineStr">
        <is>
          <t>Intersegment Eliminations</t>
        </is>
      </c>
      <c r="D23" s="950" t="inlineStr">
        <is>
          <t>n.a.</t>
        </is>
      </c>
      <c r="E23" s="950" t="inlineStr">
        <is>
          <t>n.a.</t>
        </is>
      </c>
      <c r="F23" s="948">
        <f>F82</f>
        <v/>
      </c>
      <c r="G23" s="948">
        <f>G82</f>
        <v/>
      </c>
      <c r="H23" s="949">
        <f>H82</f>
        <v/>
      </c>
      <c r="I23" s="948">
        <f>I82</f>
        <v/>
      </c>
      <c r="J23" s="948">
        <f>J82</f>
        <v/>
      </c>
      <c r="K23" s="948">
        <f>K82</f>
        <v/>
      </c>
      <c r="L23" s="948">
        <f>L82</f>
        <v/>
      </c>
      <c r="M23" s="948">
        <f>M82</f>
        <v/>
      </c>
    </row>
    <row r="24" ht="12.75" customHeight="1">
      <c r="C24" s="952" t="inlineStr">
        <is>
          <t>Total Revenue</t>
        </is>
      </c>
      <c r="D24" s="953">
        <f>SUM(D11,D15,D19,D23)</f>
        <v/>
      </c>
      <c r="E24" s="953">
        <f>SUM(E11,E15,E19,E23)</f>
        <v/>
      </c>
      <c r="F24" s="953">
        <f>SUM(F11,F15,F19,F23)</f>
        <v/>
      </c>
      <c r="G24" s="953">
        <f>SUM(G11,G15,G19,G23)</f>
        <v/>
      </c>
      <c r="H24" s="954">
        <f>SUM(H11,H15,H19,H23)</f>
        <v/>
      </c>
      <c r="I24" s="953">
        <f>SUM(I11,I15,I19,I23)</f>
        <v/>
      </c>
      <c r="J24" s="953">
        <f>SUM(J11,J15,J19,J23)</f>
        <v/>
      </c>
      <c r="K24" s="953">
        <f>SUM(K11,K15,K19,K23)</f>
        <v/>
      </c>
      <c r="L24" s="953">
        <f>SUM(L11,L15,L19,L23)</f>
        <v/>
      </c>
      <c r="M24" s="953">
        <f>SUM(M11,M15,M19,M23)</f>
        <v/>
      </c>
    </row>
    <row r="25" ht="12.75" customHeight="1">
      <c r="C25" s="945" t="inlineStr">
        <is>
          <t>% Growth (Reported)</t>
        </is>
      </c>
      <c r="E25" s="946">
        <f>E24/D24-1</f>
        <v/>
      </c>
      <c r="F25" s="946">
        <f>F24/E24-1</f>
        <v/>
      </c>
      <c r="G25" s="946">
        <f>G24/F24-1</f>
        <v/>
      </c>
      <c r="H25" s="941" t="n"/>
      <c r="I25" s="946">
        <f>I24/G24-1</f>
        <v/>
      </c>
      <c r="J25" s="946">
        <f>J24/I24-1</f>
        <v/>
      </c>
      <c r="K25" s="946">
        <f>K24/J24-1</f>
        <v/>
      </c>
      <c r="L25" s="946">
        <f>L24/K24-1</f>
        <v/>
      </c>
      <c r="M25" s="946">
        <f>M24/L24-1</f>
        <v/>
      </c>
    </row>
    <row r="26" ht="12.75" customHeight="1">
      <c r="C26" s="955" t="inlineStr">
        <is>
          <t>Total Revenue per Income Statement</t>
        </is>
      </c>
      <c r="D26" s="956">
        <f>'Income Statement Output'!E13</f>
        <v/>
      </c>
      <c r="E26" s="956">
        <f>'Income Statement Output'!F13</f>
        <v/>
      </c>
      <c r="F26" s="956">
        <f>'Income Statement Output'!G13</f>
        <v/>
      </c>
      <c r="G26" s="956">
        <f>'Income Statement Output'!H13</f>
        <v/>
      </c>
      <c r="H26" s="957">
        <f>'Income Statement Output'!J13</f>
        <v/>
      </c>
    </row>
    <row r="27" ht="12.75" customHeight="1">
      <c r="C27" s="958" t="inlineStr">
        <is>
          <t>Check</t>
        </is>
      </c>
      <c r="D27" s="959">
        <f>D24-D26</f>
        <v/>
      </c>
      <c r="E27" s="959">
        <f>E24-E26</f>
        <v/>
      </c>
      <c r="F27" s="959">
        <f>F24-F26</f>
        <v/>
      </c>
      <c r="G27" s="959">
        <f>G24-G26</f>
        <v/>
      </c>
      <c r="H27" s="960">
        <f>H24-H26</f>
        <v/>
      </c>
    </row>
    <row r="28">
      <c r="H28" s="941" t="n"/>
    </row>
    <row r="29">
      <c r="C29" s="961" t="inlineStr">
        <is>
          <t>Memo: Pro Forma for Lexmark (acquired July 1, 2025)</t>
        </is>
      </c>
      <c r="D29" s="962" t="n"/>
      <c r="E29" s="962" t="n"/>
      <c r="F29" s="962" t="n"/>
      <c r="G29" s="962" t="n"/>
      <c r="H29" s="963" t="n"/>
      <c r="I29" s="962" t="n"/>
      <c r="J29" s="962" t="n"/>
      <c r="K29" s="962" t="n"/>
      <c r="L29" s="962" t="n"/>
      <c r="M29" s="962" t="n"/>
    </row>
    <row r="30" ht="12.75" customHeight="1">
      <c r="C30" s="964" t="inlineStr">
        <is>
          <t>(+) Lexmark Pre-Acquisition Revenue (1H'25)</t>
        </is>
      </c>
      <c r="D30" s="965" t="n"/>
      <c r="E30" s="965" t="n"/>
      <c r="F30" s="965" t="n"/>
      <c r="G30" s="966">
        <f>G42+G59</f>
        <v/>
      </c>
      <c r="H30" s="967" t="n"/>
      <c r="I30" s="965" t="n"/>
      <c r="J30" s="965" t="n"/>
      <c r="K30" s="965" t="n"/>
      <c r="L30" s="965" t="n"/>
      <c r="M30" s="965" t="n"/>
    </row>
    <row r="31" ht="12.75" customHeight="1">
      <c r="C31" s="964" t="inlineStr">
        <is>
          <t>Pro Forma Total Revenue</t>
        </is>
      </c>
      <c r="D31" s="968">
        <f>D24+D30</f>
        <v/>
      </c>
      <c r="E31" s="968">
        <f>E24+E30</f>
        <v/>
      </c>
      <c r="F31" s="968">
        <f>F24+F30</f>
        <v/>
      </c>
      <c r="G31" s="968">
        <f>G24+G30</f>
        <v/>
      </c>
      <c r="H31" s="969">
        <f>H24+H30</f>
        <v/>
      </c>
      <c r="I31" s="968">
        <f>I24</f>
        <v/>
      </c>
      <c r="J31" s="968">
        <f>J24</f>
        <v/>
      </c>
      <c r="K31" s="968">
        <f>K24</f>
        <v/>
      </c>
      <c r="L31" s="968">
        <f>L24</f>
        <v/>
      </c>
      <c r="M31" s="968">
        <f>M24</f>
        <v/>
      </c>
    </row>
    <row r="32" ht="12.75" customHeight="1">
      <c r="C32" s="970" t="inlineStr">
        <is>
          <t>% Growth vs. Pro Forma Prior Period</t>
        </is>
      </c>
      <c r="D32" s="965" t="n"/>
      <c r="E32" s="965" t="n"/>
      <c r="F32" s="965" t="n"/>
      <c r="G32" s="965" t="n"/>
      <c r="H32" s="971">
        <f>SUM(H94:I94)/(SUM(D94:E94)+SUM(D99:E100))-1</f>
        <v/>
      </c>
      <c r="I32" s="972">
        <f>I31/G31-1</f>
        <v/>
      </c>
      <c r="J32" s="972">
        <f>J31/I31-1</f>
        <v/>
      </c>
      <c r="K32" s="972">
        <f>K31/J31-1</f>
        <v/>
      </c>
      <c r="L32" s="972">
        <f>L31/K31-1</f>
        <v/>
      </c>
      <c r="M32" s="972">
        <f>M31/L31-1</f>
        <v/>
      </c>
    </row>
    <row r="33" ht="12.75" customHeight="1">
      <c r="C33" s="964" t="inlineStr">
        <is>
          <t>Sales (GAAP presentation)</t>
        </is>
      </c>
      <c r="D33" s="973">
        <f>'Income Statement Output'!E11</f>
        <v/>
      </c>
      <c r="E33" s="973">
        <f>'Income Statement Output'!F11</f>
        <v/>
      </c>
      <c r="F33" s="973">
        <f>'Income Statement Output'!G11</f>
        <v/>
      </c>
      <c r="G33" s="973">
        <f>'Income Statement Output'!H11</f>
        <v/>
      </c>
      <c r="H33" s="974">
        <f>'Income Statement Output'!J11</f>
        <v/>
      </c>
      <c r="I33" s="966">
        <f>I24*I34</f>
        <v/>
      </c>
      <c r="J33" s="966">
        <f>J24*J34</f>
        <v/>
      </c>
      <c r="K33" s="966">
        <f>K24*K34</f>
        <v/>
      </c>
      <c r="L33" s="966">
        <f>L24*L34</f>
        <v/>
      </c>
      <c r="M33" s="966">
        <f>M24*M34</f>
        <v/>
      </c>
    </row>
    <row r="34" ht="12.75" customHeight="1">
      <c r="C34" s="975" t="inlineStr">
        <is>
          <t>% of Total Revenue</t>
        </is>
      </c>
      <c r="D34" s="972">
        <f>D33/D24</f>
        <v/>
      </c>
      <c r="E34" s="972">
        <f>E33/E24</f>
        <v/>
      </c>
      <c r="F34" s="972">
        <f>F33/F24</f>
        <v/>
      </c>
      <c r="G34" s="972">
        <f>G33/G24</f>
        <v/>
      </c>
      <c r="H34" s="971">
        <f>H33/H24</f>
        <v/>
      </c>
      <c r="I34" s="972">
        <f>$H$34</f>
        <v/>
      </c>
      <c r="J34" s="972">
        <f>$H$34</f>
        <v/>
      </c>
      <c r="K34" s="972">
        <f>$H$34</f>
        <v/>
      </c>
      <c r="L34" s="972">
        <f>$H$34</f>
        <v/>
      </c>
      <c r="M34" s="972">
        <f>$H$34</f>
        <v/>
      </c>
    </row>
    <row r="35" ht="12.75" customHeight="1">
      <c r="B35" s="933" t="inlineStr">
        <is>
          <t>x</t>
        </is>
      </c>
      <c r="C35" s="976" t="inlineStr">
        <is>
          <t>Services, Maintenance, Rentals &amp; Other (GAAP)</t>
        </is>
      </c>
      <c r="D35" s="977">
        <f>D24-D33</f>
        <v/>
      </c>
      <c r="E35" s="977">
        <f>E24-E33</f>
        <v/>
      </c>
      <c r="F35" s="977">
        <f>F24-F33</f>
        <v/>
      </c>
      <c r="G35" s="977">
        <f>G24-G33</f>
        <v/>
      </c>
      <c r="H35" s="978">
        <f>H24-H33</f>
        <v/>
      </c>
      <c r="I35" s="977">
        <f>I24-I33</f>
        <v/>
      </c>
      <c r="J35" s="977">
        <f>J24-J33</f>
        <v/>
      </c>
      <c r="K35" s="977">
        <f>K24-K33</f>
        <v/>
      </c>
      <c r="L35" s="977">
        <f>L24-L33</f>
        <v/>
      </c>
      <c r="M35" s="977">
        <f>M24-M33</f>
        <v/>
      </c>
    </row>
    <row r="38" ht="12.75" customHeight="1">
      <c r="A38" s="933" t="inlineStr">
        <is>
          <t>x</t>
        </is>
      </c>
      <c r="B38" s="933" t="inlineStr">
        <is>
          <t>x</t>
        </is>
      </c>
      <c r="C38" s="934" t="inlineStr">
        <is>
          <t>Equipment Sales (Print &amp; Other)</t>
        </is>
      </c>
      <c r="D38" s="935" t="inlineStr">
        <is>
          <t>Fiscal Year Ended December 31,</t>
        </is>
      </c>
      <c r="E38" s="935" t="n"/>
      <c r="F38" s="935" t="n"/>
      <c r="G38" s="935" t="n"/>
      <c r="H38" s="936" t="inlineStr">
        <is>
          <t>LTM</t>
        </is>
      </c>
      <c r="I38" s="937" t="inlineStr">
        <is>
          <t>Projected</t>
        </is>
      </c>
      <c r="J38" s="937" t="n"/>
      <c r="K38" s="937" t="n"/>
      <c r="L38" s="937" t="n"/>
      <c r="M38" s="937" t="n"/>
    </row>
    <row r="39" ht="12.75" customHeight="1">
      <c r="C39" s="938" t="n"/>
      <c r="D39" s="939" t="inlineStr">
        <is>
          <t>2022A</t>
        </is>
      </c>
      <c r="E39" s="939" t="inlineStr">
        <is>
          <t>2023A</t>
        </is>
      </c>
      <c r="F39" s="939" t="inlineStr">
        <is>
          <t>2024A</t>
        </is>
      </c>
      <c r="G39" s="939" t="inlineStr">
        <is>
          <t>2025A</t>
        </is>
      </c>
      <c r="H39" s="940" t="inlineStr">
        <is>
          <t>LTM 2Q'26</t>
        </is>
      </c>
      <c r="I39" s="939" t="inlineStr">
        <is>
          <t>2026E</t>
        </is>
      </c>
      <c r="J39" s="939" t="inlineStr">
        <is>
          <t>2027E</t>
        </is>
      </c>
      <c r="K39" s="939" t="inlineStr">
        <is>
          <t>2028E</t>
        </is>
      </c>
      <c r="L39" s="939" t="inlineStr">
        <is>
          <t>2029E</t>
        </is>
      </c>
      <c r="M39" s="939" t="inlineStr">
        <is>
          <t>2030E</t>
        </is>
      </c>
    </row>
    <row r="40" ht="3" customHeight="1">
      <c r="H40" s="941" t="n"/>
    </row>
    <row r="41" ht="12.75" customHeight="1">
      <c r="C41" s="942" t="inlineStr">
        <is>
          <t>Equipment Sales - As Reported</t>
        </is>
      </c>
      <c r="D41" s="979" t="n">
        <v>1624</v>
      </c>
      <c r="E41" s="979" t="n">
        <v>1655</v>
      </c>
      <c r="F41" s="979" t="n">
        <v>1378</v>
      </c>
      <c r="G41" s="943">
        <f>SUM(D89:G89)</f>
        <v/>
      </c>
      <c r="H41" s="944">
        <f>SUM(F89:I89)</f>
        <v/>
      </c>
      <c r="I41" s="943">
        <f>I43</f>
        <v/>
      </c>
      <c r="J41" s="943">
        <f>J43</f>
        <v/>
      </c>
      <c r="K41" s="943">
        <f>K43</f>
        <v/>
      </c>
      <c r="L41" s="943">
        <f>L43</f>
        <v/>
      </c>
      <c r="M41" s="943">
        <f>M43</f>
        <v/>
      </c>
    </row>
    <row r="42" ht="12.75" customHeight="1">
      <c r="C42" s="942" t="inlineStr">
        <is>
          <t>(+) Lexmark Pre-Acquisition (1H'25)</t>
        </is>
      </c>
      <c r="D42" s="980" t="n">
        <v>0</v>
      </c>
      <c r="E42" s="980" t="n">
        <v>0</v>
      </c>
      <c r="F42" s="980" t="n">
        <v>0</v>
      </c>
      <c r="G42" s="948">
        <f>D99+E99</f>
        <v/>
      </c>
      <c r="H42" s="981" t="n">
        <v>0</v>
      </c>
    </row>
    <row r="43" ht="12.75" customHeight="1">
      <c r="C43" s="952" t="inlineStr">
        <is>
          <t>Pro Forma Equipment Sales</t>
        </is>
      </c>
      <c r="D43" s="953">
        <f>D41+D42</f>
        <v/>
      </c>
      <c r="E43" s="953">
        <f>E41+E42</f>
        <v/>
      </c>
      <c r="F43" s="953">
        <f>F41+F42</f>
        <v/>
      </c>
      <c r="G43" s="953">
        <f>G41+G42</f>
        <v/>
      </c>
      <c r="H43" s="954">
        <f>H41+H42</f>
        <v/>
      </c>
      <c r="I43" s="953">
        <f>G43*(1+I44)</f>
        <v/>
      </c>
      <c r="J43" s="953">
        <f>I43*(1+J44)</f>
        <v/>
      </c>
      <c r="K43" s="953">
        <f>J43*(1+K44)</f>
        <v/>
      </c>
      <c r="L43" s="953">
        <f>K43*(1+L44)</f>
        <v/>
      </c>
      <c r="M43" s="953">
        <f>L43*(1+M44)</f>
        <v/>
      </c>
    </row>
    <row r="44" ht="12.75" customHeight="1">
      <c r="C44" s="945" t="inlineStr">
        <is>
          <t>% Growth</t>
        </is>
      </c>
      <c r="E44" s="946">
        <f>E41/D41-1</f>
        <v/>
      </c>
      <c r="F44" s="946">
        <f>F41/E41-1</f>
        <v/>
      </c>
      <c r="G44" s="946">
        <f>G41/F41-1</f>
        <v/>
      </c>
      <c r="H44" s="941" t="n"/>
      <c r="I44" s="946">
        <f>CHOOSE($E$6,I46,I47,I48)</f>
        <v/>
      </c>
      <c r="J44" s="946">
        <f>CHOOSE($E$6,J46,J47,J48)</f>
        <v/>
      </c>
      <c r="K44" s="946">
        <f>CHOOSE($E$6,K46,K47,K48)</f>
        <v/>
      </c>
      <c r="L44" s="946">
        <f>CHOOSE($E$6,L46,L47,L48)</f>
        <v/>
      </c>
      <c r="M44" s="946">
        <f>CHOOSE($E$6,M46,M47,M48)</f>
        <v/>
      </c>
    </row>
    <row r="45" ht="12.75" customHeight="1">
      <c r="C45" s="945" t="inlineStr">
        <is>
          <t>Organic / Pro Forma Growth (as disclosed)</t>
        </is>
      </c>
      <c r="E45" s="982" t="n">
        <v>0.019</v>
      </c>
      <c r="F45" s="982" t="n">
        <v>-0.167</v>
      </c>
      <c r="G45" s="982" t="n">
        <v>-0.08500000000000001</v>
      </c>
      <c r="H45" s="947">
        <f>SUM(H89:I89)/(SUM(D89:E89)+SUM(D99:E99))-1</f>
        <v/>
      </c>
    </row>
    <row r="46" ht="12.75" customHeight="1">
      <c r="C46" s="983" t="inlineStr">
        <is>
          <t>Bear Case</t>
        </is>
      </c>
      <c r="H46" s="941" t="n"/>
      <c r="I46" s="984" t="n">
        <v>-0.11</v>
      </c>
      <c r="J46" s="984" t="n">
        <v>-0.08</v>
      </c>
      <c r="K46" s="984" t="n">
        <v>-0.07000000000000001</v>
      </c>
      <c r="L46" s="984" t="n">
        <v>-0.06</v>
      </c>
      <c r="M46" s="984" t="n">
        <v>-0.06</v>
      </c>
    </row>
    <row r="47" ht="12.75" customHeight="1">
      <c r="C47" s="983" t="inlineStr">
        <is>
          <t>Base Case</t>
        </is>
      </c>
      <c r="H47" s="941" t="n"/>
      <c r="I47" s="984" t="n">
        <v>-0.07000000000000001</v>
      </c>
      <c r="J47" s="984" t="n">
        <v>-0.05</v>
      </c>
      <c r="K47" s="984" t="n">
        <v>-0.04</v>
      </c>
      <c r="L47" s="984" t="n">
        <v>-0.035</v>
      </c>
      <c r="M47" s="984" t="n">
        <v>-0.035</v>
      </c>
    </row>
    <row r="48" ht="12.75" customHeight="1">
      <c r="C48" s="983" t="inlineStr">
        <is>
          <t>Bull Case</t>
        </is>
      </c>
      <c r="H48" s="941" t="n"/>
      <c r="I48" s="984" t="n">
        <v>-0.045</v>
      </c>
      <c r="J48" s="984" t="n">
        <v>-0.025</v>
      </c>
      <c r="K48" s="984" t="n">
        <v>-0.015</v>
      </c>
      <c r="L48" s="984" t="n">
        <v>-0.01</v>
      </c>
      <c r="M48" s="984" t="n">
        <v>-0.01</v>
      </c>
    </row>
    <row r="49">
      <c r="H49" s="941" t="n"/>
    </row>
    <row r="50" ht="12.75" customHeight="1">
      <c r="C50" s="942" t="inlineStr">
        <is>
          <t>Global Hardcopy Peripherals Market (IDC, $bn)</t>
        </is>
      </c>
      <c r="F50" s="985" t="n">
        <v>36.8</v>
      </c>
      <c r="G50" s="985" t="n">
        <v>35.4</v>
      </c>
      <c r="H50" s="941" t="n"/>
      <c r="I50" s="986">
        <f>G50*(1+I51)</f>
        <v/>
      </c>
      <c r="J50" s="986">
        <f>I50*(1+J51)</f>
        <v/>
      </c>
      <c r="K50" s="986">
        <f>J50*(1+K51)</f>
        <v/>
      </c>
      <c r="L50" s="986">
        <f>K50*(1+L51)</f>
        <v/>
      </c>
      <c r="M50" s="986">
        <f>L50*(1+M51)</f>
        <v/>
      </c>
    </row>
    <row r="51" ht="12.75" customHeight="1">
      <c r="C51" s="945" t="inlineStr">
        <is>
          <t>% Growth</t>
        </is>
      </c>
      <c r="G51" s="946">
        <f>G50/F50-1</f>
        <v/>
      </c>
      <c r="H51" s="941" t="n"/>
      <c r="I51" s="984" t="n">
        <v>-0.035</v>
      </c>
      <c r="J51" s="984" t="n">
        <v>-0.03</v>
      </c>
      <c r="K51" s="984" t="n">
        <v>-0.03</v>
      </c>
      <c r="L51" s="984" t="n">
        <v>-0.03</v>
      </c>
      <c r="M51" s="984" t="n">
        <v>-0.03</v>
      </c>
    </row>
    <row r="52" ht="12.75" customHeight="1">
      <c r="B52" s="933" t="inlineStr">
        <is>
          <t>x</t>
        </is>
      </c>
      <c r="C52" s="945" t="inlineStr">
        <is>
          <t>Xerox Equipment Share of HCP Market (implied)</t>
        </is>
      </c>
      <c r="F52" s="987">
        <f>F43/(F50*1000)</f>
        <v/>
      </c>
      <c r="G52" s="987">
        <f>G43/(G50*1000)</f>
        <v/>
      </c>
      <c r="H52" s="941" t="n"/>
      <c r="I52" s="987">
        <f>I43/(I50*1000)</f>
        <v/>
      </c>
      <c r="J52" s="987">
        <f>J43/(J50*1000)</f>
        <v/>
      </c>
      <c r="K52" s="987">
        <f>K43/(K50*1000)</f>
        <v/>
      </c>
      <c r="L52" s="987">
        <f>L43/(L50*1000)</f>
        <v/>
      </c>
      <c r="M52" s="987">
        <f>M43/(M50*1000)</f>
        <v/>
      </c>
    </row>
    <row r="55" ht="12.75" customHeight="1">
      <c r="A55" s="933" t="inlineStr">
        <is>
          <t>x</t>
        </is>
      </c>
      <c r="B55" s="933" t="inlineStr">
        <is>
          <t>x</t>
        </is>
      </c>
      <c r="C55" s="934" t="inlineStr">
        <is>
          <t>Post Sale Revenue (Print &amp; Other)</t>
        </is>
      </c>
      <c r="D55" s="935" t="inlineStr">
        <is>
          <t>Fiscal Year Ended December 31,</t>
        </is>
      </c>
      <c r="E55" s="935" t="n"/>
      <c r="F55" s="935" t="n"/>
      <c r="G55" s="935" t="n"/>
      <c r="H55" s="936" t="inlineStr">
        <is>
          <t>LTM</t>
        </is>
      </c>
      <c r="I55" s="937" t="inlineStr">
        <is>
          <t>Projected</t>
        </is>
      </c>
      <c r="J55" s="937" t="n"/>
      <c r="K55" s="937" t="n"/>
      <c r="L55" s="937" t="n"/>
      <c r="M55" s="937" t="n"/>
    </row>
    <row r="56" ht="12.75" customHeight="1">
      <c r="C56" s="938" t="n"/>
      <c r="D56" s="939" t="inlineStr">
        <is>
          <t>2022A</t>
        </is>
      </c>
      <c r="E56" s="939" t="inlineStr">
        <is>
          <t>2023A</t>
        </is>
      </c>
      <c r="F56" s="939" t="inlineStr">
        <is>
          <t>2024A</t>
        </is>
      </c>
      <c r="G56" s="939" t="inlineStr">
        <is>
          <t>2025A</t>
        </is>
      </c>
      <c r="H56" s="940" t="inlineStr">
        <is>
          <t>LTM 2Q'26</t>
        </is>
      </c>
      <c r="I56" s="939" t="inlineStr">
        <is>
          <t>2026E</t>
        </is>
      </c>
      <c r="J56" s="939" t="inlineStr">
        <is>
          <t>2027E</t>
        </is>
      </c>
      <c r="K56" s="939" t="inlineStr">
        <is>
          <t>2028E</t>
        </is>
      </c>
      <c r="L56" s="939" t="inlineStr">
        <is>
          <t>2029E</t>
        </is>
      </c>
      <c r="M56" s="939" t="inlineStr">
        <is>
          <t>2030E</t>
        </is>
      </c>
    </row>
    <row r="57" ht="3" customHeight="1">
      <c r="H57" s="941" t="n"/>
    </row>
    <row r="58" ht="12.75" customHeight="1">
      <c r="C58" s="942" t="inlineStr">
        <is>
          <t>Post Sale Revenue - As Reported</t>
        </is>
      </c>
      <c r="D58" s="980" t="n">
        <v>5483</v>
      </c>
      <c r="E58" s="980" t="n">
        <v>5231</v>
      </c>
      <c r="F58" s="980" t="n">
        <v>4488</v>
      </c>
      <c r="G58" s="948">
        <f>SUM(D90:G90)</f>
        <v/>
      </c>
      <c r="H58" s="949">
        <f>SUM(F90:I90)</f>
        <v/>
      </c>
      <c r="I58" s="948">
        <f>I60</f>
        <v/>
      </c>
      <c r="J58" s="948">
        <f>J60</f>
        <v/>
      </c>
      <c r="K58" s="948">
        <f>K60</f>
        <v/>
      </c>
      <c r="L58" s="948">
        <f>L60</f>
        <v/>
      </c>
      <c r="M58" s="948">
        <f>M60</f>
        <v/>
      </c>
    </row>
    <row r="59" ht="12.75" customHeight="1">
      <c r="C59" s="942" t="inlineStr">
        <is>
          <t>(+) Lexmark Pre-Acquisition (1H'25)</t>
        </is>
      </c>
      <c r="D59" s="980" t="n">
        <v>0</v>
      </c>
      <c r="E59" s="980" t="n">
        <v>0</v>
      </c>
      <c r="F59" s="980" t="n">
        <v>0</v>
      </c>
      <c r="G59" s="948">
        <f>D100+E100</f>
        <v/>
      </c>
      <c r="H59" s="981" t="n">
        <v>0</v>
      </c>
    </row>
    <row r="60" ht="12.75" customHeight="1">
      <c r="C60" s="952" t="inlineStr">
        <is>
          <t>Pro Forma Post Sale Revenue</t>
        </is>
      </c>
      <c r="D60" s="953">
        <f>D58+D59</f>
        <v/>
      </c>
      <c r="E60" s="953">
        <f>E58+E59</f>
        <v/>
      </c>
      <c r="F60" s="953">
        <f>F58+F59</f>
        <v/>
      </c>
      <c r="G60" s="953">
        <f>G58+G59</f>
        <v/>
      </c>
      <c r="H60" s="954">
        <f>H58+H59</f>
        <v/>
      </c>
      <c r="I60" s="953">
        <f>G60*(1+I61)</f>
        <v/>
      </c>
      <c r="J60" s="953">
        <f>I60*(1+J61)</f>
        <v/>
      </c>
      <c r="K60" s="953">
        <f>J60*(1+K61)</f>
        <v/>
      </c>
      <c r="L60" s="953">
        <f>K60*(1+L61)</f>
        <v/>
      </c>
      <c r="M60" s="953">
        <f>L60*(1+M61)</f>
        <v/>
      </c>
    </row>
    <row r="61" ht="12.75" customHeight="1">
      <c r="C61" s="945" t="inlineStr">
        <is>
          <t>% Growth</t>
        </is>
      </c>
      <c r="E61" s="946">
        <f>E58/D58-1</f>
        <v/>
      </c>
      <c r="F61" s="946">
        <f>(F58+F75+F82)/E58-1</f>
        <v/>
      </c>
      <c r="G61" s="946">
        <f>G58/F58-1</f>
        <v/>
      </c>
      <c r="H61" s="941" t="n"/>
      <c r="I61" s="946">
        <f>CHOOSE($E$6,I63,I64,I65)</f>
        <v/>
      </c>
      <c r="J61" s="946">
        <f>CHOOSE($E$6,J63,J64,J65)</f>
        <v/>
      </c>
      <c r="K61" s="946">
        <f>CHOOSE($E$6,K63,K64,K65)</f>
        <v/>
      </c>
      <c r="L61" s="946">
        <f>CHOOSE($E$6,L63,L64,L65)</f>
        <v/>
      </c>
      <c r="M61" s="946">
        <f>CHOOSE($E$6,M63,M64,M65)</f>
        <v/>
      </c>
    </row>
    <row r="62" ht="12.75" customHeight="1">
      <c r="C62" s="945" t="inlineStr">
        <is>
          <t>Organic / Pro Forma Growth (as disclosed)</t>
        </is>
      </c>
      <c r="E62" s="982" t="n">
        <v>-0.051</v>
      </c>
      <c r="F62" s="982" t="n">
        <v>-0.074</v>
      </c>
      <c r="G62" s="982" t="n">
        <v>-0.098</v>
      </c>
      <c r="H62" s="947">
        <f>SUM(H90:I90)/(SUM(D90:E90)+SUM(D100:E100))-1</f>
        <v/>
      </c>
    </row>
    <row r="63" ht="12.75" customHeight="1">
      <c r="C63" s="983" t="inlineStr">
        <is>
          <t>Bear Case</t>
        </is>
      </c>
      <c r="H63" s="941" t="n"/>
      <c r="I63" s="984" t="n">
        <v>-0.06</v>
      </c>
      <c r="J63" s="984" t="n">
        <v>-0.055</v>
      </c>
      <c r="K63" s="984" t="n">
        <v>-0.05</v>
      </c>
      <c r="L63" s="984" t="n">
        <v>-0.05</v>
      </c>
      <c r="M63" s="984" t="n">
        <v>-0.05</v>
      </c>
    </row>
    <row r="64" ht="12.75" customHeight="1">
      <c r="C64" s="983" t="inlineStr">
        <is>
          <t>Base Case</t>
        </is>
      </c>
      <c r="H64" s="941" t="n"/>
      <c r="I64" s="984" t="n">
        <v>-0.0375</v>
      </c>
      <c r="J64" s="984" t="n">
        <v>-0.035</v>
      </c>
      <c r="K64" s="984" t="n">
        <v>-0.03</v>
      </c>
      <c r="L64" s="984" t="n">
        <v>-0.03</v>
      </c>
      <c r="M64" s="984" t="n">
        <v>-0.03</v>
      </c>
    </row>
    <row r="65" ht="12.75" customHeight="1">
      <c r="C65" s="983" t="inlineStr">
        <is>
          <t>Bull Case</t>
        </is>
      </c>
      <c r="H65" s="941" t="n"/>
      <c r="I65" s="984" t="n">
        <v>-0.03</v>
      </c>
      <c r="J65" s="984" t="n">
        <v>-0.02</v>
      </c>
      <c r="K65" s="984" t="n">
        <v>-0.015</v>
      </c>
      <c r="L65" s="984" t="n">
        <v>-0.015</v>
      </c>
      <c r="M65" s="984" t="n">
        <v>-0.015</v>
      </c>
    </row>
    <row r="66">
      <c r="H66" s="941" t="n"/>
    </row>
    <row r="67" ht="12.75" customHeight="1">
      <c r="C67" s="942" t="inlineStr">
        <is>
          <t>Total Finance Receivables, Net (period-end)</t>
        </is>
      </c>
      <c r="D67" s="988">
        <f>'Balance Sheet Output'!E13+'Balance Sheet Output'!E14+'Balance Sheet Output'!E18</f>
        <v/>
      </c>
      <c r="E67" s="988">
        <f>'Balance Sheet Output'!F13+'Balance Sheet Output'!F14+'Balance Sheet Output'!F18</f>
        <v/>
      </c>
      <c r="F67" s="988">
        <f>'Balance Sheet Output'!G13+'Balance Sheet Output'!G14+'Balance Sheet Output'!G18</f>
        <v/>
      </c>
      <c r="G67" s="988">
        <f>'Balance Sheet Output'!H13+'Balance Sheet Output'!H14+'Balance Sheet Output'!H18</f>
        <v/>
      </c>
      <c r="H67" s="989">
        <f>'Balance Sheet Output'!J13+'Balance Sheet Output'!J14+'Balance Sheet Output'!J18</f>
        <v/>
      </c>
    </row>
    <row r="68" ht="12.75" customHeight="1">
      <c r="C68" s="945" t="inlineStr">
        <is>
          <t>% Growth</t>
        </is>
      </c>
      <c r="E68" s="946">
        <f>E67/D67-1</f>
        <v/>
      </c>
      <c r="F68" s="946">
        <f>F67/E67-1</f>
        <v/>
      </c>
      <c r="G68" s="946">
        <f>G67/F67-1</f>
        <v/>
      </c>
      <c r="H68" s="941" t="n"/>
    </row>
    <row r="69" ht="12.75" customHeight="1">
      <c r="B69" s="933" t="inlineStr">
        <is>
          <t>x</t>
        </is>
      </c>
      <c r="C69" s="945" t="inlineStr">
        <is>
          <t>Post Sale % of Print &amp; Other Revenue</t>
        </is>
      </c>
      <c r="D69" s="946">
        <f>D58/(D41+D58)</f>
        <v/>
      </c>
      <c r="E69" s="946">
        <f>E58/(E41+E58)</f>
        <v/>
      </c>
      <c r="F69" s="946">
        <f>F58/(F41+F58)</f>
        <v/>
      </c>
      <c r="G69" s="946">
        <f>G58/(G41+G58)</f>
        <v/>
      </c>
      <c r="H69" s="947">
        <f>H58/(H41+H58)</f>
        <v/>
      </c>
      <c r="I69" s="946">
        <f>I60/(I43+I60)</f>
        <v/>
      </c>
      <c r="J69" s="946">
        <f>J60/(J43+J60)</f>
        <v/>
      </c>
      <c r="K69" s="946">
        <f>K60/(K43+K60)</f>
        <v/>
      </c>
      <c r="L69" s="946">
        <f>L60/(L43+L60)</f>
        <v/>
      </c>
      <c r="M69" s="946">
        <f>M60/(M43+M60)</f>
        <v/>
      </c>
    </row>
    <row r="72" ht="12.75" customHeight="1">
      <c r="A72" s="933" t="inlineStr">
        <is>
          <t>x</t>
        </is>
      </c>
      <c r="B72" s="933" t="inlineStr">
        <is>
          <t>x</t>
        </is>
      </c>
      <c r="C72" s="934" t="inlineStr">
        <is>
          <t>IT Solutions</t>
        </is>
      </c>
      <c r="D72" s="935" t="inlineStr">
        <is>
          <t>Fiscal Year Ended December 31,</t>
        </is>
      </c>
      <c r="E72" s="935" t="n"/>
      <c r="F72" s="935" t="n"/>
      <c r="G72" s="935" t="n"/>
      <c r="H72" s="936" t="inlineStr">
        <is>
          <t>LTM</t>
        </is>
      </c>
      <c r="I72" s="937" t="inlineStr">
        <is>
          <t>Projected</t>
        </is>
      </c>
      <c r="J72" s="937" t="n"/>
      <c r="K72" s="937" t="n"/>
      <c r="L72" s="937" t="n"/>
      <c r="M72" s="937" t="n"/>
    </row>
    <row r="73" ht="12.75" customHeight="1">
      <c r="C73" s="938" t="n"/>
      <c r="D73" s="939" t="inlineStr">
        <is>
          <t>2022A</t>
        </is>
      </c>
      <c r="E73" s="939" t="inlineStr">
        <is>
          <t>2023A</t>
        </is>
      </c>
      <c r="F73" s="939" t="inlineStr">
        <is>
          <t>2024A</t>
        </is>
      </c>
      <c r="G73" s="939" t="inlineStr">
        <is>
          <t>2025A</t>
        </is>
      </c>
      <c r="H73" s="940" t="inlineStr">
        <is>
          <t>LTM 2Q'26</t>
        </is>
      </c>
      <c r="I73" s="939" t="inlineStr">
        <is>
          <t>2026E</t>
        </is>
      </c>
      <c r="J73" s="939" t="inlineStr">
        <is>
          <t>2027E</t>
        </is>
      </c>
      <c r="K73" s="939" t="inlineStr">
        <is>
          <t>2028E</t>
        </is>
      </c>
      <c r="L73" s="939" t="inlineStr">
        <is>
          <t>2029E</t>
        </is>
      </c>
      <c r="M73" s="939" t="inlineStr">
        <is>
          <t>2030E</t>
        </is>
      </c>
    </row>
    <row r="74" ht="3" customHeight="1">
      <c r="H74" s="941" t="n"/>
    </row>
    <row r="75" ht="12.75" customHeight="1">
      <c r="C75" s="942" t="inlineStr">
        <is>
          <t>IT Solutions Revenue - As Reported</t>
        </is>
      </c>
      <c r="D75" s="990" t="inlineStr">
        <is>
          <t>n.a.</t>
        </is>
      </c>
      <c r="E75" s="990" t="inlineStr">
        <is>
          <t>n.a.</t>
        </is>
      </c>
      <c r="F75" s="979" t="n">
        <v>358</v>
      </c>
      <c r="G75" s="943">
        <f>SUM(D92:G92)</f>
        <v/>
      </c>
      <c r="H75" s="944">
        <f>SUM(F92:I92)</f>
        <v/>
      </c>
      <c r="I75" s="943">
        <f>G75*(1+I76)</f>
        <v/>
      </c>
      <c r="J75" s="943">
        <f>I75*(1+J76)</f>
        <v/>
      </c>
      <c r="K75" s="943">
        <f>J75*(1+K76)</f>
        <v/>
      </c>
      <c r="L75" s="943">
        <f>K75*(1+L76)</f>
        <v/>
      </c>
      <c r="M75" s="943">
        <f>L75*(1+M76)</f>
        <v/>
      </c>
    </row>
    <row r="76" ht="12.75" customHeight="1">
      <c r="C76" s="945" t="inlineStr">
        <is>
          <t>% Growth</t>
        </is>
      </c>
      <c r="G76" s="946">
        <f>G75/F75-1</f>
        <v/>
      </c>
      <c r="H76" s="941" t="n"/>
      <c r="I76" s="946">
        <f>CHOOSE($E$6,I78,I79,I80)</f>
        <v/>
      </c>
      <c r="J76" s="946">
        <f>CHOOSE($E$6,J78,J79,J80)</f>
        <v/>
      </c>
      <c r="K76" s="946">
        <f>CHOOSE($E$6,K78,K79,K80)</f>
        <v/>
      </c>
      <c r="L76" s="946">
        <f>CHOOSE($E$6,L78,L79,L80)</f>
        <v/>
      </c>
      <c r="M76" s="946">
        <f>CHOOSE($E$6,M78,M79,M80)</f>
        <v/>
      </c>
    </row>
    <row r="77" ht="12.75" customHeight="1">
      <c r="C77" s="945" t="inlineStr">
        <is>
          <t>Organic / Pro Forma Growth (as disclosed)</t>
        </is>
      </c>
      <c r="G77" s="982" t="n">
        <v>-0.008</v>
      </c>
      <c r="H77" s="947">
        <f>SUM(H92:I92)/SUM(D92:E92)-1</f>
        <v/>
      </c>
    </row>
    <row r="78" ht="12.75" customHeight="1">
      <c r="C78" s="983" t="inlineStr">
        <is>
          <t>Bear Case</t>
        </is>
      </c>
      <c r="H78" s="941" t="n"/>
      <c r="I78" s="984" t="n">
        <v>-0.09</v>
      </c>
      <c r="J78" s="984" t="n">
        <v>-0.03</v>
      </c>
      <c r="K78" s="984" t="n">
        <v>0</v>
      </c>
      <c r="L78" s="984" t="n">
        <v>0</v>
      </c>
      <c r="M78" s="984" t="n">
        <v>0</v>
      </c>
    </row>
    <row r="79" ht="12.75" customHeight="1">
      <c r="C79" s="983" t="inlineStr">
        <is>
          <t>Base Case</t>
        </is>
      </c>
      <c r="H79" s="941" t="n"/>
      <c r="I79" s="984" t="n">
        <v>-0.045</v>
      </c>
      <c r="J79" s="984" t="n">
        <v>0.02</v>
      </c>
      <c r="K79" s="984" t="n">
        <v>0.04</v>
      </c>
      <c r="L79" s="984" t="n">
        <v>0.04</v>
      </c>
      <c r="M79" s="984" t="n">
        <v>0.04</v>
      </c>
    </row>
    <row r="80" ht="12.75" customHeight="1">
      <c r="C80" s="983" t="inlineStr">
        <is>
          <t>Bull Case</t>
        </is>
      </c>
      <c r="H80" s="941" t="n"/>
      <c r="I80" s="984" t="n">
        <v>-0.02</v>
      </c>
      <c r="J80" s="984" t="n">
        <v>0.05</v>
      </c>
      <c r="K80" s="984" t="n">
        <v>0.07000000000000001</v>
      </c>
      <c r="L80" s="984" t="n">
        <v>0.07000000000000001</v>
      </c>
      <c r="M80" s="984" t="n">
        <v>0.06</v>
      </c>
    </row>
    <row r="81">
      <c r="H81" s="941" t="n"/>
    </row>
    <row r="82" ht="12.75" customHeight="1">
      <c r="C82" s="942" t="inlineStr">
        <is>
          <t>Intersegment Eliminations</t>
        </is>
      </c>
      <c r="D82" s="950" t="inlineStr">
        <is>
          <t>n.a.</t>
        </is>
      </c>
      <c r="E82" s="950" t="inlineStr">
        <is>
          <t>n.a.</t>
        </is>
      </c>
      <c r="F82" s="980" t="n">
        <v>-3</v>
      </c>
      <c r="G82" s="948">
        <f>SUM(D93:G93)</f>
        <v/>
      </c>
      <c r="H82" s="949">
        <f>SUM(F93:I93)</f>
        <v/>
      </c>
      <c r="I82" s="948">
        <f>I75*I83</f>
        <v/>
      </c>
      <c r="J82" s="948">
        <f>J75*J83</f>
        <v/>
      </c>
      <c r="K82" s="948">
        <f>K75*K83</f>
        <v/>
      </c>
      <c r="L82" s="948">
        <f>L75*L83</f>
        <v/>
      </c>
      <c r="M82" s="948">
        <f>M75*M83</f>
        <v/>
      </c>
    </row>
    <row r="83" ht="12.75" customHeight="1">
      <c r="B83" s="933" t="inlineStr">
        <is>
          <t>x</t>
        </is>
      </c>
      <c r="C83" s="945" t="inlineStr">
        <is>
          <t>% of IT Solutions Revenue</t>
        </is>
      </c>
      <c r="F83" s="946">
        <f>F82/F75</f>
        <v/>
      </c>
      <c r="G83" s="946">
        <f>G82/G75</f>
        <v/>
      </c>
      <c r="H83" s="947">
        <f>H82/H75</f>
        <v/>
      </c>
      <c r="I83" s="946">
        <f>$H$83</f>
        <v/>
      </c>
      <c r="J83" s="946">
        <f>$H$83</f>
        <v/>
      </c>
      <c r="K83" s="946">
        <f>$H$83</f>
        <v/>
      </c>
      <c r="L83" s="946">
        <f>$H$83</f>
        <v/>
      </c>
      <c r="M83" s="946">
        <f>$H$83</f>
        <v/>
      </c>
    </row>
    <row r="86" ht="12.75" customHeight="1">
      <c r="A86" s="933" t="inlineStr">
        <is>
          <t>x</t>
        </is>
      </c>
      <c r="B86" s="933" t="inlineStr">
        <is>
          <t>x</t>
        </is>
      </c>
      <c r="C86" s="934" t="inlineStr">
        <is>
          <t>Quarterly Segment Detail</t>
        </is>
      </c>
      <c r="D86" s="935" t="inlineStr">
        <is>
          <t>Quarter Ended</t>
        </is>
      </c>
      <c r="E86" s="935" t="n"/>
      <c r="F86" s="935" t="n"/>
      <c r="G86" s="935" t="n"/>
      <c r="H86" s="935" t="n"/>
      <c r="I86" s="935" t="n"/>
    </row>
    <row r="87" ht="12.75" customHeight="1">
      <c r="C87" s="938" t="n"/>
      <c r="D87" s="939" t="inlineStr">
        <is>
          <t>1Q'25</t>
        </is>
      </c>
      <c r="E87" s="939" t="inlineStr">
        <is>
          <t>2Q'25</t>
        </is>
      </c>
      <c r="F87" s="939" t="inlineStr">
        <is>
          <t>3Q'25</t>
        </is>
      </c>
      <c r="G87" s="939" t="inlineStr">
        <is>
          <t>4Q'25</t>
        </is>
      </c>
      <c r="H87" s="939" t="inlineStr">
        <is>
          <t>1Q'26</t>
        </is>
      </c>
      <c r="I87" s="939" t="inlineStr">
        <is>
          <t>2Q'26</t>
        </is>
      </c>
    </row>
    <row r="88" ht="3" customHeight="1"/>
    <row r="89" ht="12.75" customHeight="1">
      <c r="C89" s="942" t="inlineStr">
        <is>
          <t>Equipment Sales</t>
        </is>
      </c>
      <c r="D89" s="979" t="n">
        <v>284</v>
      </c>
      <c r="E89" s="979" t="n">
        <v>336</v>
      </c>
      <c r="F89" s="979" t="n">
        <v>383</v>
      </c>
      <c r="G89" s="979" t="n">
        <v>485</v>
      </c>
      <c r="H89" s="991" t="n">
        <v>378</v>
      </c>
      <c r="I89" s="979" t="n">
        <v>387</v>
      </c>
    </row>
    <row r="90" ht="12.75" customHeight="1">
      <c r="C90" s="942" t="inlineStr">
        <is>
          <t>Post Sale Revenue</t>
        </is>
      </c>
      <c r="D90" s="980" t="n">
        <v>1010</v>
      </c>
      <c r="E90" s="980" t="n">
        <v>1030</v>
      </c>
      <c r="F90" s="980" t="n">
        <v>1356</v>
      </c>
      <c r="G90" s="980" t="n">
        <v>1388</v>
      </c>
      <c r="H90" s="992" t="n">
        <v>1314</v>
      </c>
      <c r="I90" s="980" t="n">
        <v>1346</v>
      </c>
    </row>
    <row r="91" ht="12.75" customHeight="1">
      <c r="C91" s="952" t="inlineStr">
        <is>
          <t>Total Print &amp; Other</t>
        </is>
      </c>
      <c r="D91" s="953">
        <f>D89+D90</f>
        <v/>
      </c>
      <c r="E91" s="953">
        <f>E89+E90</f>
        <v/>
      </c>
      <c r="F91" s="953">
        <f>F89+F90</f>
        <v/>
      </c>
      <c r="G91" s="953">
        <f>G89+G90</f>
        <v/>
      </c>
      <c r="H91" s="993">
        <f>H89+H90</f>
        <v/>
      </c>
      <c r="I91" s="953">
        <f>I89+I90</f>
        <v/>
      </c>
    </row>
    <row r="92" ht="12.75" customHeight="1">
      <c r="C92" s="942" t="inlineStr">
        <is>
          <t>IT Solutions</t>
        </is>
      </c>
      <c r="D92" s="980" t="n">
        <v>163</v>
      </c>
      <c r="E92" s="980" t="n">
        <v>213</v>
      </c>
      <c r="F92" s="980" t="n">
        <v>226</v>
      </c>
      <c r="G92" s="980" t="n">
        <v>158</v>
      </c>
      <c r="H92" s="992" t="n">
        <v>154</v>
      </c>
      <c r="I92" s="980" t="n">
        <v>194</v>
      </c>
    </row>
    <row r="93" ht="12.75" customHeight="1">
      <c r="C93" s="942" t="inlineStr">
        <is>
          <t>Intersegment Eliminations</t>
        </is>
      </c>
      <c r="D93" s="980" t="n">
        <v>0</v>
      </c>
      <c r="E93" s="980" t="n">
        <v>-3</v>
      </c>
      <c r="F93" s="980" t="n">
        <v>-4</v>
      </c>
      <c r="G93" s="980" t="n">
        <v>-3</v>
      </c>
      <c r="H93" s="992" t="n">
        <v>0</v>
      </c>
      <c r="I93" s="980" t="n">
        <v>-5</v>
      </c>
    </row>
    <row r="94" ht="12.75" customHeight="1">
      <c r="C94" s="952" t="inlineStr">
        <is>
          <t>Total Revenue</t>
        </is>
      </c>
      <c r="D94" s="953">
        <f>D91+D92+D93</f>
        <v/>
      </c>
      <c r="E94" s="953">
        <f>E91+E92+E93</f>
        <v/>
      </c>
      <c r="F94" s="953">
        <f>F91+F92+F93</f>
        <v/>
      </c>
      <c r="G94" s="953">
        <f>G91+G92+G93</f>
        <v/>
      </c>
      <c r="H94" s="993">
        <f>H91+H92+H93</f>
        <v/>
      </c>
      <c r="I94" s="953">
        <f>I91+I92+I93</f>
        <v/>
      </c>
    </row>
    <row r="95" ht="12.75" customHeight="1">
      <c r="C95" s="955" t="inlineStr">
        <is>
          <t>Total Revenue per Income Statement</t>
        </is>
      </c>
      <c r="D95" s="956">
        <f>'Income Statement'!T12</f>
        <v/>
      </c>
      <c r="E95" s="956">
        <f>'Income Statement'!U12</f>
        <v/>
      </c>
      <c r="F95" s="956">
        <f>'Income Statement'!V12</f>
        <v/>
      </c>
      <c r="G95" s="956">
        <f>'Income Statement'!W12</f>
        <v/>
      </c>
      <c r="H95" s="994">
        <f>'Income Statement'!X12</f>
        <v/>
      </c>
      <c r="I95" s="956">
        <f>'Income Statement'!Y12</f>
        <v/>
      </c>
    </row>
    <row r="96" ht="12.75" customHeight="1">
      <c r="C96" s="958" t="inlineStr">
        <is>
          <t>Check</t>
        </is>
      </c>
      <c r="D96" s="959">
        <f>D94-D95</f>
        <v/>
      </c>
      <c r="E96" s="959">
        <f>E94-E95</f>
        <v/>
      </c>
      <c r="F96" s="959">
        <f>F94-F95</f>
        <v/>
      </c>
      <c r="G96" s="959">
        <f>G94-G95</f>
        <v/>
      </c>
      <c r="H96" s="995">
        <f>H94-H95</f>
        <v/>
      </c>
      <c r="I96" s="959">
        <f>I94-I95</f>
        <v/>
      </c>
    </row>
    <row r="98">
      <c r="C98" s="961" t="inlineStr">
        <is>
          <t>Memo: Pro Forma Bridge (Lexmark pre-acquisition, derived)</t>
        </is>
      </c>
      <c r="D98" s="962" t="n"/>
      <c r="E98" s="962" t="n"/>
      <c r="F98" s="962" t="n"/>
      <c r="G98" s="962" t="n"/>
      <c r="H98" s="962" t="n"/>
      <c r="I98" s="962" t="n"/>
    </row>
    <row r="99" ht="12.75" customHeight="1">
      <c r="C99" s="964" t="inlineStr">
        <is>
          <t>Lexmark Equipment Sales (pre-acquisition)</t>
        </is>
      </c>
      <c r="D99" s="996" t="n">
        <v>103</v>
      </c>
      <c r="E99" s="996" t="n">
        <v>109</v>
      </c>
      <c r="F99" s="996" t="n">
        <v>0</v>
      </c>
      <c r="G99" s="996" t="n">
        <v>0</v>
      </c>
      <c r="H99" s="997" t="n">
        <v>0</v>
      </c>
      <c r="I99" s="996" t="n">
        <v>0</v>
      </c>
      <c r="J99" s="965" t="n"/>
      <c r="K99" s="965" t="n"/>
      <c r="L99" s="965" t="n"/>
      <c r="M99" s="965" t="n"/>
    </row>
    <row r="100" ht="12.75" customHeight="1">
      <c r="C100" s="964" t="inlineStr">
        <is>
          <t>Lexmark Post Sale Revenue (pre-acquisition)</t>
        </is>
      </c>
      <c r="D100" s="996" t="n">
        <v>356</v>
      </c>
      <c r="E100" s="996" t="n">
        <v>371</v>
      </c>
      <c r="F100" s="996" t="n">
        <v>0</v>
      </c>
      <c r="G100" s="996" t="n">
        <v>0</v>
      </c>
      <c r="H100" s="997" t="n">
        <v>0</v>
      </c>
      <c r="I100" s="996" t="n">
        <v>0</v>
      </c>
      <c r="J100" s="965" t="n"/>
      <c r="K100" s="965" t="n"/>
      <c r="L100" s="965" t="n"/>
      <c r="M100" s="965" t="n"/>
    </row>
    <row r="101" ht="12.75" customHeight="1">
      <c r="C101" s="970" t="inlineStr">
        <is>
          <t>Pro Forma Equipment Growth (YoY)</t>
        </is>
      </c>
      <c r="D101" s="965" t="n"/>
      <c r="E101" s="965" t="n"/>
      <c r="F101" s="965" t="n"/>
      <c r="G101" s="965" t="n"/>
      <c r="H101" s="998">
        <f>H89/(D89+D99)-1</f>
        <v/>
      </c>
      <c r="I101" s="972">
        <f>I89/(E89+E99)-1</f>
        <v/>
      </c>
      <c r="J101" s="965" t="n"/>
      <c r="K101" s="965" t="n"/>
      <c r="L101" s="965" t="n"/>
      <c r="M101" s="965" t="n"/>
    </row>
    <row r="102" ht="12.75" customHeight="1">
      <c r="C102" s="970" t="inlineStr">
        <is>
          <t>Pro Forma Post Sale Growth (YoY)</t>
        </is>
      </c>
      <c r="D102" s="965" t="n"/>
      <c r="E102" s="965" t="n"/>
      <c r="F102" s="965" t="n"/>
      <c r="G102" s="965" t="n"/>
      <c r="H102" s="998">
        <f>H90/(D90+D100)-1</f>
        <v/>
      </c>
      <c r="I102" s="972">
        <f>I90/(E90+E100)-1</f>
        <v/>
      </c>
      <c r="J102" s="965" t="n"/>
      <c r="K102" s="965" t="n"/>
      <c r="L102" s="965" t="n"/>
      <c r="M102" s="965" t="n"/>
    </row>
    <row r="103" ht="12.75" customHeight="1">
      <c r="C103" s="970" t="inlineStr">
        <is>
          <t>Pro Forma Print &amp; Other Growth (YoY)</t>
        </is>
      </c>
      <c r="D103" s="965" t="n"/>
      <c r="E103" s="965" t="n"/>
      <c r="F103" s="965" t="n"/>
      <c r="G103" s="965" t="n"/>
      <c r="H103" s="998">
        <f>H91/(D91+D99+D100)-1</f>
        <v/>
      </c>
      <c r="I103" s="972">
        <f>I91/(E91+E99+E100)-1</f>
        <v/>
      </c>
      <c r="J103" s="965" t="n"/>
      <c r="K103" s="965" t="n"/>
      <c r="L103" s="965" t="n"/>
      <c r="M103" s="965" t="n"/>
    </row>
    <row r="104" ht="12.75" customHeight="1">
      <c r="B104" s="933" t="inlineStr">
        <is>
          <t>x</t>
        </is>
      </c>
      <c r="C104" s="999" t="inlineStr">
        <is>
          <t>IT Solutions Growth (YoY)</t>
        </is>
      </c>
      <c r="D104" s="1000" t="n"/>
      <c r="E104" s="1000" t="n"/>
      <c r="F104" s="1000" t="n"/>
      <c r="G104" s="1000" t="n"/>
      <c r="H104" s="1001">
        <f>H92/D92-1</f>
        <v/>
      </c>
      <c r="I104" s="1002">
        <f>I92/E92-1</f>
        <v/>
      </c>
      <c r="J104" s="965" t="n"/>
      <c r="K104" s="965" t="n"/>
      <c r="L104" s="965" t="n"/>
      <c r="M104" s="965" t="n"/>
    </row>
    <row r="106">
      <c r="A106" s="933" t="inlineStr">
        <is>
          <t>End</t>
        </is>
      </c>
    </row>
  </sheetData>
  <hyperlinks>
    <hyperlink ref="B1" location="'Cover Page'!A1" display="'Cover Page'!A1"/>
  </hyperlink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M82"/>
  <sheetViews>
    <sheetView showGridLines="0" tabSelected="0" workbookViewId="0">
      <selection activeCell="A1" sqref="A1"/>
    </sheetView>
  </sheetViews>
  <sheetFormatPr baseColWidth="8" defaultRowHeight="15"/>
  <cols>
    <col width="1.73" customWidth="1" min="1" max="1"/>
    <col width="1.73" customWidth="1" min="2" max="2"/>
    <col width="52"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73" customWidth="1" min="14" max="14"/>
  </cols>
  <sheetData>
    <row r="1" ht="12.75" customHeight="1">
      <c r="A1" s="924">
        <f>C3</f>
        <v/>
      </c>
      <c r="B1" s="925">
        <f>'Cover Page'!A1</f>
        <v/>
      </c>
    </row>
    <row r="2" ht="12.75" customHeight="1"/>
    <row r="3" ht="14.25" customHeight="1">
      <c r="C3" s="926" t="inlineStr">
        <is>
          <t>$XRX, Discounted Cash Flows Operating Assumptions</t>
        </is>
      </c>
      <c r="D3" s="927" t="n"/>
      <c r="E3" s="927" t="n"/>
      <c r="F3" s="927" t="n"/>
      <c r="G3" s="927" t="n"/>
      <c r="H3" s="927" t="n"/>
      <c r="I3" s="927" t="n"/>
      <c r="J3" s="927" t="n"/>
      <c r="K3" s="927" t="n"/>
      <c r="L3" s="927" t="n"/>
      <c r="M3" s="928" t="inlineStr">
        <is>
          <t>Xerox Holdings Corporation</t>
        </is>
      </c>
    </row>
    <row r="4" ht="12.75" customHeight="1">
      <c r="C4" s="929" t="inlineStr">
        <is>
          <t>All values in $ millions (USD)</t>
        </is>
      </c>
    </row>
    <row r="6">
      <c r="C6" s="930" t="inlineStr">
        <is>
          <t>Active Case (select on Cover Page)</t>
        </is>
      </c>
      <c r="D6" s="931">
        <f>'Cover Page'!$F$31</f>
        <v/>
      </c>
      <c r="E6" s="932">
        <f>IF(D6="Bear",1,IF(D6="Bull",3,2))</f>
        <v/>
      </c>
    </row>
    <row r="8" ht="12.75" customHeight="1">
      <c r="A8" s="933" t="inlineStr">
        <is>
          <t>x</t>
        </is>
      </c>
      <c r="B8" s="933" t="inlineStr">
        <is>
          <t>x</t>
        </is>
      </c>
      <c r="C8" s="934" t="inlineStr">
        <is>
          <t>Income Statement</t>
        </is>
      </c>
      <c r="D8" s="935" t="inlineStr">
        <is>
          <t>Fiscal Year Ended December 31,</t>
        </is>
      </c>
      <c r="E8" s="935" t="n"/>
      <c r="F8" s="935" t="n"/>
      <c r="G8" s="935" t="n"/>
      <c r="H8" s="936" t="inlineStr">
        <is>
          <t>LTM</t>
        </is>
      </c>
      <c r="I8" s="937" t="inlineStr">
        <is>
          <t>Projected</t>
        </is>
      </c>
      <c r="J8" s="937" t="n"/>
      <c r="K8" s="937" t="n"/>
      <c r="L8" s="937" t="n"/>
      <c r="M8" s="937" t="n"/>
    </row>
    <row r="9" ht="12.75" customHeight="1">
      <c r="C9" s="938" t="n"/>
      <c r="D9" s="939" t="inlineStr">
        <is>
          <t>2022A</t>
        </is>
      </c>
      <c r="E9" s="939" t="inlineStr">
        <is>
          <t>2023A</t>
        </is>
      </c>
      <c r="F9" s="939" t="inlineStr">
        <is>
          <t>2024A</t>
        </is>
      </c>
      <c r="G9" s="939" t="inlineStr">
        <is>
          <t>2025A</t>
        </is>
      </c>
      <c r="H9" s="940" t="inlineStr">
        <is>
          <t>LTM 2Q'26</t>
        </is>
      </c>
      <c r="I9" s="939" t="inlineStr">
        <is>
          <t>2026E</t>
        </is>
      </c>
      <c r="J9" s="939" t="inlineStr">
        <is>
          <t>2027E</t>
        </is>
      </c>
      <c r="K9" s="939" t="inlineStr">
        <is>
          <t>2028E</t>
        </is>
      </c>
      <c r="L9" s="939" t="inlineStr">
        <is>
          <t>2029E</t>
        </is>
      </c>
      <c r="M9" s="939" t="inlineStr">
        <is>
          <t>2030E</t>
        </is>
      </c>
    </row>
    <row r="10" ht="3" customHeight="1">
      <c r="H10" s="941" t="n"/>
    </row>
    <row r="11" ht="12.75" customHeight="1">
      <c r="C11" s="930" t="inlineStr">
        <is>
          <t>Revenue</t>
        </is>
      </c>
      <c r="D11" s="1003">
        <f>'Income Statement Output'!E13</f>
        <v/>
      </c>
      <c r="E11" s="1003">
        <f>'Income Statement Output'!F13</f>
        <v/>
      </c>
      <c r="F11" s="1003">
        <f>'Income Statement Output'!G13</f>
        <v/>
      </c>
      <c r="G11" s="1003">
        <f>'Income Statement Output'!H13</f>
        <v/>
      </c>
      <c r="H11" s="1004">
        <f>'Income Statement Output'!J13</f>
        <v/>
      </c>
      <c r="I11" s="1003">
        <f>'$XRX Revenue Build'!I24</f>
        <v/>
      </c>
      <c r="J11" s="1003">
        <f>'$XRX Revenue Build'!J24</f>
        <v/>
      </c>
      <c r="K11" s="1003">
        <f>'$XRX Revenue Build'!K24</f>
        <v/>
      </c>
      <c r="L11" s="1003">
        <f>'$XRX Revenue Build'!L24</f>
        <v/>
      </c>
      <c r="M11" s="1003">
        <f>'$XRX Revenue Build'!M24</f>
        <v/>
      </c>
    </row>
    <row r="12" ht="12.75" customHeight="1">
      <c r="C12" s="945" t="inlineStr">
        <is>
          <t>% Growth</t>
        </is>
      </c>
      <c r="E12" s="946">
        <f>E11/D11-1</f>
        <v/>
      </c>
      <c r="F12" s="946">
        <f>F11/E11-1</f>
        <v/>
      </c>
      <c r="G12" s="946">
        <f>G11/F11-1</f>
        <v/>
      </c>
      <c r="H12" s="941" t="n"/>
      <c r="I12" s="946">
        <f>I11/G11-1</f>
        <v/>
      </c>
      <c r="J12" s="946">
        <f>J11/I11-1</f>
        <v/>
      </c>
      <c r="K12" s="946">
        <f>K11/J11-1</f>
        <v/>
      </c>
      <c r="L12" s="946">
        <f>L11/K11-1</f>
        <v/>
      </c>
      <c r="M12" s="946">
        <f>M11/L11-1</f>
        <v/>
      </c>
    </row>
    <row r="13">
      <c r="H13" s="941" t="n"/>
    </row>
    <row r="14" ht="12.75" customHeight="1">
      <c r="C14" s="942" t="inlineStr">
        <is>
          <t>Cost of Revenues</t>
        </is>
      </c>
      <c r="D14" s="988">
        <f>-'Income Statement Output'!E14</f>
        <v/>
      </c>
      <c r="E14" s="988">
        <f>-'Income Statement Output'!F14</f>
        <v/>
      </c>
      <c r="F14" s="988">
        <f>-'Income Statement Output'!G14</f>
        <v/>
      </c>
      <c r="G14" s="988">
        <f>-'Income Statement Output'!H14</f>
        <v/>
      </c>
      <c r="H14" s="989">
        <f>-'Income Statement Output'!J14</f>
        <v/>
      </c>
      <c r="I14" s="948">
        <f>I11*I15</f>
        <v/>
      </c>
      <c r="J14" s="948">
        <f>J11*J15</f>
        <v/>
      </c>
      <c r="K14" s="948">
        <f>K11*K15</f>
        <v/>
      </c>
      <c r="L14" s="948">
        <f>L11*L15</f>
        <v/>
      </c>
      <c r="M14" s="948">
        <f>M11*M15</f>
        <v/>
      </c>
    </row>
    <row r="15" ht="12.75" customHeight="1">
      <c r="C15" s="945" t="inlineStr">
        <is>
          <t>% of Revenue</t>
        </is>
      </c>
      <c r="D15" s="946">
        <f>D14/D11</f>
        <v/>
      </c>
      <c r="E15" s="946">
        <f>E14/E11</f>
        <v/>
      </c>
      <c r="F15" s="946">
        <f>F14/F11</f>
        <v/>
      </c>
      <c r="G15" s="946">
        <f>G14/G11</f>
        <v/>
      </c>
      <c r="H15" s="947">
        <f>H14/H11</f>
        <v/>
      </c>
      <c r="I15" s="946">
        <f>$H$15</f>
        <v/>
      </c>
      <c r="J15" s="946">
        <f>$H$15</f>
        <v/>
      </c>
      <c r="K15" s="946">
        <f>$H$15</f>
        <v/>
      </c>
      <c r="L15" s="946">
        <f>$H$15</f>
        <v/>
      </c>
      <c r="M15" s="946">
        <f>$H$15</f>
        <v/>
      </c>
    </row>
    <row r="16">
      <c r="H16" s="941" t="n"/>
    </row>
    <row r="17" ht="12.75" customHeight="1">
      <c r="C17" s="942" t="inlineStr">
        <is>
          <t>Adjusted EBITDA (excl. IEEPA tariff benefit)</t>
        </is>
      </c>
      <c r="D17" s="1005">
        <f>'Income Statement Output'!E37</f>
        <v/>
      </c>
      <c r="E17" s="1005">
        <f>'Income Statement Output'!F37</f>
        <v/>
      </c>
      <c r="F17" s="1005">
        <f>'Income Statement Output'!G37</f>
        <v/>
      </c>
      <c r="G17" s="1005">
        <f>'Income Statement Output'!H37</f>
        <v/>
      </c>
      <c r="H17" s="1006">
        <f>'Income Statement Output'!J37</f>
        <v/>
      </c>
      <c r="I17" s="943">
        <f>I23+I20</f>
        <v/>
      </c>
      <c r="J17" s="943">
        <f>J23+J20</f>
        <v/>
      </c>
      <c r="K17" s="943">
        <f>K23+K20</f>
        <v/>
      </c>
      <c r="L17" s="943">
        <f>L23+L20</f>
        <v/>
      </c>
      <c r="M17" s="943">
        <f>M23+M20</f>
        <v/>
      </c>
    </row>
    <row r="18" ht="12.75" customHeight="1">
      <c r="C18" s="945" t="inlineStr">
        <is>
          <t>% of Revenue</t>
        </is>
      </c>
      <c r="D18" s="946">
        <f>D17/D11</f>
        <v/>
      </c>
      <c r="E18" s="946">
        <f>E17/E11</f>
        <v/>
      </c>
      <c r="F18" s="946">
        <f>F17/F11</f>
        <v/>
      </c>
      <c r="G18" s="946">
        <f>G17/G11</f>
        <v/>
      </c>
      <c r="H18" s="947">
        <f>H17/H11</f>
        <v/>
      </c>
      <c r="I18" s="946">
        <f>I17/I11</f>
        <v/>
      </c>
      <c r="J18" s="946">
        <f>J17/J11</f>
        <v/>
      </c>
      <c r="K18" s="946">
        <f>K17/K11</f>
        <v/>
      </c>
      <c r="L18" s="946">
        <f>L17/L11</f>
        <v/>
      </c>
      <c r="M18" s="946">
        <f>M17/M11</f>
        <v/>
      </c>
    </row>
    <row r="19">
      <c r="H19" s="941" t="n"/>
    </row>
    <row r="20" ht="12.75" customHeight="1">
      <c r="C20" s="942" t="inlineStr">
        <is>
          <t>Depreciation (excl. Amortization of Intangibles)</t>
        </is>
      </c>
      <c r="D20" s="988">
        <f>'Income Statement Output'!E22+'Income Statement Output'!E19</f>
        <v/>
      </c>
      <c r="E20" s="988">
        <f>'Income Statement Output'!F22+'Income Statement Output'!F19</f>
        <v/>
      </c>
      <c r="F20" s="988">
        <f>'Income Statement Output'!G22+'Income Statement Output'!G19</f>
        <v/>
      </c>
      <c r="G20" s="988">
        <f>'Income Statement Output'!H22+'Income Statement Output'!H19</f>
        <v/>
      </c>
      <c r="H20" s="989">
        <f>'Income Statement Output'!J22+'Income Statement Output'!J19</f>
        <v/>
      </c>
      <c r="I20" s="948">
        <f>I11*I21</f>
        <v/>
      </c>
      <c r="J20" s="948">
        <f>J11*J21</f>
        <v/>
      </c>
      <c r="K20" s="948">
        <f>K11*K21</f>
        <v/>
      </c>
      <c r="L20" s="948">
        <f>L11*L21</f>
        <v/>
      </c>
      <c r="M20" s="948">
        <f>M11*M21</f>
        <v/>
      </c>
    </row>
    <row r="21" ht="12.75" customHeight="1">
      <c r="C21" s="945" t="inlineStr">
        <is>
          <t>% of Revenue</t>
        </is>
      </c>
      <c r="D21" s="946">
        <f>D20/D11</f>
        <v/>
      </c>
      <c r="E21" s="946">
        <f>E20/E11</f>
        <v/>
      </c>
      <c r="F21" s="946">
        <f>F20/F11</f>
        <v/>
      </c>
      <c r="G21" s="946">
        <f>G20/G11</f>
        <v/>
      </c>
      <c r="H21" s="947">
        <f>H20/H11</f>
        <v/>
      </c>
      <c r="I21" s="946">
        <f>$H$21</f>
        <v/>
      </c>
      <c r="J21" s="946">
        <f>$H$21</f>
        <v/>
      </c>
      <c r="K21" s="946">
        <f>$H$21</f>
        <v/>
      </c>
      <c r="L21" s="946">
        <f>$H$21</f>
        <v/>
      </c>
      <c r="M21" s="946">
        <f>$H$21</f>
        <v/>
      </c>
    </row>
    <row r="22">
      <c r="H22" s="941" t="n"/>
    </row>
    <row r="23" ht="12.75" customHeight="1">
      <c r="C23" s="952" t="inlineStr">
        <is>
          <t>Adjusted Operating Income</t>
        </is>
      </c>
      <c r="D23" s="953">
        <f>D17-D20</f>
        <v/>
      </c>
      <c r="E23" s="953">
        <f>E17-E20</f>
        <v/>
      </c>
      <c r="F23" s="953">
        <f>F17-F20</f>
        <v/>
      </c>
      <c r="G23" s="953">
        <f>G17-G20</f>
        <v/>
      </c>
      <c r="H23" s="954">
        <f>H17-H20</f>
        <v/>
      </c>
      <c r="I23" s="953">
        <f>I11*I24</f>
        <v/>
      </c>
      <c r="J23" s="953">
        <f>J11*J24</f>
        <v/>
      </c>
      <c r="K23" s="953">
        <f>K11*K24</f>
        <v/>
      </c>
      <c r="L23" s="953">
        <f>L11*L24</f>
        <v/>
      </c>
      <c r="M23" s="953">
        <f>M11*M24</f>
        <v/>
      </c>
    </row>
    <row r="24" ht="12.75" customHeight="1">
      <c r="C24" s="945" t="inlineStr">
        <is>
          <t>% of Revenue (Adj. Operating Margin)</t>
        </is>
      </c>
      <c r="D24" s="946">
        <f>D23/D11</f>
        <v/>
      </c>
      <c r="E24" s="946">
        <f>E23/E11</f>
        <v/>
      </c>
      <c r="F24" s="946">
        <f>F23/F11</f>
        <v/>
      </c>
      <c r="G24" s="946">
        <f>G23/G11</f>
        <v/>
      </c>
      <c r="H24" s="947">
        <f>H23/H11</f>
        <v/>
      </c>
      <c r="I24" s="987">
        <f>CHOOSE($E$6,I25,I26,I27)</f>
        <v/>
      </c>
      <c r="J24" s="987">
        <f>CHOOSE($E$6,J25,J26,J27)</f>
        <v/>
      </c>
      <c r="K24" s="987">
        <f>CHOOSE($E$6,K25,K26,K27)</f>
        <v/>
      </c>
      <c r="L24" s="987">
        <f>CHOOSE($E$6,L25,L26,L27)</f>
        <v/>
      </c>
      <c r="M24" s="987">
        <f>CHOOSE($E$6,M25,M26,M27)</f>
        <v/>
      </c>
    </row>
    <row r="25" ht="12.75" customHeight="1">
      <c r="C25" s="983" t="inlineStr">
        <is>
          <t>Bear Case</t>
        </is>
      </c>
      <c r="H25" s="941" t="n"/>
      <c r="I25" s="1007" t="n">
        <v>0.0525</v>
      </c>
      <c r="J25" s="1007" t="n">
        <v>0.055</v>
      </c>
      <c r="K25" s="1007" t="n">
        <v>0.0575</v>
      </c>
      <c r="L25" s="1007" t="n">
        <v>0.0575</v>
      </c>
      <c r="M25" s="1007" t="n">
        <v>0.0575</v>
      </c>
    </row>
    <row r="26" ht="12.75" customHeight="1">
      <c r="C26" s="983" t="inlineStr">
        <is>
          <t>Base Case</t>
        </is>
      </c>
      <c r="H26" s="941" t="n"/>
      <c r="I26" s="1007" t="n">
        <v>0.0625</v>
      </c>
      <c r="J26" s="1007" t="n">
        <v>0.07000000000000001</v>
      </c>
      <c r="K26" s="1007" t="n">
        <v>0.075</v>
      </c>
      <c r="L26" s="1007" t="n">
        <v>0.075</v>
      </c>
      <c r="M26" s="1007" t="n">
        <v>0.075</v>
      </c>
    </row>
    <row r="27" ht="12.75" customHeight="1">
      <c r="C27" s="983" t="inlineStr">
        <is>
          <t>Bull Case</t>
        </is>
      </c>
      <c r="H27" s="941" t="n"/>
      <c r="I27" s="1007" t="n">
        <v>0.0675</v>
      </c>
      <c r="J27" s="1007" t="n">
        <v>0.0775</v>
      </c>
      <c r="K27" s="1007" t="n">
        <v>0.08500000000000001</v>
      </c>
      <c r="L27" s="1007" t="n">
        <v>0.08749999999999999</v>
      </c>
      <c r="M27" s="1007" t="n">
        <v>0.08749999999999999</v>
      </c>
    </row>
    <row r="28">
      <c r="H28" s="941" t="n"/>
    </row>
    <row r="29" ht="12.75" customHeight="1">
      <c r="C29" s="942" t="inlineStr">
        <is>
          <t>Restructuring and Related Costs, Net</t>
        </is>
      </c>
      <c r="D29" s="988">
        <f>'Income Statement Output'!E18</f>
        <v/>
      </c>
      <c r="E29" s="988">
        <f>'Income Statement Output'!F18</f>
        <v/>
      </c>
      <c r="F29" s="988">
        <f>'Income Statement Output'!G18</f>
        <v/>
      </c>
      <c r="G29" s="988">
        <f>'Income Statement Output'!H18</f>
        <v/>
      </c>
      <c r="H29" s="989">
        <f>'Income Statement Output'!J18</f>
        <v/>
      </c>
      <c r="I29" s="948">
        <f>I11*I30</f>
        <v/>
      </c>
      <c r="J29" s="948">
        <f>J11*J30</f>
        <v/>
      </c>
      <c r="K29" s="948">
        <f>K11*K30</f>
        <v/>
      </c>
      <c r="L29" s="948">
        <f>L11*L30</f>
        <v/>
      </c>
      <c r="M29" s="948">
        <f>M11*M30</f>
        <v/>
      </c>
    </row>
    <row r="30" ht="12.75" customHeight="1">
      <c r="C30" s="945" t="inlineStr">
        <is>
          <t>% of Revenue</t>
        </is>
      </c>
      <c r="D30" s="946">
        <f>D29/D11</f>
        <v/>
      </c>
      <c r="E30" s="946">
        <f>E29/E11</f>
        <v/>
      </c>
      <c r="F30" s="946">
        <f>F29/F11</f>
        <v/>
      </c>
      <c r="G30" s="946">
        <f>G29/G11</f>
        <v/>
      </c>
      <c r="H30" s="947">
        <f>H29/H11</f>
        <v/>
      </c>
      <c r="I30" s="1007" t="n">
        <v>-0.0165</v>
      </c>
      <c r="J30" s="1007" t="n">
        <v>-0.0135</v>
      </c>
      <c r="K30" s="1007" t="n">
        <v>-0.007</v>
      </c>
      <c r="L30" s="1007" t="n">
        <v>-0.0055</v>
      </c>
      <c r="M30" s="1007" t="n">
        <v>-0.0055</v>
      </c>
    </row>
    <row r="31">
      <c r="H31" s="941" t="n"/>
    </row>
    <row r="32" ht="12.75" customHeight="1">
      <c r="C32" s="952" t="inlineStr">
        <is>
          <t>EBIT (Adj. Operating Income less Restructuring)</t>
        </is>
      </c>
      <c r="D32" s="953">
        <f>D23+D29</f>
        <v/>
      </c>
      <c r="E32" s="953">
        <f>E23+E29</f>
        <v/>
      </c>
      <c r="F32" s="953">
        <f>F23+F29</f>
        <v/>
      </c>
      <c r="G32" s="953">
        <f>G23+G29</f>
        <v/>
      </c>
      <c r="H32" s="954">
        <f>H23+H29</f>
        <v/>
      </c>
      <c r="I32" s="953">
        <f>I23+I29</f>
        <v/>
      </c>
      <c r="J32" s="953">
        <f>J23+J29</f>
        <v/>
      </c>
      <c r="K32" s="953">
        <f>K23+K29</f>
        <v/>
      </c>
      <c r="L32" s="953">
        <f>L23+L29</f>
        <v/>
      </c>
      <c r="M32" s="953">
        <f>M23+M29</f>
        <v/>
      </c>
    </row>
    <row r="33" ht="12.75" customHeight="1">
      <c r="C33" s="945" t="inlineStr">
        <is>
          <t>% of Revenue</t>
        </is>
      </c>
      <c r="D33" s="946">
        <f>D32/D11</f>
        <v/>
      </c>
      <c r="E33" s="946">
        <f>E32/E11</f>
        <v/>
      </c>
      <c r="F33" s="946">
        <f>F32/F11</f>
        <v/>
      </c>
      <c r="G33" s="946">
        <f>G32/G11</f>
        <v/>
      </c>
      <c r="H33" s="947">
        <f>H32/H11</f>
        <v/>
      </c>
      <c r="I33" s="946">
        <f>I32/I11</f>
        <v/>
      </c>
      <c r="J33" s="946">
        <f>J32/J11</f>
        <v/>
      </c>
      <c r="K33" s="946">
        <f>K32/K11</f>
        <v/>
      </c>
      <c r="L33" s="946">
        <f>L32/L11</f>
        <v/>
      </c>
      <c r="M33" s="946">
        <f>M32/M11</f>
        <v/>
      </c>
    </row>
    <row r="34">
      <c r="H34" s="941" t="n"/>
    </row>
    <row r="35" ht="12.75" customHeight="1">
      <c r="C35" s="942" t="inlineStr">
        <is>
          <t>Income Tax Expense (Benefit)</t>
        </is>
      </c>
      <c r="D35" s="988">
        <f>'Income Statement'!AB31</f>
        <v/>
      </c>
      <c r="E35" s="988">
        <f>'Income Statement'!AC31</f>
        <v/>
      </c>
      <c r="F35" s="988">
        <f>'Income Statement'!AD31</f>
        <v/>
      </c>
      <c r="G35" s="988">
        <f>'Income Statement'!AE31</f>
        <v/>
      </c>
      <c r="H35" s="989">
        <f>'Income Statement'!AH31</f>
        <v/>
      </c>
      <c r="I35" s="948">
        <f>I32*I36</f>
        <v/>
      </c>
      <c r="J35" s="948">
        <f>J32*J36</f>
        <v/>
      </c>
      <c r="K35" s="948">
        <f>K32*K36</f>
        <v/>
      </c>
      <c r="L35" s="948">
        <f>L32*L36</f>
        <v/>
      </c>
      <c r="M35" s="948">
        <f>M32*M36</f>
        <v/>
      </c>
    </row>
    <row r="36" ht="12.75" customHeight="1">
      <c r="B36" s="933" t="inlineStr">
        <is>
          <t>x</t>
        </is>
      </c>
      <c r="C36" s="945" t="inlineStr">
        <is>
          <t>% of EBT (projected on EBIT)</t>
        </is>
      </c>
      <c r="D36" s="951">
        <f>IFERROR(IF(AND('Income Statement'!AB30&gt;0,D35/'Income Statement'!AB30&gt;=0,D35/'Income Statement'!AB30&lt;=1),D35/'Income Statement'!AB30,"NM"),"NM")</f>
        <v/>
      </c>
      <c r="E36" s="951">
        <f>IFERROR(IF(AND('Income Statement'!AC30&gt;0,E35/'Income Statement'!AC30&gt;=0,E35/'Income Statement'!AC30&lt;=1),E35/'Income Statement'!AC30,"NM"),"NM")</f>
        <v/>
      </c>
      <c r="F36" s="951">
        <f>IFERROR(IF(AND('Income Statement'!AD30&gt;0,F35/'Income Statement'!AD30&gt;=0,F35/'Income Statement'!AD30&lt;=1),F35/'Income Statement'!AD30,"NM"),"NM")</f>
        <v/>
      </c>
      <c r="G36" s="951">
        <f>IFERROR(IF(AND('Income Statement'!AE30&gt;0,G35/'Income Statement'!AE30&gt;=0,G35/'Income Statement'!AE30&lt;=1),G35/'Income Statement'!AE30,"NM"),"NM")</f>
        <v/>
      </c>
      <c r="H36" s="1008">
        <f>IFERROR(IF(AND('Income Statement'!AH30&gt;0,H35/'Income Statement'!AH30&gt;=0,H35/'Income Statement'!AH30&lt;=1),H35/'Income Statement'!AH30,"NM"),"NM")</f>
        <v/>
      </c>
      <c r="I36" s="984" t="n">
        <v>0.25</v>
      </c>
      <c r="J36" s="946">
        <f>I36</f>
        <v/>
      </c>
      <c r="K36" s="946">
        <f>J36</f>
        <v/>
      </c>
      <c r="L36" s="946">
        <f>K36</f>
        <v/>
      </c>
      <c r="M36" s="946">
        <f>L36</f>
        <v/>
      </c>
    </row>
    <row r="39" ht="12.75" customHeight="1">
      <c r="A39" s="933" t="inlineStr">
        <is>
          <t>x</t>
        </is>
      </c>
      <c r="B39" s="933" t="inlineStr">
        <is>
          <t>x</t>
        </is>
      </c>
      <c r="C39" s="934" t="inlineStr">
        <is>
          <t>Balance Sheet (Operating Working Capital)</t>
        </is>
      </c>
      <c r="D39" s="935" t="inlineStr">
        <is>
          <t>Fiscal Year Ended December 31,</t>
        </is>
      </c>
      <c r="E39" s="935" t="n"/>
      <c r="F39" s="935" t="n"/>
      <c r="G39" s="935" t="n"/>
      <c r="H39" s="936" t="inlineStr">
        <is>
          <t>LTM</t>
        </is>
      </c>
      <c r="I39" s="937" t="inlineStr">
        <is>
          <t>Projected</t>
        </is>
      </c>
      <c r="J39" s="937" t="n"/>
      <c r="K39" s="937" t="n"/>
      <c r="L39" s="937" t="n"/>
      <c r="M39" s="937" t="n"/>
    </row>
    <row r="40" ht="12.75" customHeight="1">
      <c r="C40" s="938" t="n"/>
      <c r="D40" s="939" t="inlineStr">
        <is>
          <t>2022A</t>
        </is>
      </c>
      <c r="E40" s="939" t="inlineStr">
        <is>
          <t>2023A</t>
        </is>
      </c>
      <c r="F40" s="939" t="inlineStr">
        <is>
          <t>2024A</t>
        </is>
      </c>
      <c r="G40" s="939" t="inlineStr">
        <is>
          <t>2025A</t>
        </is>
      </c>
      <c r="H40" s="940" t="inlineStr">
        <is>
          <t>LTM 2Q'26</t>
        </is>
      </c>
      <c r="I40" s="939" t="inlineStr">
        <is>
          <t>2026E</t>
        </is>
      </c>
      <c r="J40" s="939" t="inlineStr">
        <is>
          <t>2027E</t>
        </is>
      </c>
      <c r="K40" s="939" t="inlineStr">
        <is>
          <t>2028E</t>
        </is>
      </c>
      <c r="L40" s="939" t="inlineStr">
        <is>
          <t>2029E</t>
        </is>
      </c>
      <c r="M40" s="939" t="inlineStr">
        <is>
          <t>2030E</t>
        </is>
      </c>
    </row>
    <row r="41" ht="3" customHeight="1">
      <c r="H41" s="941" t="n"/>
    </row>
    <row r="42">
      <c r="C42" s="942" t="inlineStr">
        <is>
          <t>Days in a Year</t>
        </is>
      </c>
      <c r="D42" s="980" t="n">
        <v>360</v>
      </c>
      <c r="H42" s="941" t="n"/>
    </row>
    <row r="43">
      <c r="H43" s="941" t="n"/>
    </row>
    <row r="44" ht="12.75" customHeight="1">
      <c r="C44" s="942" t="inlineStr">
        <is>
          <t>Accounts Receivable, Net</t>
        </is>
      </c>
      <c r="D44" s="988">
        <f>'Balance Sheet Output'!E12</f>
        <v/>
      </c>
      <c r="E44" s="988">
        <f>'Balance Sheet Output'!F12</f>
        <v/>
      </c>
      <c r="F44" s="988">
        <f>'Balance Sheet Output'!G12</f>
        <v/>
      </c>
      <c r="G44" s="988">
        <f>'Balance Sheet Output'!H12</f>
        <v/>
      </c>
      <c r="H44" s="989">
        <f>'Balance Sheet Output'!J12</f>
        <v/>
      </c>
      <c r="I44" s="948">
        <f>I45*I11/$D$42</f>
        <v/>
      </c>
      <c r="J44" s="948">
        <f>J45*J11/$D$42</f>
        <v/>
      </c>
      <c r="K44" s="948">
        <f>K45*K11/$D$42</f>
        <v/>
      </c>
      <c r="L44" s="948">
        <f>L45*L11/$D$42</f>
        <v/>
      </c>
      <c r="M44" s="948">
        <f>M45*M11/$D$42</f>
        <v/>
      </c>
    </row>
    <row r="45" ht="12.75" customHeight="1">
      <c r="C45" s="945" t="inlineStr">
        <is>
          <t>Days Sales Outstanding</t>
        </is>
      </c>
      <c r="D45" s="1009">
        <f>D44/D11*$D$42</f>
        <v/>
      </c>
      <c r="E45" s="1009">
        <f>E44/E11*$D$42</f>
        <v/>
      </c>
      <c r="F45" s="1009">
        <f>F44/F11*$D$42</f>
        <v/>
      </c>
      <c r="G45" s="1009">
        <f>G44/G11*$D$42</f>
        <v/>
      </c>
      <c r="H45" s="1010">
        <f>H44/H11*$D$42</f>
        <v/>
      </c>
      <c r="I45" s="1009">
        <f>$H$45</f>
        <v/>
      </c>
      <c r="J45" s="1009">
        <f>$H$45</f>
        <v/>
      </c>
      <c r="K45" s="1009">
        <f>$H$45</f>
        <v/>
      </c>
      <c r="L45" s="1009">
        <f>$H$45</f>
        <v/>
      </c>
      <c r="M45" s="1009">
        <f>$H$45</f>
        <v/>
      </c>
    </row>
    <row r="46">
      <c r="H46" s="941" t="n"/>
    </row>
    <row r="47" ht="12.75" customHeight="1">
      <c r="C47" s="942" t="inlineStr">
        <is>
          <t>Billed Portion of Finance Receivables, Net</t>
        </is>
      </c>
      <c r="D47" s="988">
        <f>'Balance Sheet Output'!E13</f>
        <v/>
      </c>
      <c r="E47" s="988">
        <f>'Balance Sheet Output'!F13</f>
        <v/>
      </c>
      <c r="F47" s="988">
        <f>'Balance Sheet Output'!G13</f>
        <v/>
      </c>
      <c r="G47" s="988">
        <f>'Balance Sheet Output'!H13</f>
        <v/>
      </c>
      <c r="H47" s="989">
        <f>'Balance Sheet Output'!J13</f>
        <v/>
      </c>
      <c r="I47" s="948">
        <f>I11*I48</f>
        <v/>
      </c>
      <c r="J47" s="948">
        <f>J11*J48</f>
        <v/>
      </c>
      <c r="K47" s="948">
        <f>K11*K48</f>
        <v/>
      </c>
      <c r="L47" s="948">
        <f>L11*L48</f>
        <v/>
      </c>
      <c r="M47" s="948">
        <f>M11*M48</f>
        <v/>
      </c>
    </row>
    <row r="48" ht="12.75" customHeight="1">
      <c r="C48" s="945" t="inlineStr">
        <is>
          <t>% of Revenue</t>
        </is>
      </c>
      <c r="D48" s="946">
        <f>D47/D11</f>
        <v/>
      </c>
      <c r="E48" s="946">
        <f>E47/E11</f>
        <v/>
      </c>
      <c r="F48" s="946">
        <f>F47/F11</f>
        <v/>
      </c>
      <c r="G48" s="946">
        <f>G47/G11</f>
        <v/>
      </c>
      <c r="H48" s="947">
        <f>H47/H11</f>
        <v/>
      </c>
      <c r="I48" s="946">
        <f>$H$48</f>
        <v/>
      </c>
      <c r="J48" s="946">
        <f>$H$48</f>
        <v/>
      </c>
      <c r="K48" s="946">
        <f>$H$48</f>
        <v/>
      </c>
      <c r="L48" s="946">
        <f>$H$48</f>
        <v/>
      </c>
      <c r="M48" s="946">
        <f>$H$48</f>
        <v/>
      </c>
    </row>
    <row r="49">
      <c r="H49" s="941" t="n"/>
    </row>
    <row r="50" ht="12.75" customHeight="1">
      <c r="C50" s="942" t="inlineStr">
        <is>
          <t>Inventories</t>
        </is>
      </c>
      <c r="D50" s="988">
        <f>'Balance Sheet Output'!E15</f>
        <v/>
      </c>
      <c r="E50" s="988">
        <f>'Balance Sheet Output'!F15</f>
        <v/>
      </c>
      <c r="F50" s="988">
        <f>'Balance Sheet Output'!G15</f>
        <v/>
      </c>
      <c r="G50" s="988">
        <f>'Balance Sheet Output'!H15</f>
        <v/>
      </c>
      <c r="H50" s="989">
        <f>'Balance Sheet Output'!J15</f>
        <v/>
      </c>
      <c r="I50" s="948">
        <f>I51*I14/$D$42</f>
        <v/>
      </c>
      <c r="J50" s="948">
        <f>J51*J14/$D$42</f>
        <v/>
      </c>
      <c r="K50" s="948">
        <f>K51*K14/$D$42</f>
        <v/>
      </c>
      <c r="L50" s="948">
        <f>L51*L14/$D$42</f>
        <v/>
      </c>
      <c r="M50" s="948">
        <f>M51*M14/$D$42</f>
        <v/>
      </c>
    </row>
    <row r="51" ht="12.75" customHeight="1">
      <c r="C51" s="945" t="inlineStr">
        <is>
          <t>Days Inventory Outstanding (on Cost of Revenues)</t>
        </is>
      </c>
      <c r="D51" s="1009">
        <f>D50/D14*$D$42</f>
        <v/>
      </c>
      <c r="E51" s="1009">
        <f>E50/E14*$D$42</f>
        <v/>
      </c>
      <c r="F51" s="1009">
        <f>F50/F14*$D$42</f>
        <v/>
      </c>
      <c r="G51" s="1009">
        <f>G50/G14*$D$42</f>
        <v/>
      </c>
      <c r="H51" s="1010">
        <f>H50/H14*$D$42</f>
        <v/>
      </c>
      <c r="I51" s="1009">
        <f>$H$51</f>
        <v/>
      </c>
      <c r="J51" s="1009">
        <f>$H$51</f>
        <v/>
      </c>
      <c r="K51" s="1009">
        <f>$H$51</f>
        <v/>
      </c>
      <c r="L51" s="1009">
        <f>$H$51</f>
        <v/>
      </c>
      <c r="M51" s="1009">
        <f>$H$51</f>
        <v/>
      </c>
    </row>
    <row r="52">
      <c r="H52" s="941" t="n"/>
    </row>
    <row r="53" ht="12.75" customHeight="1">
      <c r="C53" s="942" t="inlineStr">
        <is>
          <t>Other Current Assets</t>
        </is>
      </c>
      <c r="D53" s="988">
        <f>'Balance Sheet Output'!E16</f>
        <v/>
      </c>
      <c r="E53" s="988">
        <f>'Balance Sheet Output'!F16</f>
        <v/>
      </c>
      <c r="F53" s="988">
        <f>'Balance Sheet Output'!G16</f>
        <v/>
      </c>
      <c r="G53" s="988">
        <f>'Balance Sheet Output'!H16</f>
        <v/>
      </c>
      <c r="H53" s="989">
        <f>'Balance Sheet Output'!J16</f>
        <v/>
      </c>
      <c r="I53" s="948">
        <f>I11*I54</f>
        <v/>
      </c>
      <c r="J53" s="948">
        <f>J11*J54</f>
        <v/>
      </c>
      <c r="K53" s="948">
        <f>K11*K54</f>
        <v/>
      </c>
      <c r="L53" s="948">
        <f>L11*L54</f>
        <v/>
      </c>
      <c r="M53" s="948">
        <f>M11*M54</f>
        <v/>
      </c>
    </row>
    <row r="54" ht="12.75" customHeight="1">
      <c r="C54" s="945" t="inlineStr">
        <is>
          <t>% of Revenue</t>
        </is>
      </c>
      <c r="D54" s="946">
        <f>D53/D11</f>
        <v/>
      </c>
      <c r="E54" s="946">
        <f>E53/E11</f>
        <v/>
      </c>
      <c r="F54" s="946">
        <f>F53/F11</f>
        <v/>
      </c>
      <c r="G54" s="946">
        <f>G53/G11</f>
        <v/>
      </c>
      <c r="H54" s="947">
        <f>H53/H11</f>
        <v/>
      </c>
      <c r="I54" s="946">
        <f>$H$54</f>
        <v/>
      </c>
      <c r="J54" s="946">
        <f>$H$54</f>
        <v/>
      </c>
      <c r="K54" s="946">
        <f>$H$54</f>
        <v/>
      </c>
      <c r="L54" s="946">
        <f>$H$54</f>
        <v/>
      </c>
      <c r="M54" s="946">
        <f>$H$54</f>
        <v/>
      </c>
    </row>
    <row r="55">
      <c r="H55" s="941" t="n"/>
    </row>
    <row r="56" ht="12.75" customHeight="1">
      <c r="C56" s="942" t="inlineStr">
        <is>
          <t>Accounts Payable</t>
        </is>
      </c>
      <c r="D56" s="988">
        <f>'Balance Sheet Output'!E29</f>
        <v/>
      </c>
      <c r="E56" s="988">
        <f>'Balance Sheet Output'!F29</f>
        <v/>
      </c>
      <c r="F56" s="988">
        <f>'Balance Sheet Output'!G29</f>
        <v/>
      </c>
      <c r="G56" s="988">
        <f>'Balance Sheet Output'!H29</f>
        <v/>
      </c>
      <c r="H56" s="989">
        <f>'Balance Sheet Output'!J29</f>
        <v/>
      </c>
      <c r="I56" s="948">
        <f>I57*I14/$D$42</f>
        <v/>
      </c>
      <c r="J56" s="948">
        <f>J57*J14/$D$42</f>
        <v/>
      </c>
      <c r="K56" s="948">
        <f>K57*K14/$D$42</f>
        <v/>
      </c>
      <c r="L56" s="948">
        <f>L57*L14/$D$42</f>
        <v/>
      </c>
      <c r="M56" s="948">
        <f>M57*M14/$D$42</f>
        <v/>
      </c>
    </row>
    <row r="57" ht="12.75" customHeight="1">
      <c r="C57" s="945" t="inlineStr">
        <is>
          <t>Days Payable Outstanding (on Cost of Revenues)</t>
        </is>
      </c>
      <c r="D57" s="1009">
        <f>D56/D14*$D$42</f>
        <v/>
      </c>
      <c r="E57" s="1009">
        <f>E56/E14*$D$42</f>
        <v/>
      </c>
      <c r="F57" s="1009">
        <f>F56/F14*$D$42</f>
        <v/>
      </c>
      <c r="G57" s="1009">
        <f>G56/G14*$D$42</f>
        <v/>
      </c>
      <c r="H57" s="1010">
        <f>H56/H14*$D$42</f>
        <v/>
      </c>
      <c r="I57" s="1009">
        <f>$H$57</f>
        <v/>
      </c>
      <c r="J57" s="1009">
        <f>$H$57</f>
        <v/>
      </c>
      <c r="K57" s="1009">
        <f>$H$57</f>
        <v/>
      </c>
      <c r="L57" s="1009">
        <f>$H$57</f>
        <v/>
      </c>
      <c r="M57" s="1009">
        <f>$H$57</f>
        <v/>
      </c>
    </row>
    <row r="58">
      <c r="H58" s="941" t="n"/>
    </row>
    <row r="59" ht="12.75" customHeight="1">
      <c r="C59" s="942" t="inlineStr">
        <is>
          <t>Accrued Compensation and Benefits Costs</t>
        </is>
      </c>
      <c r="D59" s="988">
        <f>'Balance Sheet Output'!E30</f>
        <v/>
      </c>
      <c r="E59" s="988">
        <f>'Balance Sheet Output'!F30</f>
        <v/>
      </c>
      <c r="F59" s="988">
        <f>'Balance Sheet Output'!G30</f>
        <v/>
      </c>
      <c r="G59" s="988">
        <f>'Balance Sheet Output'!H30</f>
        <v/>
      </c>
      <c r="H59" s="989">
        <f>'Balance Sheet Output'!J30</f>
        <v/>
      </c>
      <c r="I59" s="948">
        <f>I11*I60</f>
        <v/>
      </c>
      <c r="J59" s="948">
        <f>J11*J60</f>
        <v/>
      </c>
      <c r="K59" s="948">
        <f>K11*K60</f>
        <v/>
      </c>
      <c r="L59" s="948">
        <f>L11*L60</f>
        <v/>
      </c>
      <c r="M59" s="948">
        <f>M11*M60</f>
        <v/>
      </c>
    </row>
    <row r="60" ht="12.75" customHeight="1">
      <c r="C60" s="945" t="inlineStr">
        <is>
          <t>% of Revenue</t>
        </is>
      </c>
      <c r="D60" s="946">
        <f>D59/D11</f>
        <v/>
      </c>
      <c r="E60" s="946">
        <f>E59/E11</f>
        <v/>
      </c>
      <c r="F60" s="946">
        <f>F59/F11</f>
        <v/>
      </c>
      <c r="G60" s="946">
        <f>G59/G11</f>
        <v/>
      </c>
      <c r="H60" s="947">
        <f>H59/H11</f>
        <v/>
      </c>
      <c r="I60" s="946">
        <f>$H$60</f>
        <v/>
      </c>
      <c r="J60" s="946">
        <f>$H$60</f>
        <v/>
      </c>
      <c r="K60" s="946">
        <f>$H$60</f>
        <v/>
      </c>
      <c r="L60" s="946">
        <f>$H$60</f>
        <v/>
      </c>
      <c r="M60" s="946">
        <f>$H$60</f>
        <v/>
      </c>
    </row>
    <row r="61">
      <c r="H61" s="941" t="n"/>
    </row>
    <row r="62" ht="12.75" customHeight="1">
      <c r="C62" s="942" t="inlineStr">
        <is>
          <t>Accrued Expenses and Other Current Liabilities</t>
        </is>
      </c>
      <c r="D62" s="988">
        <f>'Balance Sheet Output'!E31</f>
        <v/>
      </c>
      <c r="E62" s="988">
        <f>'Balance Sheet Output'!F31</f>
        <v/>
      </c>
      <c r="F62" s="988">
        <f>'Balance Sheet Output'!G31</f>
        <v/>
      </c>
      <c r="G62" s="988">
        <f>'Balance Sheet Output'!H31</f>
        <v/>
      </c>
      <c r="H62" s="989">
        <f>'Balance Sheet Output'!J31</f>
        <v/>
      </c>
      <c r="I62" s="948">
        <f>I11*I63</f>
        <v/>
      </c>
      <c r="J62" s="948">
        <f>J11*J63</f>
        <v/>
      </c>
      <c r="K62" s="948">
        <f>K11*K63</f>
        <v/>
      </c>
      <c r="L62" s="948">
        <f>L11*L63</f>
        <v/>
      </c>
      <c r="M62" s="948">
        <f>M11*M63</f>
        <v/>
      </c>
    </row>
    <row r="63" ht="12.75" customHeight="1">
      <c r="C63" s="945" t="inlineStr">
        <is>
          <t>% of Revenue</t>
        </is>
      </c>
      <c r="D63" s="946">
        <f>D62/D11</f>
        <v/>
      </c>
      <c r="E63" s="946">
        <f>E62/E11</f>
        <v/>
      </c>
      <c r="F63" s="946">
        <f>F62/F11</f>
        <v/>
      </c>
      <c r="G63" s="946">
        <f>G62/G11</f>
        <v/>
      </c>
      <c r="H63" s="947">
        <f>H62/H11</f>
        <v/>
      </c>
      <c r="I63" s="946">
        <f>$H$63</f>
        <v/>
      </c>
      <c r="J63" s="946">
        <f>$H$63</f>
        <v/>
      </c>
      <c r="K63" s="946">
        <f>$H$63</f>
        <v/>
      </c>
      <c r="L63" s="946">
        <f>$H$63</f>
        <v/>
      </c>
      <c r="M63" s="946">
        <f>$H$63</f>
        <v/>
      </c>
    </row>
    <row r="64">
      <c r="H64" s="941" t="n"/>
    </row>
    <row r="65" ht="12.75" customHeight="1">
      <c r="C65" s="952" t="inlineStr">
        <is>
          <t>Operating Net Working Capital</t>
        </is>
      </c>
      <c r="D65" s="953">
        <f>D44+D47+D50+D53-D56-D59-D62</f>
        <v/>
      </c>
      <c r="E65" s="953">
        <f>E44+E47+E50+E53-E56-E59-E62</f>
        <v/>
      </c>
      <c r="F65" s="953">
        <f>F44+F47+F50+F53-F56-F59-F62</f>
        <v/>
      </c>
      <c r="G65" s="953">
        <f>G44+G47+G50+G53-G56-G59-G62</f>
        <v/>
      </c>
      <c r="H65" s="954">
        <f>H44+H47+H50+H53-H56-H59-H62</f>
        <v/>
      </c>
      <c r="I65" s="953">
        <f>I44+I47+I50+I53-I56-I59-I62</f>
        <v/>
      </c>
      <c r="J65" s="953">
        <f>J44+J47+J50+J53-J56-J59-J62</f>
        <v/>
      </c>
      <c r="K65" s="953">
        <f>K44+K47+K50+K53-K56-K59-K62</f>
        <v/>
      </c>
      <c r="L65" s="953">
        <f>L44+L47+L50+L53-L56-L59-L62</f>
        <v/>
      </c>
      <c r="M65" s="953">
        <f>M44+M47+M50+M53-M56-M59-M62</f>
        <v/>
      </c>
    </row>
    <row r="66" ht="12.75" customHeight="1">
      <c r="C66" s="945" t="inlineStr">
        <is>
          <t>% of Revenue</t>
        </is>
      </c>
      <c r="D66" s="946">
        <f>D65/D11</f>
        <v/>
      </c>
      <c r="E66" s="946">
        <f>E65/E11</f>
        <v/>
      </c>
      <c r="F66" s="946">
        <f>F65/F11</f>
        <v/>
      </c>
      <c r="G66" s="946">
        <f>G65/G11</f>
        <v/>
      </c>
      <c r="H66" s="947">
        <f>H65/H11</f>
        <v/>
      </c>
      <c r="I66" s="946">
        <f>I65/I11</f>
        <v/>
      </c>
      <c r="J66" s="946">
        <f>J65/J11</f>
        <v/>
      </c>
      <c r="K66" s="946">
        <f>K65/K11</f>
        <v/>
      </c>
      <c r="L66" s="946">
        <f>L65/L11</f>
        <v/>
      </c>
      <c r="M66" s="946">
        <f>M65/M11</f>
        <v/>
      </c>
    </row>
    <row r="67" ht="12.75" customHeight="1">
      <c r="B67" s="933" t="inlineStr">
        <is>
          <t>x</t>
        </is>
      </c>
      <c r="C67" s="942" t="inlineStr">
        <is>
          <t>(Increase) / Decrease in Operating NWC</t>
        </is>
      </c>
      <c r="E67" s="948">
        <f>-(E65-D65)</f>
        <v/>
      </c>
      <c r="F67" s="948">
        <f>-(F65-E65)</f>
        <v/>
      </c>
      <c r="G67" s="948">
        <f>-(G65-F65)</f>
        <v/>
      </c>
      <c r="H67" s="949">
        <f>-(H65-G65)</f>
        <v/>
      </c>
      <c r="I67" s="948">
        <f>-(I65-H65)</f>
        <v/>
      </c>
      <c r="J67" s="948">
        <f>-(J65-I65)</f>
        <v/>
      </c>
      <c r="K67" s="948">
        <f>-(K65-J65)</f>
        <v/>
      </c>
      <c r="L67" s="948">
        <f>-(L65-K65)</f>
        <v/>
      </c>
      <c r="M67" s="948">
        <f>-(M65-L65)</f>
        <v/>
      </c>
    </row>
    <row r="70" ht="12.75" customHeight="1">
      <c r="A70" s="933" t="inlineStr">
        <is>
          <t>x</t>
        </is>
      </c>
      <c r="B70" s="933" t="inlineStr">
        <is>
          <t>x</t>
        </is>
      </c>
      <c r="C70" s="934" t="inlineStr">
        <is>
          <t>Cash Flow Statement</t>
        </is>
      </c>
      <c r="D70" s="935" t="inlineStr">
        <is>
          <t>Fiscal Year Ended December 31,</t>
        </is>
      </c>
      <c r="E70" s="935" t="n"/>
      <c r="F70" s="935" t="n"/>
      <c r="G70" s="935" t="n"/>
      <c r="H70" s="936" t="inlineStr">
        <is>
          <t>LTM</t>
        </is>
      </c>
      <c r="I70" s="937" t="inlineStr">
        <is>
          <t>Projected</t>
        </is>
      </c>
      <c r="J70" s="937" t="n"/>
      <c r="K70" s="937" t="n"/>
      <c r="L70" s="937" t="n"/>
      <c r="M70" s="937" t="n"/>
    </row>
    <row r="71" ht="12.75" customHeight="1">
      <c r="C71" s="938" t="n"/>
      <c r="D71" s="939" t="inlineStr">
        <is>
          <t>2022A</t>
        </is>
      </c>
      <c r="E71" s="939" t="inlineStr">
        <is>
          <t>2023A</t>
        </is>
      </c>
      <c r="F71" s="939" t="inlineStr">
        <is>
          <t>2024A</t>
        </is>
      </c>
      <c r="G71" s="939" t="inlineStr">
        <is>
          <t>2025A</t>
        </is>
      </c>
      <c r="H71" s="940" t="inlineStr">
        <is>
          <t>LTM 2Q'26</t>
        </is>
      </c>
      <c r="I71" s="939" t="inlineStr">
        <is>
          <t>2026E</t>
        </is>
      </c>
      <c r="J71" s="939" t="inlineStr">
        <is>
          <t>2027E</t>
        </is>
      </c>
      <c r="K71" s="939" t="inlineStr">
        <is>
          <t>2028E</t>
        </is>
      </c>
      <c r="L71" s="939" t="inlineStr">
        <is>
          <t>2029E</t>
        </is>
      </c>
      <c r="M71" s="939" t="inlineStr">
        <is>
          <t>2030E</t>
        </is>
      </c>
    </row>
    <row r="72" ht="3" customHeight="1">
      <c r="H72" s="941" t="n"/>
    </row>
    <row r="73" ht="12.75" customHeight="1">
      <c r="C73" s="942" t="inlineStr">
        <is>
          <t>Capital Expenditures</t>
        </is>
      </c>
      <c r="D73" s="988">
        <f>'Cash Flow Statement Output'!E36</f>
        <v/>
      </c>
      <c r="E73" s="988">
        <f>'Cash Flow Statement Output'!F36</f>
        <v/>
      </c>
      <c r="F73" s="988">
        <f>'Cash Flow Statement Output'!G36</f>
        <v/>
      </c>
      <c r="G73" s="988">
        <f>'Cash Flow Statement Output'!H36</f>
        <v/>
      </c>
      <c r="H73" s="989">
        <f>'Cash Flow Statement Output'!I36</f>
        <v/>
      </c>
      <c r="I73" s="948">
        <f>-I11*I74</f>
        <v/>
      </c>
      <c r="J73" s="948">
        <f>-J11*J74</f>
        <v/>
      </c>
      <c r="K73" s="948">
        <f>-K11*K74</f>
        <v/>
      </c>
      <c r="L73" s="948">
        <f>-L11*L74</f>
        <v/>
      </c>
      <c r="M73" s="948">
        <f>-M11*M74</f>
        <v/>
      </c>
    </row>
    <row r="74" ht="12.75" customHeight="1">
      <c r="C74" s="945" t="inlineStr">
        <is>
          <t>% of Revenue</t>
        </is>
      </c>
      <c r="D74" s="946">
        <f>-D73/D11</f>
        <v/>
      </c>
      <c r="E74" s="946">
        <f>-E73/E11</f>
        <v/>
      </c>
      <c r="F74" s="946">
        <f>-F73/F11</f>
        <v/>
      </c>
      <c r="G74" s="946">
        <f>-G73/G11</f>
        <v/>
      </c>
      <c r="H74" s="947">
        <f>-H73/H11</f>
        <v/>
      </c>
      <c r="I74" s="946">
        <f>$H$74</f>
        <v/>
      </c>
      <c r="J74" s="946">
        <f>$H$74</f>
        <v/>
      </c>
      <c r="K74" s="946">
        <f>$H$74</f>
        <v/>
      </c>
      <c r="L74" s="946">
        <f>$H$74</f>
        <v/>
      </c>
      <c r="M74" s="946">
        <f>$H$74</f>
        <v/>
      </c>
    </row>
    <row r="75">
      <c r="H75" s="941" t="n"/>
    </row>
    <row r="76" ht="12.75" customHeight="1">
      <c r="C76" s="942" t="inlineStr">
        <is>
          <t>Investment in Equipment on Operating Leases</t>
        </is>
      </c>
      <c r="D76" s="988">
        <f>'Cash Flow Statement Output'!E21</f>
        <v/>
      </c>
      <c r="E76" s="988">
        <f>'Cash Flow Statement Output'!F21</f>
        <v/>
      </c>
      <c r="F76" s="988">
        <f>'Cash Flow Statement Output'!G21</f>
        <v/>
      </c>
      <c r="G76" s="988">
        <f>'Cash Flow Statement Output'!H21</f>
        <v/>
      </c>
      <c r="H76" s="989">
        <f>'Cash Flow Statement Output'!I21</f>
        <v/>
      </c>
      <c r="I76" s="948">
        <f>-I11*I77</f>
        <v/>
      </c>
      <c r="J76" s="948">
        <f>-J11*J77</f>
        <v/>
      </c>
      <c r="K76" s="948">
        <f>-K11*K77</f>
        <v/>
      </c>
      <c r="L76" s="948">
        <f>-L11*L77</f>
        <v/>
      </c>
      <c r="M76" s="948">
        <f>-M11*M77</f>
        <v/>
      </c>
    </row>
    <row r="77" ht="12.75" customHeight="1">
      <c r="C77" s="945" t="inlineStr">
        <is>
          <t>% of Revenue</t>
        </is>
      </c>
      <c r="D77" s="946">
        <f>-D76/D11</f>
        <v/>
      </c>
      <c r="E77" s="946">
        <f>-E76/E11</f>
        <v/>
      </c>
      <c r="F77" s="946">
        <f>-F76/F11</f>
        <v/>
      </c>
      <c r="G77" s="946">
        <f>-G76/G11</f>
        <v/>
      </c>
      <c r="H77" s="947">
        <f>-H76/H11</f>
        <v/>
      </c>
      <c r="I77" s="946">
        <f>$H$77</f>
        <v/>
      </c>
      <c r="J77" s="946">
        <f>$H$77</f>
        <v/>
      </c>
      <c r="K77" s="946">
        <f>$H$77</f>
        <v/>
      </c>
      <c r="L77" s="946">
        <f>$H$77</f>
        <v/>
      </c>
      <c r="M77" s="946">
        <f>$H$77</f>
        <v/>
      </c>
    </row>
    <row r="78">
      <c r="H78" s="941" t="n"/>
    </row>
    <row r="79" ht="12.75" customHeight="1">
      <c r="C79" s="952" t="inlineStr">
        <is>
          <t>Total Capex incl. Equipment on Operating Leases</t>
        </is>
      </c>
      <c r="D79" s="953">
        <f>D73+D76</f>
        <v/>
      </c>
      <c r="E79" s="953">
        <f>E73+E76</f>
        <v/>
      </c>
      <c r="F79" s="953">
        <f>F73+F76</f>
        <v/>
      </c>
      <c r="G79" s="953">
        <f>G73+G76</f>
        <v/>
      </c>
      <c r="H79" s="954">
        <f>H73+H76</f>
        <v/>
      </c>
      <c r="I79" s="953">
        <f>I73+I76</f>
        <v/>
      </c>
      <c r="J79" s="953">
        <f>J73+J76</f>
        <v/>
      </c>
      <c r="K79" s="953">
        <f>K73+K76</f>
        <v/>
      </c>
      <c r="L79" s="953">
        <f>L73+L76</f>
        <v/>
      </c>
      <c r="M79" s="953">
        <f>M73+M76</f>
        <v/>
      </c>
    </row>
    <row r="80" ht="12.75" customHeight="1">
      <c r="B80" s="933" t="inlineStr">
        <is>
          <t>x</t>
        </is>
      </c>
      <c r="C80" s="945" t="inlineStr">
        <is>
          <t>% of Revenue</t>
        </is>
      </c>
      <c r="D80" s="946">
        <f>-D79/D11</f>
        <v/>
      </c>
      <c r="E80" s="946">
        <f>-E79/E11</f>
        <v/>
      </c>
      <c r="F80" s="946">
        <f>-F79/F11</f>
        <v/>
      </c>
      <c r="G80" s="946">
        <f>-G79/G11</f>
        <v/>
      </c>
      <c r="H80" s="947">
        <f>-H79/H11</f>
        <v/>
      </c>
      <c r="I80" s="946">
        <f>-I79/I11</f>
        <v/>
      </c>
      <c r="J80" s="946">
        <f>-J79/J11</f>
        <v/>
      </c>
      <c r="K80" s="946">
        <f>-K79/K11</f>
        <v/>
      </c>
      <c r="L80" s="946">
        <f>-L79/L11</f>
        <v/>
      </c>
      <c r="M80" s="946">
        <f>-M79/M11</f>
        <v/>
      </c>
    </row>
    <row r="82">
      <c r="A82" s="933" t="inlineStr">
        <is>
          <t>End</t>
        </is>
      </c>
    </row>
  </sheetData>
  <hyperlinks>
    <hyperlink ref="B1" location="'Cover Page'!A1" display="'Cover Page'!A1"/>
  </hyperlink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tabColor theme="3" tint="0.749992370372631"/>
    <outlinePr summaryBelow="1" summaryRight="1"/>
    <pageSetUpPr fitToPage="1"/>
  </sheetPr>
  <dimension ref="A1:O131"/>
  <sheetViews>
    <sheetView showGridLines="0" tabSelected="0" view="pageBreakPreview" topLeftCell="A111" zoomScaleNormal="100" zoomScaleSheetLayoutView="100" workbookViewId="0">
      <selection activeCell="G72" sqref="G72"/>
    </sheetView>
  </sheetViews>
  <sheetFormatPr baseColWidth="8" defaultColWidth="13.453125" defaultRowHeight="15" customHeight="1"/>
  <cols>
    <col width="1.453125" customWidth="1" style="445" min="1" max="2"/>
    <col width="13.453125" customWidth="1" style="445" min="3" max="14"/>
    <col width="1.453125" customWidth="1" style="445" min="15" max="15"/>
    <col width="13.453125" customWidth="1" style="445" min="16" max="16"/>
    <col width="13.453125" customWidth="1" style="445" min="17" max="16384"/>
  </cols>
  <sheetData>
    <row r="1" ht="15" customHeight="1">
      <c r="A1" s="443">
        <f>C2</f>
        <v/>
      </c>
      <c r="B1" s="444">
        <f>'Cover Page'!A1</f>
        <v/>
      </c>
    </row>
    <row r="2" ht="15" customHeight="1">
      <c r="C2" s="446" t="inlineStr">
        <is>
          <t>$XRX Discounted Cash Flows</t>
        </is>
      </c>
      <c r="D2" s="446" t="n"/>
      <c r="E2" s="446" t="n"/>
      <c r="F2" s="463" t="n"/>
      <c r="G2" s="463" t="n"/>
      <c r="H2" s="463" t="n"/>
      <c r="I2" s="463" t="n"/>
      <c r="J2" s="463" t="n"/>
      <c r="K2" s="463" t="n"/>
      <c r="L2" s="463" t="n"/>
      <c r="M2" s="463" t="n"/>
      <c r="N2" s="447" t="inlineStr">
        <is>
          <t>Xerox Holdings Corporation</t>
        </is>
      </c>
    </row>
    <row r="3" ht="15" customHeight="1">
      <c r="C3" s="449" t="inlineStr">
        <is>
          <t>All Values in Millions ($USD), Except Per-Share Values</t>
        </is>
      </c>
    </row>
    <row r="5" ht="15" customHeight="1">
      <c r="A5" s="825" t="inlineStr">
        <is>
          <t>x</t>
        </is>
      </c>
      <c r="B5" s="825" t="inlineStr">
        <is>
          <t>x</t>
        </is>
      </c>
      <c r="C5" s="628" t="inlineStr">
        <is>
          <t>Free Cash Flow Build</t>
        </is>
      </c>
      <c r="D5" s="629" t="n"/>
      <c r="E5" s="629" t="n"/>
      <c r="F5" s="630" t="n"/>
      <c r="G5" s="631" t="n"/>
      <c r="H5" s="631" t="n"/>
      <c r="I5" s="632" t="n"/>
      <c r="J5" s="633" t="inlineStr">
        <is>
          <t>Projections</t>
        </is>
      </c>
      <c r="K5" s="634" t="n"/>
      <c r="L5" s="634" t="n"/>
      <c r="M5" s="634" t="n"/>
      <c r="N5" s="634" t="n"/>
    </row>
    <row r="6" ht="15" customHeight="1">
      <c r="A6" s="824" t="n"/>
      <c r="B6" s="824" t="n"/>
      <c r="C6" s="636" t="n"/>
      <c r="D6" s="636" t="n"/>
      <c r="E6" s="636" t="n"/>
      <c r="F6" s="637" t="n"/>
      <c r="G6" s="637" t="n"/>
      <c r="H6" s="638" t="n"/>
      <c r="I6" s="639" t="n"/>
      <c r="J6" s="640" t="n">
        <v>2026</v>
      </c>
      <c r="K6" s="641">
        <f>J6+1</f>
        <v/>
      </c>
      <c r="L6" s="641">
        <f>K6+1</f>
        <v/>
      </c>
      <c r="M6" s="641">
        <f>L6+1</f>
        <v/>
      </c>
      <c r="N6" s="641">
        <f>M6+1</f>
        <v/>
      </c>
    </row>
    <row r="7" ht="15" customHeight="1">
      <c r="A7" s="824" t="n"/>
      <c r="B7" s="824" t="n"/>
      <c r="C7" s="642" t="inlineStr">
        <is>
          <t>EBIT (Adj. Op. Income less Restructuring)</t>
        </is>
      </c>
      <c r="D7" s="643" t="n"/>
      <c r="E7" s="643" t="n"/>
      <c r="F7" s="643" t="n"/>
      <c r="G7" s="644" t="n"/>
      <c r="H7" s="645" t="n"/>
      <c r="I7" s="644" t="n"/>
      <c r="J7" s="1011">
        <f>J122</f>
        <v/>
      </c>
      <c r="K7" s="1011">
        <f>K122</f>
        <v/>
      </c>
      <c r="L7" s="1011">
        <f>L122</f>
        <v/>
      </c>
      <c r="M7" s="1011">
        <f>M122</f>
        <v/>
      </c>
      <c r="N7" s="1011">
        <f>N122</f>
        <v/>
      </c>
    </row>
    <row r="8" ht="15" customHeight="1">
      <c r="A8" s="824" t="n"/>
      <c r="B8" s="824" t="n"/>
      <c r="C8" s="646" t="inlineStr">
        <is>
          <t>Taxes</t>
        </is>
      </c>
      <c r="D8" s="824" t="n"/>
      <c r="E8" s="824" t="n"/>
      <c r="F8" s="824" t="n"/>
      <c r="G8" s="824" t="n"/>
      <c r="H8" s="824" t="n"/>
      <c r="I8" s="824" t="n"/>
      <c r="J8" s="647">
        <f>J7*$G$37*-1</f>
        <v/>
      </c>
      <c r="K8" s="647">
        <f>K7*$G$37*-1</f>
        <v/>
      </c>
      <c r="L8" s="647">
        <f>L7*$G$37*-1</f>
        <v/>
      </c>
      <c r="M8" s="647">
        <f>M7*$G$37*-1</f>
        <v/>
      </c>
      <c r="N8" s="647">
        <f>N7*$G$37*-1</f>
        <v/>
      </c>
    </row>
    <row r="9" ht="15" customHeight="1">
      <c r="A9" s="824" t="n"/>
      <c r="B9" s="824" t="n"/>
      <c r="C9" s="648" t="inlineStr">
        <is>
          <t>NOPAT</t>
        </is>
      </c>
      <c r="D9" s="649" t="n"/>
      <c r="E9" s="649" t="n"/>
      <c r="F9" s="649" t="n"/>
      <c r="G9" s="649" t="n"/>
      <c r="H9" s="649" t="n"/>
      <c r="I9" s="649" t="n"/>
      <c r="J9" s="1012">
        <f>SUM(J7:J8)</f>
        <v/>
      </c>
      <c r="K9" s="1012">
        <f>SUM(K7:K8)</f>
        <v/>
      </c>
      <c r="L9" s="1012">
        <f>SUM(L7:L8)</f>
        <v/>
      </c>
      <c r="M9" s="1012">
        <f>SUM(M7:M8)</f>
        <v/>
      </c>
      <c r="N9" s="1012">
        <f>SUM(N7:N8)</f>
        <v/>
      </c>
    </row>
    <row r="10" ht="15" customHeight="1">
      <c r="A10" s="824" t="n"/>
      <c r="B10" s="824" t="n"/>
      <c r="C10" s="651" t="inlineStr">
        <is>
          <t>(+) Depreciation</t>
        </is>
      </c>
      <c r="D10" s="652" t="n"/>
      <c r="E10" s="652" t="n"/>
      <c r="F10" s="652" t="n"/>
      <c r="G10" s="652" t="n"/>
      <c r="H10" s="653" t="n"/>
      <c r="I10" s="653" t="n"/>
      <c r="J10" s="763">
        <f>J124</f>
        <v/>
      </c>
      <c r="K10" s="763">
        <f>K124</f>
        <v/>
      </c>
      <c r="L10" s="763">
        <f>L124</f>
        <v/>
      </c>
      <c r="M10" s="763">
        <f>M124</f>
        <v/>
      </c>
      <c r="N10" s="763">
        <f>N124</f>
        <v/>
      </c>
    </row>
    <row r="11" ht="15" customHeight="1">
      <c r="A11" s="824" t="n"/>
      <c r="B11" s="824" t="n"/>
      <c r="C11" s="651" t="inlineStr">
        <is>
          <t>(-) Capex incl. Equipment on Operating Leases</t>
        </is>
      </c>
      <c r="D11" s="652" t="n"/>
      <c r="E11" s="652" t="n"/>
      <c r="F11" s="652" t="n"/>
      <c r="G11" s="652" t="n"/>
      <c r="H11" s="652" t="n"/>
      <c r="I11" s="652" t="n"/>
      <c r="J11" s="763">
        <f>J126</f>
        <v/>
      </c>
      <c r="K11" s="763">
        <f>K126</f>
        <v/>
      </c>
      <c r="L11" s="763">
        <f>L126</f>
        <v/>
      </c>
      <c r="M11" s="763">
        <f>M126</f>
        <v/>
      </c>
      <c r="N11" s="763">
        <f>N126</f>
        <v/>
      </c>
    </row>
    <row r="12" ht="15" customHeight="1">
      <c r="A12" s="824" t="n"/>
      <c r="B12" s="824" t="n"/>
      <c r="C12" s="651" t="inlineStr">
        <is>
          <t>(-) Changes in Net Working Capital</t>
        </is>
      </c>
      <c r="D12" s="652" t="n"/>
      <c r="E12" s="652" t="n"/>
      <c r="F12" s="652" t="n"/>
      <c r="G12" s="652" t="n"/>
      <c r="H12" s="652" t="n"/>
      <c r="I12" s="652" t="n"/>
      <c r="J12" s="763">
        <f>J128</f>
        <v/>
      </c>
      <c r="K12" s="763">
        <f>K128</f>
        <v/>
      </c>
      <c r="L12" s="763">
        <f>L128</f>
        <v/>
      </c>
      <c r="M12" s="763">
        <f>M128</f>
        <v/>
      </c>
      <c r="N12" s="763">
        <f>N128</f>
        <v/>
      </c>
    </row>
    <row r="13" ht="15" customHeight="1">
      <c r="A13" s="824" t="n"/>
      <c r="B13" s="824" t="n"/>
      <c r="C13" s="655" t="inlineStr">
        <is>
          <t>Unlevered Free Cash Flows</t>
        </is>
      </c>
      <c r="D13" s="656" t="n"/>
      <c r="E13" s="656" t="n"/>
      <c r="F13" s="656" t="n"/>
      <c r="G13" s="656" t="n"/>
      <c r="H13" s="657" t="n"/>
      <c r="I13" s="658" t="n"/>
      <c r="J13" s="1012">
        <f>SUM(J9:J12)</f>
        <v/>
      </c>
      <c r="K13" s="1012">
        <f>SUM(K9:K12)</f>
        <v/>
      </c>
      <c r="L13" s="1012">
        <f>SUM(L9:L12)</f>
        <v/>
      </c>
      <c r="M13" s="1012">
        <f>SUM(M9:M12)</f>
        <v/>
      </c>
      <c r="N13" s="1012">
        <f>SUM(N9:N12)</f>
        <v/>
      </c>
    </row>
    <row r="14" ht="15" customHeight="1">
      <c r="A14" s="824" t="n"/>
      <c r="B14" s="824" t="n"/>
      <c r="C14" s="642" t="inlineStr">
        <is>
          <t>Discount Rate</t>
        </is>
      </c>
      <c r="D14" s="824" t="n"/>
      <c r="E14" s="824" t="n"/>
      <c r="F14" s="824" t="n"/>
      <c r="G14" s="824" t="n"/>
      <c r="H14" s="824" t="n"/>
      <c r="I14" s="824" t="n"/>
      <c r="J14" s="659">
        <f>$G$41</f>
        <v/>
      </c>
      <c r="K14" s="659">
        <f>$G$41</f>
        <v/>
      </c>
      <c r="L14" s="659">
        <f>$G$41</f>
        <v/>
      </c>
      <c r="M14" s="659">
        <f>$G$41</f>
        <v/>
      </c>
      <c r="N14" s="659">
        <f>$G$41</f>
        <v/>
      </c>
    </row>
    <row r="15" ht="15" customHeight="1">
      <c r="A15" s="824" t="n"/>
      <c r="B15" s="824" t="n"/>
      <c r="C15" s="660" t="inlineStr">
        <is>
          <t>Discount Factor</t>
        </is>
      </c>
      <c r="D15" s="824" t="n"/>
      <c r="E15" s="824" t="n"/>
      <c r="F15" s="824" t="n"/>
      <c r="G15" s="824" t="n"/>
      <c r="H15" s="652" t="n"/>
      <c r="I15" s="652" t="n"/>
      <c r="J15" s="647">
        <f>J16*$N$20</f>
        <v/>
      </c>
      <c r="K15" s="647">
        <f>J16+N20</f>
        <v/>
      </c>
      <c r="L15" s="647">
        <f>K15+1</f>
        <v/>
      </c>
      <c r="M15" s="647">
        <f>L15+1</f>
        <v/>
      </c>
      <c r="N15" s="647">
        <f>M15+1</f>
        <v/>
      </c>
    </row>
    <row r="16" ht="15" customHeight="1">
      <c r="A16" s="824" t="n"/>
      <c r="B16" s="824" t="n"/>
      <c r="C16" s="660" t="inlineStr">
        <is>
          <t>Stub</t>
        </is>
      </c>
      <c r="D16" s="824" t="n"/>
      <c r="E16" s="824" t="n"/>
      <c r="F16" s="824" t="n"/>
      <c r="G16" s="824" t="n"/>
      <c r="H16" s="653" t="n"/>
      <c r="I16" s="653" t="n"/>
      <c r="J16" s="659">
        <f>N23</f>
        <v/>
      </c>
      <c r="K16" s="661" t="n">
        <v>1</v>
      </c>
      <c r="L16" s="661" t="n">
        <v>1</v>
      </c>
      <c r="M16" s="661" t="n">
        <v>1</v>
      </c>
      <c r="N16" s="661" t="n">
        <v>1</v>
      </c>
    </row>
    <row r="17" ht="15" customHeight="1" thickBot="1">
      <c r="A17" s="824" t="n"/>
      <c r="B17" s="824" t="n"/>
      <c r="C17" s="662" t="inlineStr">
        <is>
          <t>PV of Unlevered Free Cash Flows</t>
        </is>
      </c>
      <c r="D17" s="663" t="n"/>
      <c r="E17" s="663" t="n"/>
      <c r="F17" s="663" t="n"/>
      <c r="G17" s="663" t="n"/>
      <c r="H17" s="664" t="n"/>
      <c r="I17" s="664" t="n"/>
      <c r="J17" s="1013">
        <f>(J13*J16)/((1+J14)^J15)</f>
        <v/>
      </c>
      <c r="K17" s="1013">
        <f>(K13*K16)/((1+K14)^K15)</f>
        <v/>
      </c>
      <c r="L17" s="1013">
        <f>(L13*L16)/((1+L14)^L15)</f>
        <v/>
      </c>
      <c r="M17" s="1013">
        <f>(M13*M16)/((1+M14)^M15)</f>
        <v/>
      </c>
      <c r="N17" s="1013">
        <f>(N13*N16)/((1+N14)^N15)</f>
        <v/>
      </c>
    </row>
    <row r="18" ht="15" customHeight="1">
      <c r="A18" s="824" t="n"/>
      <c r="B18" s="824" t="n"/>
      <c r="C18" s="660" t="n"/>
      <c r="D18" s="824" t="n"/>
      <c r="E18" s="824" t="n"/>
      <c r="F18" s="824" t="n"/>
      <c r="G18" s="824" t="n"/>
      <c r="H18" s="824" t="n"/>
      <c r="I18" s="824" t="n"/>
      <c r="J18" s="653" t="n"/>
      <c r="K18" s="653" t="n"/>
      <c r="L18" s="653" t="n"/>
      <c r="M18" s="653" t="n"/>
      <c r="N18" s="653" t="n"/>
    </row>
    <row r="19" ht="15" customHeight="1">
      <c r="A19" s="824" t="n"/>
      <c r="B19" s="825" t="inlineStr">
        <is>
          <t>x</t>
        </is>
      </c>
      <c r="C19" s="666" t="inlineStr">
        <is>
          <t>WACC Calculation</t>
        </is>
      </c>
      <c r="D19" s="667" t="n"/>
      <c r="E19" s="667" t="n"/>
      <c r="F19" s="667" t="n"/>
      <c r="G19" s="668" t="n"/>
      <c r="H19" s="824" t="n"/>
      <c r="I19" s="669" t="n"/>
      <c r="J19" s="666" t="inlineStr">
        <is>
          <t>Midyear Convention Calculation</t>
        </is>
      </c>
      <c r="K19" s="667" t="n"/>
      <c r="L19" s="667" t="n"/>
      <c r="M19" s="667" t="n"/>
      <c r="N19" s="670" t="n"/>
    </row>
    <row r="20" ht="15" customHeight="1">
      <c r="A20" s="824" t="n"/>
      <c r="B20" s="824" t="n"/>
      <c r="C20" s="476" t="inlineStr">
        <is>
          <t>Price per Share</t>
        </is>
      </c>
      <c r="D20" s="496" t="n"/>
      <c r="E20" s="496" t="n"/>
      <c r="F20" s="496" t="n"/>
      <c r="G20" s="1014">
        <f>'$XRX Comparable Companies'!F20</f>
        <v/>
      </c>
      <c r="H20" s="824" t="n"/>
      <c r="I20" s="824" t="n"/>
      <c r="J20" s="476" t="inlineStr">
        <is>
          <t>Midyear Convention Toggle</t>
        </is>
      </c>
      <c r="K20" s="496" t="n"/>
      <c r="L20" s="496" t="n"/>
      <c r="M20" s="496" t="n"/>
      <c r="N20" s="671" t="n">
        <v>0.5</v>
      </c>
    </row>
    <row r="21" ht="15" customHeight="1">
      <c r="A21" s="824" t="n"/>
      <c r="B21" s="824" t="n"/>
      <c r="C21" s="476" t="inlineStr">
        <is>
          <t>Shares Outstanding</t>
        </is>
      </c>
      <c r="D21" s="496" t="n"/>
      <c r="E21" s="496" t="n"/>
      <c r="F21" s="496" t="n"/>
      <c r="G21" s="765">
        <f>'$XRX Comparable Companies'!G20</f>
        <v/>
      </c>
      <c r="H21" s="824" t="n"/>
      <c r="I21" s="652" t="n"/>
      <c r="J21" s="496" t="inlineStr">
        <is>
          <t>Valuation Date</t>
        </is>
      </c>
      <c r="K21" s="496" t="n"/>
      <c r="L21" s="496" t="n"/>
      <c r="M21" s="496" t="n"/>
      <c r="N21" s="672" t="n">
        <v>46311</v>
      </c>
    </row>
    <row r="22" ht="15" customHeight="1">
      <c r="A22" s="824" t="n"/>
      <c r="B22" s="824" t="n"/>
      <c r="C22" s="673" t="inlineStr">
        <is>
          <t>Market Capitalization</t>
        </is>
      </c>
      <c r="D22" s="499" t="n"/>
      <c r="E22" s="499" t="n"/>
      <c r="F22" s="499" t="n"/>
      <c r="G22" s="1015">
        <f>G21*G20</f>
        <v/>
      </c>
      <c r="H22" s="824" t="n"/>
      <c r="I22" s="653" t="n"/>
      <c r="J22" s="496" t="inlineStr">
        <is>
          <t>Fiscal Year End</t>
        </is>
      </c>
      <c r="K22" s="496" t="n"/>
      <c r="L22" s="496" t="n"/>
      <c r="M22" s="496" t="n"/>
      <c r="N22" s="672" t="n">
        <v>46387</v>
      </c>
    </row>
    <row r="23" ht="15" customHeight="1" thickBot="1">
      <c r="A23" s="824" t="n"/>
      <c r="B23" s="824" t="n"/>
      <c r="H23" s="824" t="n"/>
      <c r="I23" s="652" t="n"/>
      <c r="J23" s="675" t="inlineStr">
        <is>
          <t>Stub %</t>
        </is>
      </c>
      <c r="K23" s="675" t="n"/>
      <c r="L23" s="675" t="n"/>
      <c r="M23" s="675" t="n"/>
      <c r="N23" s="676">
        <f>YEARFRAC(N21,N22)</f>
        <v/>
      </c>
    </row>
    <row r="24" ht="15" customHeight="1">
      <c r="A24" s="824" t="n"/>
      <c r="B24" s="824" t="n"/>
      <c r="C24" s="677" t="inlineStr">
        <is>
          <t>Weight of Equity (Target)</t>
        </is>
      </c>
      <c r="D24" s="678" t="n"/>
      <c r="E24" s="678" t="n"/>
      <c r="F24" s="678" t="n"/>
      <c r="G24" s="766">
        <f>1-G33</f>
        <v/>
      </c>
      <c r="H24" s="824" t="n"/>
      <c r="I24" s="669" t="n"/>
      <c r="J24" s="669" t="n"/>
      <c r="K24" s="669" t="n"/>
      <c r="L24" s="669" t="n"/>
      <c r="M24" s="669" t="n"/>
      <c r="N24" s="669" t="n"/>
    </row>
    <row r="25" ht="15" customHeight="1">
      <c r="A25" s="824" t="n"/>
      <c r="B25" s="824" t="n"/>
      <c r="C25" s="496" t="n"/>
      <c r="D25" s="496" t="n"/>
      <c r="E25" s="496" t="n"/>
      <c r="F25" s="496" t="n"/>
      <c r="G25" s="824" t="n"/>
      <c r="H25" s="824" t="n"/>
      <c r="I25" s="824" t="n"/>
      <c r="J25" s="679" t="n"/>
      <c r="K25" s="824" t="n"/>
      <c r="L25" s="824" t="n"/>
      <c r="M25" s="824" t="n"/>
      <c r="N25" s="680" t="n"/>
    </row>
    <row r="26" ht="15" customHeight="1">
      <c r="A26" s="824" t="n"/>
      <c r="B26" s="824" t="n"/>
      <c r="C26" s="496" t="inlineStr">
        <is>
          <t>Risk Free Rate</t>
        </is>
      </c>
      <c r="D26" s="496" t="n"/>
      <c r="E26" s="496" t="n"/>
      <c r="F26" s="496" t="n"/>
      <c r="G26" s="681">
        <f t="array" ref="G26">_xll.FDS("TRYUS10Y-FDS","FG_YIELD(0,,,,""YTM"")")/100</f>
        <v/>
      </c>
      <c r="H26" s="825" t="n"/>
      <c r="I26" s="652" t="n"/>
      <c r="J26" s="496" t="n"/>
      <c r="K26" s="653" t="n"/>
      <c r="L26" s="653" t="n"/>
      <c r="M26" s="653" t="n"/>
      <c r="N26" s="654" t="n"/>
    </row>
    <row r="27" ht="15" customHeight="1">
      <c r="A27" s="824" t="n"/>
      <c r="B27" s="824" t="n"/>
      <c r="C27" s="496" t="inlineStr">
        <is>
          <t>Market Risk Premium</t>
        </is>
      </c>
      <c r="D27" s="496" t="n"/>
      <c r="E27" s="496" t="n"/>
      <c r="F27" s="496" t="n"/>
      <c r="G27" s="767" t="n">
        <v>0.05</v>
      </c>
      <c r="H27" s="824" t="n"/>
      <c r="I27" s="653" t="n"/>
      <c r="J27" s="496" t="n"/>
      <c r="K27" s="653" t="n"/>
      <c r="L27" s="653" t="n"/>
      <c r="M27" s="653" t="n"/>
      <c r="N27" s="682" t="n"/>
    </row>
    <row r="28" ht="15" customHeight="1">
      <c r="A28" s="824" t="n"/>
      <c r="B28" s="824" t="n"/>
      <c r="C28" s="496" t="inlineStr">
        <is>
          <t>Levered Beta (re-levered at target D/E)</t>
        </is>
      </c>
      <c r="D28" s="496" t="n"/>
      <c r="E28" s="496" t="n"/>
      <c r="F28" s="496" t="n"/>
      <c r="G28" s="765">
        <f>IF(ISNUMBER('$XRX Comparable Companies'!N24),'$XRX Comparable Companies'!N24,0.98)*(1+(1-G37)*(G33/G24))</f>
        <v/>
      </c>
      <c r="H28" s="825" t="n"/>
      <c r="I28" s="652" t="n"/>
      <c r="J28" s="496" t="n"/>
      <c r="K28" s="653" t="n"/>
      <c r="L28" s="653" t="n"/>
      <c r="M28" s="653" t="n"/>
      <c r="N28" s="647" t="n"/>
    </row>
    <row r="29" ht="15" customHeight="1">
      <c r="A29" s="824" t="n"/>
      <c r="B29" s="824" t="n"/>
      <c r="C29" s="683" t="inlineStr">
        <is>
          <t>Cost of Equity</t>
        </is>
      </c>
      <c r="D29" s="684" t="n"/>
      <c r="E29" s="684" t="n"/>
      <c r="F29" s="684" t="n"/>
      <c r="G29" s="685">
        <f>G26+G27*G28</f>
        <v/>
      </c>
      <c r="H29" s="824" t="n"/>
      <c r="I29" s="824" t="n"/>
      <c r="J29" s="686" t="n"/>
      <c r="K29" s="653" t="n"/>
      <c r="L29" s="653" t="n"/>
      <c r="M29" s="653" t="n"/>
      <c r="N29" s="687" t="n"/>
    </row>
    <row r="30" ht="15" customHeight="1">
      <c r="A30" s="824" t="n"/>
      <c r="B30" s="824" t="n"/>
      <c r="C30" s="496" t="n"/>
      <c r="D30" s="496" t="n"/>
      <c r="E30" s="496" t="n"/>
      <c r="F30" s="496" t="n"/>
      <c r="G30" s="824" t="n"/>
      <c r="H30" s="824" t="n"/>
      <c r="I30" s="824" t="n"/>
      <c r="J30" s="476" t="n"/>
      <c r="K30" s="661" t="n"/>
      <c r="L30" s="661" t="n"/>
      <c r="M30" s="661" t="n"/>
      <c r="N30" s="654" t="n"/>
    </row>
    <row r="31" ht="15" customHeight="1">
      <c r="A31" s="824" t="n"/>
      <c r="B31" s="824" t="n"/>
      <c r="C31" s="496" t="inlineStr">
        <is>
          <t>Total Debt</t>
        </is>
      </c>
      <c r="D31" s="496" t="n"/>
      <c r="E31" s="496" t="n"/>
      <c r="F31" s="496" t="n"/>
      <c r="G31" s="1014">
        <f>'Capital Structure'!D24</f>
        <v/>
      </c>
      <c r="H31" s="825" t="n"/>
      <c r="I31" s="824" t="n"/>
      <c r="J31" s="686" t="n"/>
      <c r="K31" s="688" t="n"/>
      <c r="L31" s="688" t="n"/>
      <c r="M31" s="688" t="n"/>
      <c r="N31" s="687" t="n"/>
    </row>
    <row r="32" ht="15" customHeight="1">
      <c r="A32" s="824" t="n"/>
      <c r="B32" s="824" t="n"/>
      <c r="C32" s="496" t="n"/>
      <c r="D32" s="496" t="n"/>
      <c r="E32" s="496" t="n"/>
      <c r="F32" s="496" t="n"/>
      <c r="G32" s="652" t="n"/>
      <c r="H32" s="824" t="n"/>
      <c r="I32" s="652" t="n"/>
      <c r="J32" s="653" t="n"/>
      <c r="K32" s="653" t="n"/>
      <c r="L32" s="653" t="n"/>
      <c r="M32" s="653" t="n"/>
      <c r="N32" s="653" t="n"/>
    </row>
    <row r="33" ht="15" customHeight="1">
      <c r="A33" s="824" t="n"/>
      <c r="B33" s="824" t="n"/>
      <c r="C33" s="677" t="inlineStr">
        <is>
          <t>Weight of Debt (Target)</t>
        </is>
      </c>
      <c r="D33" s="678" t="n"/>
      <c r="E33" s="678" t="n"/>
      <c r="F33" s="678" t="n"/>
      <c r="G33" s="768" t="n">
        <v>0.6</v>
      </c>
      <c r="H33" s="824" t="n"/>
      <c r="I33" s="653" t="n"/>
      <c r="J33" s="653" t="n"/>
      <c r="K33" s="653" t="n"/>
      <c r="L33" s="653" t="n"/>
      <c r="M33" s="653" t="n"/>
      <c r="N33" s="653" t="n"/>
    </row>
    <row r="34" ht="15" customHeight="1">
      <c r="A34" s="824" t="n"/>
      <c r="B34" s="824" t="n"/>
      <c r="C34" s="496" t="n"/>
      <c r="D34" s="496" t="n"/>
      <c r="E34" s="496" t="n"/>
      <c r="F34" s="496" t="n"/>
      <c r="G34" s="652" t="n"/>
      <c r="H34" s="824" t="n"/>
      <c r="I34" s="652" t="n"/>
      <c r="J34" s="653" t="n"/>
      <c r="K34" s="653" t="n"/>
      <c r="L34" s="653" t="n"/>
      <c r="M34" s="653" t="n"/>
      <c r="N34" s="653" t="n"/>
    </row>
    <row r="35" ht="15" customHeight="1">
      <c r="A35" s="824" t="n"/>
      <c r="B35" s="824" t="n"/>
      <c r="C35" s="476" t="inlineStr">
        <is>
          <t>Credit Rating</t>
        </is>
      </c>
      <c r="D35" s="496" t="n"/>
      <c r="E35" s="496" t="n"/>
      <c r="F35" s="496" t="n"/>
      <c r="G35" s="769" t="inlineStr">
        <is>
          <t>CCC+ / Caa2</t>
        </is>
      </c>
      <c r="H35" s="825" t="n"/>
      <c r="I35" s="652" t="n"/>
      <c r="J35" s="653" t="n"/>
      <c r="K35" s="653" t="n"/>
      <c r="L35" s="653" t="n"/>
      <c r="M35" s="653" t="n"/>
      <c r="N35" s="653" t="n"/>
    </row>
    <row r="36" ht="15" customHeight="1">
      <c r="A36" s="824" t="n"/>
      <c r="B36" s="824" t="n"/>
      <c r="C36" s="476" t="inlineStr">
        <is>
          <t>Credit Spread over Risk-Free Rate</t>
        </is>
      </c>
      <c r="D36" s="496" t="n"/>
      <c r="E36" s="496" t="n"/>
      <c r="F36" s="496" t="n"/>
      <c r="G36" s="770" t="n">
        <v>0.08500000000000001</v>
      </c>
      <c r="H36" s="825" t="n"/>
      <c r="I36" s="824" t="n"/>
      <c r="J36" s="653" t="n"/>
      <c r="K36" s="653" t="n"/>
      <c r="L36" s="653" t="n"/>
      <c r="M36" s="653" t="n"/>
      <c r="N36" s="653" t="n"/>
    </row>
    <row r="37" ht="15" customHeight="1">
      <c r="A37" s="824" t="n"/>
      <c r="B37" s="824" t="n"/>
      <c r="C37" s="496" t="inlineStr">
        <is>
          <t>Tax Rate</t>
        </is>
      </c>
      <c r="D37" s="496" t="n"/>
      <c r="E37" s="496" t="n"/>
      <c r="F37" s="496" t="n"/>
      <c r="G37" s="1016">
        <f>'$XRX DCF Operating Assumptions'!I36</f>
        <v/>
      </c>
      <c r="H37" s="825" t="n"/>
      <c r="I37" s="824" t="n"/>
      <c r="J37" s="661" t="n"/>
      <c r="K37" s="661" t="n"/>
      <c r="L37" s="661" t="n"/>
      <c r="M37" s="661" t="n"/>
      <c r="N37" s="661" t="n"/>
    </row>
    <row r="38" ht="15" customHeight="1">
      <c r="A38" s="824" t="n"/>
      <c r="B38" s="824" t="n"/>
      <c r="C38" s="683" t="inlineStr">
        <is>
          <t>Cost of Debt, After Tax</t>
        </is>
      </c>
      <c r="D38" s="684" t="n"/>
      <c r="E38" s="684" t="n"/>
      <c r="F38" s="684" t="n"/>
      <c r="G38" s="771">
        <f>(G26+G36)*(1-G37)</f>
        <v/>
      </c>
      <c r="H38" s="824" t="n"/>
      <c r="I38" s="824" t="n"/>
      <c r="J38" s="688" t="n"/>
      <c r="K38" s="688" t="n"/>
      <c r="L38" s="688" t="n"/>
      <c r="M38" s="688" t="n"/>
      <c r="N38" s="688" t="n"/>
    </row>
    <row r="39" ht="15" customHeight="1">
      <c r="A39" s="824" t="n"/>
      <c r="B39" s="824" t="n"/>
      <c r="C39" s="496" t="n"/>
      <c r="D39" s="496" t="n"/>
      <c r="E39" s="496" t="n"/>
      <c r="F39" s="496" t="n"/>
      <c r="G39" s="652" t="n"/>
      <c r="H39" s="824" t="n"/>
      <c r="I39" s="652" t="n"/>
      <c r="J39" s="653" t="n"/>
      <c r="K39" s="653" t="n"/>
      <c r="L39" s="653" t="n"/>
      <c r="M39" s="653" t="n"/>
      <c r="N39" s="653" t="n"/>
    </row>
    <row r="40" ht="15" customHeight="1">
      <c r="A40" s="824" t="n"/>
      <c r="B40" s="824" t="n"/>
      <c r="C40" s="496" t="inlineStr">
        <is>
          <t>Weighted Average Cost of Capital</t>
        </is>
      </c>
      <c r="D40" s="496" t="n"/>
      <c r="E40" s="496" t="n"/>
      <c r="F40" s="496" t="n"/>
      <c r="G40" s="659">
        <f>G38*G33+G29*G24</f>
        <v/>
      </c>
      <c r="H40" s="824" t="n"/>
      <c r="I40" s="653" t="n"/>
      <c r="J40" s="653" t="n"/>
      <c r="K40" s="653" t="n"/>
      <c r="L40" s="653" t="n"/>
      <c r="M40" s="653" t="n"/>
      <c r="N40" s="653" t="n"/>
    </row>
    <row r="41" ht="15" customHeight="1" thickBot="1">
      <c r="A41" s="824" t="n"/>
      <c r="B41" s="824" t="n"/>
      <c r="C41" s="675" t="inlineStr">
        <is>
          <t>Rounded WACC</t>
        </is>
      </c>
      <c r="D41" s="675" t="n"/>
      <c r="E41" s="675" t="n"/>
      <c r="F41" s="675" t="n"/>
      <c r="G41" s="676">
        <f>_xlfn.CEILING.MATH(G40,0.005)</f>
        <v/>
      </c>
      <c r="H41" s="824" t="n"/>
      <c r="I41" s="653" t="n"/>
      <c r="J41" s="653" t="n"/>
      <c r="K41" s="653" t="n"/>
      <c r="L41" s="653" t="n"/>
      <c r="M41" s="653" t="n"/>
      <c r="N41" s="653" t="n"/>
    </row>
    <row r="42" ht="15" customHeight="1">
      <c r="A42" s="824" t="n"/>
      <c r="B42" s="824" t="n"/>
      <c r="H42" s="824" t="n"/>
      <c r="I42" s="653" t="n"/>
      <c r="J42" s="653" t="n"/>
      <c r="K42" s="653" t="n"/>
      <c r="L42" s="653" t="n"/>
      <c r="M42" s="653" t="n"/>
      <c r="N42" s="653" t="n"/>
    </row>
    <row r="43" ht="15" customHeight="1">
      <c r="A43" s="824" t="n"/>
      <c r="B43" s="824" t="n"/>
      <c r="C43" s="824" t="n"/>
      <c r="D43" s="824" t="n"/>
      <c r="E43" s="824" t="n"/>
      <c r="F43" s="824" t="n"/>
      <c r="G43" s="824" t="n"/>
      <c r="H43" s="824" t="n"/>
      <c r="I43" s="824" t="n"/>
      <c r="J43" s="824" t="n"/>
      <c r="K43" s="824" t="n"/>
      <c r="L43" s="824" t="n"/>
      <c r="M43" s="824" t="n"/>
      <c r="N43" s="824" t="n"/>
    </row>
    <row r="44" ht="15" customHeight="1">
      <c r="A44" s="824" t="n"/>
      <c r="B44" s="825" t="inlineStr">
        <is>
          <t>x</t>
        </is>
      </c>
      <c r="C44" s="666" t="inlineStr">
        <is>
          <t>Exit Multiple Method</t>
        </is>
      </c>
      <c r="D44" s="667" t="n"/>
      <c r="E44" s="667" t="n"/>
      <c r="F44" s="667" t="n"/>
      <c r="G44" s="668" t="n"/>
      <c r="H44" s="824" t="n"/>
      <c r="I44" s="669" t="n"/>
      <c r="J44" s="666" t="inlineStr">
        <is>
          <t>Gordon Growth</t>
        </is>
      </c>
      <c r="K44" s="667" t="n"/>
      <c r="L44" s="667" t="n"/>
      <c r="M44" s="667" t="n"/>
      <c r="N44" s="668" t="n"/>
    </row>
    <row r="45" ht="15" customHeight="1">
      <c r="A45" s="824" t="n"/>
      <c r="B45" s="824" t="n"/>
      <c r="C45" s="476" t="inlineStr">
        <is>
          <t>Final Year Adj. EBITDA (excl. IEEPA)</t>
        </is>
      </c>
      <c r="D45" s="496" t="n"/>
      <c r="E45" s="496" t="n"/>
      <c r="F45" s="496" t="n"/>
      <c r="G45" s="1011">
        <f>N129</f>
        <v/>
      </c>
      <c r="H45" s="824" t="n"/>
      <c r="I45" s="824" t="n"/>
      <c r="J45" s="476" t="inlineStr">
        <is>
          <t>Perpetuity Growth Rate</t>
        </is>
      </c>
      <c r="K45" s="496" t="n"/>
      <c r="L45" s="496" t="n"/>
      <c r="M45" s="496" t="n"/>
      <c r="N45" s="689" t="n">
        <v>0</v>
      </c>
      <c r="O45" s="450" t="n"/>
    </row>
    <row r="46" ht="15" customHeight="1">
      <c r="A46" s="824" t="n"/>
      <c r="B46" s="824" t="n"/>
      <c r="C46" s="496" t="inlineStr">
        <is>
          <t>Exit EV / EBITDA Multiple</t>
        </is>
      </c>
      <c r="D46" s="496" t="n"/>
      <c r="E46" s="496" t="n"/>
      <c r="F46" s="1017" t="n"/>
      <c r="G46" s="1018" t="n">
        <v>5</v>
      </c>
      <c r="H46" s="825" t="n"/>
      <c r="I46" s="824" t="n"/>
      <c r="J46" s="476" t="inlineStr">
        <is>
          <t>Final Year Undiscounted UFCF</t>
        </is>
      </c>
      <c r="K46" s="496" t="n"/>
      <c r="L46" s="496" t="n"/>
      <c r="M46" s="1017" t="n"/>
      <c r="N46" s="1019">
        <f>N13</f>
        <v/>
      </c>
    </row>
    <row r="47" ht="15" customHeight="1">
      <c r="A47" s="824" t="n"/>
      <c r="B47" s="824" t="n"/>
      <c r="C47" s="683" t="inlineStr">
        <is>
          <t>Terminal Value</t>
        </is>
      </c>
      <c r="D47" s="684" t="n"/>
      <c r="E47" s="684" t="n"/>
      <c r="F47" s="496" t="n"/>
      <c r="G47" s="1012">
        <f>G46*G45</f>
        <v/>
      </c>
      <c r="H47" s="824" t="n"/>
      <c r="I47" s="824" t="n"/>
      <c r="J47" s="683" t="inlineStr">
        <is>
          <t>Terminal Value</t>
        </is>
      </c>
      <c r="K47" s="684" t="n"/>
      <c r="L47" s="684" t="n"/>
      <c r="M47" s="496" t="n"/>
      <c r="N47" s="1012">
        <f>N46*(1+N45)/(G41-N45)</f>
        <v/>
      </c>
    </row>
    <row r="48" ht="15" customHeight="1">
      <c r="A48" s="824" t="n"/>
      <c r="B48" s="824" t="n"/>
      <c r="C48" s="496" t="n"/>
      <c r="D48" s="496" t="n"/>
      <c r="E48" s="496" t="n"/>
      <c r="F48" s="496" t="n"/>
      <c r="G48" s="1020" t="n"/>
      <c r="H48" s="824" t="n"/>
      <c r="I48" s="1020" t="n"/>
      <c r="J48" s="496" t="n"/>
      <c r="K48" s="496" t="n"/>
      <c r="L48" s="496" t="n"/>
      <c r="M48" s="496" t="n"/>
      <c r="N48" s="1020" t="n"/>
    </row>
    <row r="49" ht="15" customHeight="1">
      <c r="A49" s="824" t="n"/>
      <c r="B49" s="824" t="n"/>
      <c r="C49" s="496" t="inlineStr">
        <is>
          <t>PV of Terminal Value</t>
        </is>
      </c>
      <c r="D49" s="496" t="n"/>
      <c r="E49" s="496" t="n"/>
      <c r="F49" s="496" t="n"/>
      <c r="G49" s="1019">
        <f>G47/(1+G41)^IF(N20=0.5,N15+N20,N15)</f>
        <v/>
      </c>
      <c r="H49" s="824" t="n"/>
      <c r="I49" s="824" t="n"/>
      <c r="J49" s="496" t="inlineStr">
        <is>
          <t>PV of Terminal Value</t>
        </is>
      </c>
      <c r="K49" s="496" t="n"/>
      <c r="L49" s="496" t="n"/>
      <c r="M49" s="496" t="n"/>
      <c r="N49" s="1019">
        <f>N47/(1+G41)^N15</f>
        <v/>
      </c>
    </row>
    <row r="50" ht="15" customHeight="1">
      <c r="A50" s="824" t="n"/>
      <c r="B50" s="824" t="n"/>
      <c r="C50" s="496" t="inlineStr">
        <is>
          <t>PV of Unlevered Free Cash Flows</t>
        </is>
      </c>
      <c r="D50" s="496" t="n"/>
      <c r="E50" s="496" t="n"/>
      <c r="F50" s="496" t="n"/>
      <c r="G50" s="647">
        <f>SUM(J17:N17)</f>
        <v/>
      </c>
      <c r="H50" s="824" t="n"/>
      <c r="I50" s="824" t="n"/>
      <c r="J50" s="496" t="inlineStr">
        <is>
          <t>PV of Unlevered Free Cash Flows</t>
        </is>
      </c>
      <c r="K50" s="496" t="n"/>
      <c r="L50" s="496" t="n"/>
      <c r="M50" s="496" t="n"/>
      <c r="N50" s="647">
        <f>G50</f>
        <v/>
      </c>
    </row>
    <row r="51" ht="15" customHeight="1">
      <c r="A51" s="824" t="n"/>
      <c r="B51" s="824" t="n"/>
      <c r="C51" s="683" t="inlineStr">
        <is>
          <t>Enterprise Value</t>
        </is>
      </c>
      <c r="D51" s="656" t="n"/>
      <c r="E51" s="656" t="n"/>
      <c r="F51" s="656" t="n"/>
      <c r="G51" s="1012">
        <f>SUM(G49:G50)</f>
        <v/>
      </c>
      <c r="H51" s="824" t="n"/>
      <c r="I51" s="694" t="n"/>
      <c r="J51" s="683" t="inlineStr">
        <is>
          <t>Enterprise Value</t>
        </is>
      </c>
      <c r="K51" s="656" t="n"/>
      <c r="L51" s="656" t="n"/>
      <c r="M51" s="656" t="n"/>
      <c r="N51" s="1012">
        <f>SUM(N49:N50)</f>
        <v/>
      </c>
    </row>
    <row r="52" ht="15" customHeight="1">
      <c r="A52" s="824" t="n"/>
      <c r="B52" s="824" t="n"/>
      <c r="C52" s="476" t="inlineStr">
        <is>
          <t>(-) Debt &amp; Preferred (principal)</t>
        </is>
      </c>
      <c r="D52" s="824" t="n"/>
      <c r="E52" s="824" t="n"/>
      <c r="F52" s="824" t="n"/>
      <c r="G52" s="647">
        <f>-G31-'Capital Structure'!D27</f>
        <v/>
      </c>
      <c r="H52" s="824" t="n"/>
      <c r="I52" s="824" t="n"/>
      <c r="J52" s="476" t="inlineStr">
        <is>
          <t>(-) Debt &amp; Preferred (principal)</t>
        </is>
      </c>
      <c r="K52" s="824" t="n"/>
      <c r="L52" s="824" t="n"/>
      <c r="M52" s="824" t="n"/>
      <c r="N52" s="647">
        <f>G52</f>
        <v/>
      </c>
    </row>
    <row r="53" ht="15" customHeight="1">
      <c r="A53" s="824" t="n"/>
      <c r="B53" s="824" t="n"/>
      <c r="C53" s="476" t="inlineStr">
        <is>
          <t>(+) Cash</t>
        </is>
      </c>
      <c r="D53" s="824" t="n"/>
      <c r="E53" s="824" t="n"/>
      <c r="F53" s="824" t="n"/>
      <c r="G53" s="765">
        <f>-'Capital Structure'!D25</f>
        <v/>
      </c>
      <c r="H53" s="825" t="n"/>
      <c r="I53" s="824" t="n"/>
      <c r="J53" s="476" t="inlineStr">
        <is>
          <t>(+) Cash</t>
        </is>
      </c>
      <c r="K53" s="824" t="n"/>
      <c r="L53" s="824" t="n"/>
      <c r="M53" s="824" t="n"/>
      <c r="N53" s="647">
        <f>G53</f>
        <v/>
      </c>
    </row>
    <row r="54" ht="15" customHeight="1">
      <c r="A54" s="824" t="n"/>
      <c r="B54" s="824" t="n"/>
      <c r="C54" s="683" t="inlineStr">
        <is>
          <t>Equity Value</t>
        </is>
      </c>
      <c r="D54" s="695" t="n"/>
      <c r="E54" s="695" t="n"/>
      <c r="F54" s="695" t="n"/>
      <c r="G54" s="1012">
        <f>SUM(G51:G53)</f>
        <v/>
      </c>
      <c r="H54" s="824" t="n"/>
      <c r="I54" s="696" t="n"/>
      <c r="J54" s="683" t="inlineStr">
        <is>
          <t>Equity Value</t>
        </is>
      </c>
      <c r="K54" s="695" t="n"/>
      <c r="L54" s="695" t="n"/>
      <c r="M54" s="695" t="n"/>
      <c r="N54" s="1012">
        <f>SUM(N51:N53)</f>
        <v/>
      </c>
    </row>
    <row r="55" ht="15" customHeight="1" thickBot="1">
      <c r="A55" s="824" t="n"/>
      <c r="B55" s="824" t="n"/>
      <c r="C55" s="697" t="n"/>
      <c r="D55" s="698" t="n"/>
      <c r="E55" s="698" t="n"/>
      <c r="F55" s="698" t="n"/>
      <c r="G55" s="699" t="n"/>
      <c r="H55" s="824" t="n"/>
      <c r="I55" s="644" t="n"/>
      <c r="J55" s="697" t="n"/>
      <c r="K55" s="698" t="n"/>
      <c r="L55" s="698" t="n"/>
      <c r="M55" s="698" t="n"/>
      <c r="N55" s="699" t="n"/>
    </row>
    <row r="56" ht="15" customHeight="1">
      <c r="A56" s="824" t="n"/>
      <c r="B56" s="824" t="n"/>
      <c r="C56" s="686" t="inlineStr">
        <is>
          <t>Implied Price per Share</t>
        </is>
      </c>
      <c r="D56" s="643" t="n"/>
      <c r="E56" s="643" t="n"/>
      <c r="F56" s="643" t="n"/>
      <c r="G56" s="1021">
        <f>G54/$G$21</f>
        <v/>
      </c>
      <c r="H56" s="824" t="n"/>
      <c r="I56" s="644" t="n"/>
      <c r="J56" s="686" t="inlineStr">
        <is>
          <t>Implied Price per Share</t>
        </is>
      </c>
      <c r="K56" s="643" t="n"/>
      <c r="L56" s="643" t="n"/>
      <c r="M56" s="643" t="n"/>
      <c r="N56" s="1021">
        <f>N54/$G$21</f>
        <v/>
      </c>
    </row>
    <row r="57" ht="15" customHeight="1">
      <c r="A57" s="824" t="n"/>
      <c r="B57" s="824" t="n"/>
      <c r="C57" s="686" t="inlineStr">
        <is>
          <t>Implied Upside (Downside) to Current Price</t>
        </is>
      </c>
      <c r="D57" s="652" t="n"/>
      <c r="E57" s="652" t="n"/>
      <c r="F57" s="652" t="n"/>
      <c r="G57" s="701">
        <f>(G56-G20)/G20</f>
        <v/>
      </c>
      <c r="H57" s="824" t="n"/>
      <c r="I57" s="652" t="n"/>
      <c r="J57" s="686" t="inlineStr">
        <is>
          <t>Implied Upside (Downside) to Current Price</t>
        </is>
      </c>
      <c r="K57" s="652" t="n"/>
      <c r="L57" s="652" t="n"/>
      <c r="M57" s="652" t="n"/>
      <c r="N57" s="701">
        <f>(N56-G20)/G20</f>
        <v/>
      </c>
    </row>
    <row r="58" ht="15" customHeight="1" thickBot="1">
      <c r="A58" s="825" t="n"/>
      <c r="B58" s="825" t="inlineStr">
        <is>
          <t>x</t>
        </is>
      </c>
      <c r="C58" s="702" t="inlineStr">
        <is>
          <t>Implied EV / NTM (2027E) Adj. EBITDA</t>
        </is>
      </c>
      <c r="D58" s="703" t="n"/>
      <c r="E58" s="703" t="n"/>
      <c r="F58" s="703" t="n"/>
      <c r="G58" s="1022">
        <f>G51/K129</f>
        <v/>
      </c>
      <c r="H58" s="824" t="n"/>
      <c r="I58" s="653" t="n"/>
      <c r="J58" s="702" t="inlineStr">
        <is>
          <t>Implied EV / NTM (2027E) Adj. EBITDA</t>
        </is>
      </c>
      <c r="K58" s="703" t="n"/>
      <c r="L58" s="703" t="n"/>
      <c r="M58" s="703" t="n"/>
      <c r="N58" s="1022">
        <f>N51/K129</f>
        <v/>
      </c>
    </row>
    <row r="62" ht="15" customHeight="1">
      <c r="A62" s="824" t="n"/>
      <c r="B62" s="825" t="inlineStr">
        <is>
          <t>x</t>
        </is>
      </c>
      <c r="C62" s="705" t="inlineStr">
        <is>
          <t>Exit Multiple Method</t>
        </is>
      </c>
      <c r="D62" s="706" t="n"/>
      <c r="E62" s="706" t="n"/>
      <c r="F62" s="706" t="n"/>
      <c r="G62" s="706" t="n"/>
      <c r="H62" s="706" t="n"/>
      <c r="I62" s="706" t="n"/>
      <c r="J62" s="706" t="n"/>
      <c r="K62" s="706" t="n"/>
      <c r="L62" s="706" t="n"/>
      <c r="M62" s="706" t="n"/>
      <c r="N62" s="706" t="n"/>
    </row>
    <row r="63" ht="15" customHeight="1">
      <c r="A63" s="824" t="n"/>
      <c r="B63" s="824" t="n"/>
      <c r="C63" s="707" t="n"/>
      <c r="D63" s="707" t="n"/>
      <c r="E63" s="707" t="n"/>
      <c r="F63" s="707" t="n"/>
      <c r="G63" s="707" t="n"/>
      <c r="H63" s="707" t="n"/>
      <c r="I63" s="707" t="n"/>
      <c r="J63" s="707" t="n"/>
      <c r="K63" s="707" t="n"/>
      <c r="L63" s="707" t="n"/>
      <c r="M63" s="707" t="n"/>
      <c r="N63" s="707" t="n"/>
    </row>
    <row r="64" ht="15" customHeight="1">
      <c r="A64" s="824" t="n"/>
      <c r="B64" s="824" t="n"/>
      <c r="C64" s="707" t="n"/>
      <c r="D64" s="707" t="n"/>
      <c r="E64" s="707" t="n"/>
      <c r="F64" s="707" t="n"/>
      <c r="H64" s="705" t="inlineStr">
        <is>
          <t>Steps</t>
        </is>
      </c>
      <c r="I64" s="706" t="n"/>
      <c r="K64" s="496" t="n"/>
      <c r="L64" s="707" t="n"/>
      <c r="M64" s="707" t="n"/>
      <c r="N64" s="707" t="n"/>
    </row>
    <row r="65" ht="15" customHeight="1">
      <c r="A65" s="824" t="n"/>
      <c r="B65" s="824" t="n"/>
      <c r="C65" s="707" t="n"/>
      <c r="D65" s="707" t="n"/>
      <c r="E65" s="707" t="n"/>
      <c r="F65" s="707" t="n"/>
      <c r="H65" s="708" t="inlineStr">
        <is>
          <t>WACC</t>
        </is>
      </c>
      <c r="I65" s="709" t="n">
        <v>0.01</v>
      </c>
      <c r="K65" s="496" t="n"/>
      <c r="L65" s="707" t="n"/>
      <c r="M65" s="707" t="n"/>
      <c r="N65" s="707" t="n"/>
    </row>
    <row r="66" ht="15" customHeight="1" thickBot="1">
      <c r="A66" s="824" t="n"/>
      <c r="B66" s="824" t="n"/>
      <c r="C66" s="707" t="n"/>
      <c r="D66" s="707" t="n"/>
      <c r="E66" s="707" t="n"/>
      <c r="F66" s="707" t="n"/>
      <c r="H66" s="710" t="inlineStr">
        <is>
          <t>Exit Multiple</t>
        </is>
      </c>
      <c r="I66" s="1023" t="n">
        <v>0.5</v>
      </c>
      <c r="K66" s="496" t="n"/>
      <c r="L66" s="707" t="n"/>
      <c r="M66" s="707" t="n"/>
      <c r="N66" s="707" t="n"/>
    </row>
    <row r="67" ht="15" customHeight="1">
      <c r="A67" s="824" t="n"/>
      <c r="B67" s="824" t="n"/>
      <c r="C67" s="707" t="n"/>
      <c r="D67" s="707" t="n"/>
      <c r="E67" s="707" t="n"/>
      <c r="F67" s="707" t="n"/>
      <c r="G67" s="707" t="n"/>
      <c r="H67" s="707" t="n"/>
      <c r="I67" s="707" t="n"/>
      <c r="J67" s="707" t="n"/>
      <c r="K67" s="707" t="n"/>
      <c r="L67" s="707" t="n"/>
      <c r="M67" s="707" t="n"/>
      <c r="N67" s="707" t="n"/>
    </row>
    <row r="68" ht="15" customHeight="1">
      <c r="A68" s="824" t="n"/>
      <c r="B68" s="824" t="n"/>
      <c r="C68" s="712" t="inlineStr">
        <is>
          <t>WACC and Exit Multiple Impact on PPS</t>
        </is>
      </c>
      <c r="D68" s="713" t="n"/>
      <c r="E68" s="713" t="n"/>
      <c r="F68" s="713" t="n"/>
      <c r="G68" s="713" t="n"/>
      <c r="H68" s="713" t="n"/>
      <c r="I68" s="713" t="n"/>
      <c r="J68" s="713" t="n"/>
      <c r="K68" s="713" t="n"/>
      <c r="L68" s="713" t="n"/>
      <c r="M68" s="713" t="n"/>
      <c r="N68" s="713" t="n"/>
    </row>
    <row r="69" ht="15" customHeight="1">
      <c r="A69" s="824" t="n"/>
      <c r="B69" s="824" t="n"/>
      <c r="C69" s="707" t="n"/>
      <c r="D69" s="707" t="n"/>
      <c r="E69" s="707" t="n"/>
      <c r="F69" s="707" t="n"/>
      <c r="G69" s="707" t="n"/>
      <c r="H69" s="707" t="n"/>
      <c r="I69" s="707" t="n"/>
      <c r="J69" s="707" t="n"/>
      <c r="K69" s="707" t="n"/>
      <c r="L69" s="707" t="n"/>
      <c r="M69" s="707" t="n"/>
      <c r="N69" s="707" t="n"/>
    </row>
    <row r="70" ht="15" customHeight="1">
      <c r="A70" s="824" t="n"/>
      <c r="B70" s="824" t="n"/>
      <c r="C70" s="707" t="n"/>
      <c r="D70" s="707" t="n"/>
      <c r="E70" s="707" t="n"/>
      <c r="F70" s="707" t="n"/>
      <c r="G70" s="714" t="inlineStr">
        <is>
          <t>Exit Multiple</t>
        </is>
      </c>
      <c r="H70" s="715" t="n"/>
      <c r="I70" s="715" t="n"/>
      <c r="J70" s="715" t="n"/>
      <c r="K70" s="715" t="n"/>
      <c r="L70" s="496" t="n"/>
      <c r="M70" s="496" t="n"/>
      <c r="N70" s="707" t="n"/>
    </row>
    <row r="71" ht="15" customHeight="1">
      <c r="A71" s="824" t="n"/>
      <c r="B71" s="824" t="n"/>
      <c r="C71" s="707" t="n"/>
      <c r="D71" s="707" t="n"/>
      <c r="E71" s="707" t="n"/>
      <c r="F71" s="1024">
        <f>G56</f>
        <v/>
      </c>
      <c r="G71" s="1025">
        <f>H71-$I$66</f>
        <v/>
      </c>
      <c r="H71" s="1025">
        <f>I71-$I$66</f>
        <v/>
      </c>
      <c r="I71" s="1026" t="n">
        <v>5</v>
      </c>
      <c r="J71" s="1025">
        <f>I71+$I$66</f>
        <v/>
      </c>
      <c r="K71" s="1025">
        <f>J71+$I$66</f>
        <v/>
      </c>
      <c r="L71" s="496" t="n"/>
      <c r="M71" s="496" t="n"/>
      <c r="N71" s="707" t="n"/>
    </row>
    <row r="72" ht="15" customHeight="1">
      <c r="A72" s="824" t="n"/>
      <c r="B72" s="824" t="n"/>
      <c r="C72" s="707" t="n"/>
      <c r="D72" s="707" t="n"/>
      <c r="E72" s="719" t="n"/>
      <c r="F72" s="720">
        <f>F73+$I$65</f>
        <v/>
      </c>
      <c r="G72" s="1027">
        <f t="dataTable" ref="G72:K76" dt2D="1" dtr="1" r1="G46" r2="G41" ca="1"/>
        <v/>
      </c>
      <c r="H72" s="1028" t="n">
        <v>-6.115299784518654</v>
      </c>
      <c r="I72" s="1028" t="n">
        <v>-4.430193003960679</v>
      </c>
      <c r="J72" s="1028" t="n">
        <v>-2.745086223402705</v>
      </c>
      <c r="K72" s="1029" t="n">
        <v>-1.059979442844731</v>
      </c>
      <c r="L72" s="496" t="n"/>
      <c r="M72" s="496" t="n"/>
      <c r="N72" s="707" t="n"/>
    </row>
    <row r="73" ht="15" customHeight="1">
      <c r="A73" s="824" t="n"/>
      <c r="B73" s="824" t="n"/>
      <c r="C73" s="707" t="n"/>
      <c r="D73" s="707" t="n"/>
      <c r="E73" s="719" t="n"/>
      <c r="F73" s="724">
        <f>F74+$I$65</f>
        <v/>
      </c>
      <c r="G73" s="1030" t="n">
        <v>-7.123574845128902</v>
      </c>
      <c r="H73" s="1031" t="n">
        <v>-5.374814785190019</v>
      </c>
      <c r="I73" s="1032" t="n">
        <v>-3.62605472525114</v>
      </c>
      <c r="J73" s="1033" t="n">
        <v>-1.877294665312257</v>
      </c>
      <c r="K73" s="1034" t="n">
        <v>-0.1285346053733742</v>
      </c>
      <c r="L73" s="496" t="n"/>
      <c r="M73" s="496" t="n"/>
      <c r="N73" s="707" t="n"/>
    </row>
    <row r="74" ht="15" customHeight="1">
      <c r="A74" s="824" t="n"/>
      <c r="B74" s="824" t="n"/>
      <c r="C74" s="707" t="n"/>
      <c r="D74" s="707" t="n"/>
      <c r="E74" s="730" t="inlineStr">
        <is>
          <t>WACC</t>
        </is>
      </c>
      <c r="F74" s="709" t="n">
        <v>0.12</v>
      </c>
      <c r="G74" s="1030" t="n">
        <v>-6.41720093836804</v>
      </c>
      <c r="H74" s="1035" t="n">
        <v>-4.6017849187895</v>
      </c>
      <c r="I74" s="1036" t="n">
        <v>-2.786368899210957</v>
      </c>
      <c r="J74" s="1037" t="n">
        <v>-0.9709528796324135</v>
      </c>
      <c r="K74" s="1034" t="n">
        <v>0.8444631399461298</v>
      </c>
      <c r="L74" s="496" t="n"/>
      <c r="M74" s="496" t="n"/>
      <c r="N74" s="707" t="n"/>
    </row>
    <row r="75" ht="15" customHeight="1">
      <c r="A75" s="824" t="n"/>
      <c r="B75" s="824" t="n"/>
      <c r="C75" s="707" t="n"/>
      <c r="D75" s="707" t="n"/>
      <c r="E75" s="719" t="n"/>
      <c r="F75" s="724">
        <f>F74-$I$65</f>
        <v/>
      </c>
      <c r="G75" s="1030" t="n">
        <v>-5.67967437889872</v>
      </c>
      <c r="H75" s="1038" t="n">
        <v>-3.794429340711295</v>
      </c>
      <c r="I75" s="1039" t="n">
        <v>-1.909184302523868</v>
      </c>
      <c r="J75" s="1040" t="n">
        <v>-0.02393926433644304</v>
      </c>
      <c r="K75" s="1034" t="n">
        <v>1.861305773850988</v>
      </c>
      <c r="L75" s="496" t="n"/>
      <c r="M75" s="496" t="n"/>
      <c r="N75" s="707" t="n"/>
    </row>
    <row r="76" ht="15" customHeight="1">
      <c r="A76" s="824" t="n"/>
      <c r="B76" s="824" t="n"/>
      <c r="C76" s="707" t="n"/>
      <c r="D76" s="707" t="n"/>
      <c r="E76" s="719" t="n"/>
      <c r="F76" s="724">
        <f>F75-$I$65</f>
        <v/>
      </c>
      <c r="G76" s="1041" t="n">
        <v>-4.909280246426951</v>
      </c>
      <c r="H76" s="1042" t="n">
        <v>-2.950851423798349</v>
      </c>
      <c r="I76" s="1042" t="n">
        <v>-0.9924226011697542</v>
      </c>
      <c r="J76" s="1042" t="n">
        <v>0.9660062214588474</v>
      </c>
      <c r="K76" s="1043" t="n">
        <v>2.924435044087449</v>
      </c>
      <c r="L76" s="496" t="n"/>
      <c r="M76" s="496" t="n"/>
      <c r="N76" s="707" t="n"/>
    </row>
    <row r="78" ht="15" customHeight="1">
      <c r="C78" s="712" t="inlineStr">
        <is>
          <t>WACC and Exit Multiple Impact on Implied Upside / (Downside)</t>
        </is>
      </c>
      <c r="D78" s="713" t="n"/>
      <c r="E78" s="713" t="n"/>
      <c r="F78" s="713" t="n"/>
      <c r="G78" s="713" t="n"/>
      <c r="H78" s="713" t="n"/>
      <c r="I78" s="713" t="n"/>
      <c r="J78" s="713" t="n"/>
      <c r="K78" s="713" t="n"/>
      <c r="L78" s="713" t="n"/>
      <c r="M78" s="713" t="n"/>
      <c r="N78" s="713" t="n"/>
    </row>
    <row r="79" ht="15" customHeight="1">
      <c r="C79" s="707" t="n"/>
      <c r="D79" s="707" t="n"/>
      <c r="E79" s="707" t="n"/>
      <c r="F79" s="707" t="n"/>
      <c r="G79" s="707" t="n"/>
      <c r="H79" s="707" t="n"/>
      <c r="I79" s="707" t="n"/>
      <c r="J79" s="707" t="n"/>
      <c r="K79" s="707" t="n"/>
      <c r="L79" s="707" t="n"/>
      <c r="M79" s="707" t="n"/>
      <c r="N79" s="707" t="n"/>
    </row>
    <row r="80" ht="15" customHeight="1">
      <c r="C80" s="707" t="n"/>
      <c r="D80" s="707" t="n"/>
      <c r="E80" s="707" t="n"/>
      <c r="F80" s="707" t="n"/>
      <c r="G80" s="714" t="inlineStr">
        <is>
          <t>Exit Multiple</t>
        </is>
      </c>
      <c r="H80" s="715" t="n"/>
      <c r="I80" s="715" t="n"/>
      <c r="J80" s="715" t="n"/>
      <c r="K80" s="715" t="n"/>
      <c r="L80" s="496" t="n"/>
      <c r="M80" s="496" t="n"/>
      <c r="N80" s="707" t="n"/>
    </row>
    <row r="81" ht="15" customHeight="1">
      <c r="C81" s="707" t="n"/>
      <c r="D81" s="707" t="n"/>
      <c r="E81" s="707" t="n"/>
      <c r="F81" s="740">
        <f>G57</f>
        <v/>
      </c>
      <c r="G81" s="1025">
        <f>H81-$I$66</f>
        <v/>
      </c>
      <c r="H81" s="1025">
        <f>I81-$I$66</f>
        <v/>
      </c>
      <c r="I81" s="1026" t="n">
        <v>5</v>
      </c>
      <c r="J81" s="1025">
        <f>I81+$I$66</f>
        <v/>
      </c>
      <c r="K81" s="1025">
        <f>J81+$I$66</f>
        <v/>
      </c>
      <c r="L81" s="496" t="n"/>
      <c r="M81" s="496" t="n"/>
      <c r="N81" s="707" t="n"/>
    </row>
    <row r="82" ht="15" customHeight="1">
      <c r="C82" s="707" t="n"/>
      <c r="D82" s="707" t="n"/>
      <c r="E82" s="719" t="n"/>
      <c r="F82" s="720">
        <f>F83+$I$65</f>
        <v/>
      </c>
      <c r="G82" s="741">
        <f t="dataTable" ref="G82:K86" dt2D="1" dtr="1" r1="G46" r2="G41" ca="1"/>
        <v/>
      </c>
      <c r="H82" s="742" t="n">
        <v>-3.475829872274758</v>
      </c>
      <c r="I82" s="742" t="n">
        <v>-2.793600406461813</v>
      </c>
      <c r="J82" s="742" t="n">
        <v>-2.111370940648869</v>
      </c>
      <c r="K82" s="743" t="n">
        <v>-1.429141474835923</v>
      </c>
      <c r="L82" s="496" t="n"/>
      <c r="M82" s="496" t="n"/>
      <c r="N82" s="707" t="n"/>
    </row>
    <row r="83" ht="15" customHeight="1">
      <c r="C83" s="707" t="n"/>
      <c r="D83" s="707" t="n"/>
      <c r="E83" s="719" t="n"/>
      <c r="F83" s="724">
        <f>F84+$I$65</f>
        <v/>
      </c>
      <c r="G83" s="744" t="n">
        <v>-3.884038398837612</v>
      </c>
      <c r="H83" s="745" t="n">
        <v>-3.176038374570858</v>
      </c>
      <c r="I83" s="746" t="n">
        <v>-2.468038350304105</v>
      </c>
      <c r="J83" s="747" t="n">
        <v>-1.760038326037351</v>
      </c>
      <c r="K83" s="748" t="n">
        <v>-1.052038301770597</v>
      </c>
      <c r="L83" s="496" t="n"/>
      <c r="M83" s="496" t="n"/>
      <c r="N83" s="707" t="n"/>
    </row>
    <row r="84" ht="15" customHeight="1">
      <c r="C84" s="707" t="n"/>
      <c r="D84" s="707" t="n"/>
      <c r="E84" s="730" t="inlineStr">
        <is>
          <t>WACC</t>
        </is>
      </c>
      <c r="F84" s="709" t="n">
        <v>0.12</v>
      </c>
      <c r="G84" s="744" t="n">
        <v>-3.598057060068033</v>
      </c>
      <c r="H84" s="749" t="n">
        <v>-2.863070817323684</v>
      </c>
      <c r="I84" s="750" t="n">
        <v>-2.128084574579335</v>
      </c>
      <c r="J84" s="751" t="n">
        <v>-1.393098331834985</v>
      </c>
      <c r="K84" s="748" t="n">
        <v>-0.6581120890906358</v>
      </c>
      <c r="L84" s="496" t="n"/>
      <c r="M84" s="496" t="n"/>
      <c r="N84" s="707" t="n"/>
    </row>
    <row r="85" ht="15" customHeight="1">
      <c r="C85" s="707" t="n"/>
      <c r="D85" s="707" t="n"/>
      <c r="E85" s="719" t="n"/>
      <c r="F85" s="724">
        <f>F84-$I$65</f>
        <v/>
      </c>
      <c r="G85" s="744" t="n">
        <v>-3.299463311295028</v>
      </c>
      <c r="H85" s="752" t="n">
        <v>-2.53620621081429</v>
      </c>
      <c r="I85" s="753" t="n">
        <v>-1.77294911033355</v>
      </c>
      <c r="J85" s="754" t="n">
        <v>-1.009692009852811</v>
      </c>
      <c r="K85" s="748" t="n">
        <v>-0.2464349093720696</v>
      </c>
      <c r="L85" s="496" t="n"/>
      <c r="M85" s="496" t="n"/>
      <c r="N85" s="707" t="n"/>
    </row>
    <row r="86" ht="15" customHeight="1">
      <c r="C86" s="707" t="n"/>
      <c r="D86" s="707" t="n"/>
      <c r="E86" s="719" t="n"/>
      <c r="F86" s="724">
        <f>F85-$I$65</f>
        <v/>
      </c>
      <c r="G86" s="755" t="n">
        <v>-2.987562852804433</v>
      </c>
      <c r="H86" s="756" t="n">
        <v>-2.194676689796902</v>
      </c>
      <c r="I86" s="756" t="n">
        <v>-1.401790526789374</v>
      </c>
      <c r="J86" s="756" t="n">
        <v>-0.6089043637818432</v>
      </c>
      <c r="K86" s="757" t="n">
        <v>0.1839817992256878</v>
      </c>
      <c r="L86" s="496" t="n"/>
      <c r="M86" s="496" t="n"/>
      <c r="N86" s="707" t="n"/>
    </row>
    <row r="88" ht="15" customHeight="1">
      <c r="B88" s="450" t="inlineStr">
        <is>
          <t>x</t>
        </is>
      </c>
      <c r="C88" s="705" t="inlineStr">
        <is>
          <t>Gordon Growth</t>
        </is>
      </c>
      <c r="D88" s="706" t="n"/>
      <c r="E88" s="706" t="n"/>
      <c r="F88" s="706" t="n"/>
      <c r="G88" s="706" t="n"/>
      <c r="H88" s="706" t="n"/>
      <c r="I88" s="706" t="n"/>
      <c r="J88" s="706" t="n"/>
      <c r="K88" s="706" t="n"/>
      <c r="L88" s="706" t="n"/>
      <c r="M88" s="706" t="n"/>
      <c r="N88" s="706" t="n"/>
    </row>
    <row r="89" ht="15" customHeight="1">
      <c r="C89" s="707" t="n"/>
      <c r="D89" s="707" t="n"/>
      <c r="E89" s="707" t="n"/>
      <c r="F89" s="707" t="n"/>
      <c r="G89" s="707" t="n"/>
      <c r="H89" s="707" t="n"/>
      <c r="I89" s="707" t="n"/>
      <c r="J89" s="707" t="n"/>
      <c r="K89" s="707" t="n"/>
      <c r="L89" s="707" t="n"/>
      <c r="M89" s="707" t="n"/>
      <c r="N89" s="707" t="n"/>
    </row>
    <row r="90" ht="15" customHeight="1">
      <c r="C90" s="707" t="n"/>
      <c r="D90" s="707" t="n"/>
      <c r="E90" s="707" t="n"/>
      <c r="F90" s="707" t="n"/>
      <c r="H90" s="705" t="inlineStr">
        <is>
          <t>Steps</t>
        </is>
      </c>
      <c r="I90" s="706" t="n"/>
      <c r="K90" s="496" t="n"/>
      <c r="L90" s="707" t="n"/>
      <c r="M90" s="707" t="n"/>
      <c r="N90" s="707" t="n"/>
    </row>
    <row r="91" ht="15" customHeight="1">
      <c r="C91" s="707" t="n"/>
      <c r="D91" s="707" t="n"/>
      <c r="E91" s="707" t="n"/>
      <c r="F91" s="707" t="n"/>
      <c r="H91" s="708" t="inlineStr">
        <is>
          <t>WACC</t>
        </is>
      </c>
      <c r="I91" s="709" t="n">
        <v>0.02</v>
      </c>
      <c r="K91" s="496" t="n"/>
      <c r="L91" s="707" t="n"/>
      <c r="M91" s="707" t="n"/>
      <c r="N91" s="707" t="n"/>
    </row>
    <row r="92" ht="15" customHeight="1" thickBot="1">
      <c r="C92" s="707" t="n"/>
      <c r="D92" s="707" t="n"/>
      <c r="E92" s="707" t="n"/>
      <c r="F92" s="707" t="n"/>
      <c r="H92" s="710" t="inlineStr">
        <is>
          <t>PGR</t>
        </is>
      </c>
      <c r="I92" s="758" t="n">
        <v>0.005</v>
      </c>
      <c r="K92" s="496" t="n"/>
      <c r="L92" s="707" t="n"/>
      <c r="M92" s="707" t="n"/>
      <c r="N92" s="707" t="n"/>
    </row>
    <row r="93" ht="15" customHeight="1">
      <c r="C93" s="707" t="n"/>
      <c r="D93" s="707" t="n"/>
      <c r="E93" s="707" t="n"/>
      <c r="F93" s="707" t="n"/>
      <c r="G93" s="707" t="n"/>
      <c r="H93" s="707" t="n"/>
      <c r="I93" s="707" t="n"/>
      <c r="J93" s="707" t="n"/>
      <c r="K93" s="707" t="n"/>
      <c r="L93" s="707" t="n"/>
      <c r="M93" s="707" t="n"/>
      <c r="N93" s="707" t="n"/>
    </row>
    <row r="94" ht="15" customHeight="1">
      <c r="C94" s="712" t="inlineStr">
        <is>
          <t>WACC and Perpetuity Growth Rate Impact on PPS</t>
        </is>
      </c>
      <c r="D94" s="713" t="n"/>
      <c r="E94" s="713" t="n"/>
      <c r="F94" s="713" t="n"/>
      <c r="G94" s="713" t="n"/>
      <c r="H94" s="713" t="n"/>
      <c r="I94" s="713" t="n"/>
      <c r="J94" s="713" t="n"/>
      <c r="K94" s="713" t="n"/>
      <c r="L94" s="713" t="n"/>
      <c r="M94" s="713" t="n"/>
      <c r="N94" s="713" t="n"/>
    </row>
    <row r="95" ht="15" customHeight="1">
      <c r="C95" s="707" t="n"/>
      <c r="D95" s="707" t="n"/>
      <c r="E95" s="707" t="n"/>
      <c r="F95" s="707" t="n"/>
      <c r="G95" s="707" t="n"/>
      <c r="H95" s="707" t="n"/>
      <c r="I95" s="707" t="n"/>
      <c r="J95" s="707" t="n"/>
      <c r="K95" s="707" t="n"/>
      <c r="L95" s="707" t="n"/>
      <c r="M95" s="707" t="n"/>
      <c r="N95" s="707" t="n"/>
    </row>
    <row r="96" ht="15" customHeight="1">
      <c r="C96" s="707" t="n"/>
      <c r="D96" s="707" t="n"/>
      <c r="E96" s="707" t="n"/>
      <c r="F96" s="707" t="n"/>
      <c r="G96" s="714" t="inlineStr">
        <is>
          <t>Perpetuity Growth Rate</t>
        </is>
      </c>
      <c r="H96" s="715" t="n"/>
      <c r="I96" s="715" t="n"/>
      <c r="J96" s="715" t="n"/>
      <c r="K96" s="715" t="n"/>
      <c r="L96" s="496" t="n"/>
      <c r="M96" s="496" t="n"/>
      <c r="N96" s="707" t="n"/>
    </row>
    <row r="97" ht="15" customHeight="1">
      <c r="C97" s="707" t="n"/>
      <c r="D97" s="707" t="n"/>
      <c r="E97" s="707" t="n"/>
      <c r="F97" s="1024">
        <f>N56</f>
        <v/>
      </c>
      <c r="G97" s="724">
        <f>H97-$I$92</f>
        <v/>
      </c>
      <c r="H97" s="724">
        <f>I97-$I$92</f>
        <v/>
      </c>
      <c r="I97" s="709" t="n">
        <v>0</v>
      </c>
      <c r="J97" s="724">
        <f>I97+$I$92</f>
        <v/>
      </c>
      <c r="K97" s="724">
        <f>J97+$I$92</f>
        <v/>
      </c>
      <c r="L97" s="496" t="n"/>
      <c r="M97" s="496" t="n"/>
      <c r="N97" s="707" t="n"/>
    </row>
    <row r="98" ht="15" customHeight="1">
      <c r="C98" s="707" t="n"/>
      <c r="D98" s="707" t="n"/>
      <c r="E98" s="719" t="n"/>
      <c r="F98" s="720">
        <f>F99+$I$65</f>
        <v/>
      </c>
      <c r="G98" s="1027">
        <f t="dataTable" ref="G98:K102" dt2D="1" dtr="1" r1="N45" r2="G41" ca="1"/>
        <v/>
      </c>
      <c r="H98" s="1028" t="n">
        <v>-8.575667131386393</v>
      </c>
      <c r="I98" s="1028" t="n">
        <v>-8.055768466881887</v>
      </c>
      <c r="J98" s="1028" t="n">
        <v>-7.497358790191859</v>
      </c>
      <c r="K98" s="1029" t="n">
        <v>-6.895994522987212</v>
      </c>
      <c r="L98" s="496" t="n"/>
      <c r="M98" s="496" t="n"/>
      <c r="N98" s="707" t="n"/>
    </row>
    <row r="99" ht="15" customHeight="1">
      <c r="C99" s="707" t="n"/>
      <c r="D99" s="707" t="n"/>
      <c r="E99" s="719" t="n"/>
      <c r="F99" s="724">
        <f>F100+$I$65</f>
        <v/>
      </c>
      <c r="G99" s="1030" t="n">
        <v>-7.585560499548643</v>
      </c>
      <c r="H99" s="1031" t="n">
        <v>-7.013665731409723</v>
      </c>
      <c r="I99" s="1032" t="n">
        <v>-6.397779058029355</v>
      </c>
      <c r="J99" s="1033" t="n">
        <v>-5.732621450778558</v>
      </c>
      <c r="K99" s="1034" t="n">
        <v>-5.012034042923526</v>
      </c>
      <c r="L99" s="496" t="n"/>
      <c r="M99" s="496" t="n"/>
      <c r="N99" s="707" t="n"/>
    </row>
    <row r="100" ht="15" customHeight="1">
      <c r="C100" s="707" t="n"/>
      <c r="D100" s="707" t="n"/>
      <c r="E100" s="730" t="inlineStr">
        <is>
          <t>WACC</t>
        </is>
      </c>
      <c r="F100" s="709" t="n">
        <v>0.12</v>
      </c>
      <c r="G100" s="1030" t="n">
        <v>-5.883577669813729</v>
      </c>
      <c r="H100" s="1035" t="n">
        <v>-5.202212595219603</v>
      </c>
      <c r="I100" s="1036" t="n">
        <v>-4.464067097742638</v>
      </c>
      <c r="J100" s="1037" t="n">
        <v>-3.661735035267675</v>
      </c>
      <c r="K100" s="1034" t="n">
        <v>-2.786463694385894</v>
      </c>
      <c r="L100" s="496" t="n"/>
      <c r="M100" s="496" t="n"/>
      <c r="N100" s="707" t="n"/>
    </row>
    <row r="101" ht="15" customHeight="1">
      <c r="C101" s="707" t="n"/>
      <c r="D101" s="707" t="n"/>
      <c r="E101" s="719" t="n"/>
      <c r="F101" s="724">
        <f>F100-$I$65</f>
        <v/>
      </c>
      <c r="G101" s="1030" t="n">
        <v>-3.898307098692873</v>
      </c>
      <c r="H101" s="1038" t="n">
        <v>-3.076247651168374</v>
      </c>
      <c r="I101" s="1039" t="n">
        <v>-2.179455526596195</v>
      </c>
      <c r="J101" s="1040" t="n">
        <v>-1.197254628255238</v>
      </c>
      <c r="K101" s="1034" t="n">
        <v>-0.1168336400801809</v>
      </c>
      <c r="L101" s="496" t="n"/>
      <c r="M101" s="496" t="n"/>
      <c r="N101" s="707" t="n"/>
    </row>
    <row r="102" ht="15" customHeight="1">
      <c r="C102" s="707" t="n"/>
      <c r="D102" s="707" t="n"/>
      <c r="E102" s="719" t="n"/>
      <c r="F102" s="724">
        <f>F101-$I$65</f>
        <v/>
      </c>
      <c r="G102" s="1041" t="n">
        <v>-1.552498850198961</v>
      </c>
      <c r="H102" s="1042" t="n">
        <v>-0.5459267879102512</v>
      </c>
      <c r="I102" s="1042" t="n">
        <v>0.5613024806073454</v>
      </c>
      <c r="J102" s="1042" t="n">
        <v>1.785082198442568</v>
      </c>
      <c r="K102" s="1043" t="n">
        <v>3.144837440481719</v>
      </c>
      <c r="L102" s="496" t="n"/>
      <c r="M102" s="496" t="n"/>
      <c r="N102" s="707" t="n"/>
    </row>
    <row r="104" ht="15" customHeight="1">
      <c r="C104" s="712" t="inlineStr">
        <is>
          <t>WACC and Perpetuity Growth Rate Impact on Implied Upside / (Downside)</t>
        </is>
      </c>
      <c r="D104" s="713" t="n"/>
      <c r="E104" s="713" t="n"/>
      <c r="F104" s="713" t="n"/>
      <c r="G104" s="713" t="n"/>
      <c r="H104" s="713" t="n"/>
      <c r="I104" s="713" t="n"/>
      <c r="J104" s="713" t="n"/>
      <c r="K104" s="713" t="n"/>
      <c r="L104" s="713" t="n"/>
      <c r="M104" s="713" t="n"/>
      <c r="N104" s="713" t="n"/>
    </row>
    <row r="105" ht="15" customHeight="1">
      <c r="C105" s="707" t="n"/>
      <c r="D105" s="707" t="n"/>
      <c r="E105" s="707" t="n"/>
      <c r="F105" s="707" t="n"/>
      <c r="G105" s="707" t="n"/>
      <c r="H105" s="707" t="n"/>
      <c r="I105" s="707" t="n"/>
      <c r="J105" s="707" t="n"/>
      <c r="K105" s="707" t="n"/>
      <c r="L105" s="707" t="n"/>
      <c r="M105" s="707" t="n"/>
      <c r="N105" s="707" t="n"/>
    </row>
    <row r="106" ht="15" customHeight="1">
      <c r="C106" s="707" t="n"/>
      <c r="D106" s="707" t="n"/>
      <c r="E106" s="707" t="n"/>
      <c r="F106" s="707" t="n"/>
      <c r="G106" s="714" t="inlineStr">
        <is>
          <t>Perpetuity Growth Rate</t>
        </is>
      </c>
      <c r="H106" s="715" t="n"/>
      <c r="I106" s="715" t="n"/>
      <c r="J106" s="715" t="n"/>
      <c r="K106" s="715" t="n"/>
      <c r="L106" s="496" t="n"/>
      <c r="M106" s="496" t="n"/>
      <c r="N106" s="707" t="n"/>
    </row>
    <row r="107" ht="15" customHeight="1">
      <c r="C107" s="707" t="n"/>
      <c r="D107" s="707" t="n"/>
      <c r="E107" s="707" t="n"/>
      <c r="F107" s="740">
        <f>N57</f>
        <v/>
      </c>
      <c r="G107" s="724">
        <f>H107-$I$92</f>
        <v/>
      </c>
      <c r="H107" s="724">
        <f>I107-$I$92</f>
        <v/>
      </c>
      <c r="I107" s="709" t="n">
        <v>0</v>
      </c>
      <c r="J107" s="724">
        <f>I107+$I$92</f>
        <v/>
      </c>
      <c r="K107" s="724">
        <f>J107+$I$92</f>
        <v/>
      </c>
      <c r="L107" s="496" t="n"/>
      <c r="M107" s="496" t="n"/>
      <c r="N107" s="707" t="n"/>
    </row>
    <row r="108" ht="15" customHeight="1">
      <c r="C108" s="707" t="n"/>
      <c r="D108" s="707" t="n"/>
      <c r="E108" s="719" t="n"/>
      <c r="F108" s="720">
        <f>F109+$I$65</f>
        <v/>
      </c>
      <c r="G108" s="741">
        <f t="dataTable" ref="G108:K112" dt2D="1" dtr="1" r1="N45" r2="G41"/>
        <v/>
      </c>
      <c r="H108" s="742" t="n">
        <v>-4.471930012707041</v>
      </c>
      <c r="I108" s="742" t="n">
        <v>-4.261444723433962</v>
      </c>
      <c r="J108" s="742" t="n">
        <v>-4.035367931251765</v>
      </c>
      <c r="K108" s="743" t="n">
        <v>-3.791900616594012</v>
      </c>
      <c r="L108" s="496" t="n"/>
      <c r="M108" s="496" t="n"/>
      <c r="N108" s="707" t="n"/>
    </row>
    <row r="109" ht="15" customHeight="1">
      <c r="C109" s="707" t="n"/>
      <c r="D109" s="707" t="n"/>
      <c r="E109" s="719" t="n"/>
      <c r="F109" s="724">
        <f>F110+$I$65</f>
        <v/>
      </c>
      <c r="G109" s="744" t="n">
        <v>-4.071077125323336</v>
      </c>
      <c r="H109" s="745" t="n">
        <v>-3.839540781947256</v>
      </c>
      <c r="I109" s="746" t="n">
        <v>-3.590193950619172</v>
      </c>
      <c r="J109" s="747" t="n">
        <v>-3.320899372784841</v>
      </c>
      <c r="K109" s="748" t="n">
        <v>-3.029163580130982</v>
      </c>
      <c r="L109" s="496" t="n"/>
      <c r="M109" s="496" t="n"/>
      <c r="N109" s="707" t="n"/>
    </row>
    <row r="110" ht="15" customHeight="1">
      <c r="C110" s="707" t="n"/>
      <c r="D110" s="707" t="n"/>
      <c r="E110" s="730" t="inlineStr">
        <is>
          <t>WACC</t>
        </is>
      </c>
      <c r="F110" s="709" t="n">
        <v>0.12</v>
      </c>
      <c r="G110" s="744" t="n">
        <v>-3.382015250936732</v>
      </c>
      <c r="H110" s="749" t="n">
        <v>-3.106158945433037</v>
      </c>
      <c r="I110" s="750" t="n">
        <v>-2.807314614470704</v>
      </c>
      <c r="J110" s="751" t="n">
        <v>-2.482483819946427</v>
      </c>
      <c r="K110" s="748" t="n">
        <v>-2.12812295319267</v>
      </c>
      <c r="L110" s="496" t="n"/>
      <c r="M110" s="496" t="n"/>
      <c r="N110" s="707" t="n"/>
    </row>
    <row r="111" ht="15" customHeight="1">
      <c r="C111" s="707" t="n"/>
      <c r="D111" s="707" t="n"/>
      <c r="E111" s="719" t="n"/>
      <c r="F111" s="724">
        <f>F110-$I$65</f>
        <v/>
      </c>
      <c r="G111" s="744" t="n">
        <v>-2.578261983276467</v>
      </c>
      <c r="H111" s="752" t="n">
        <v>-2.245444393185576</v>
      </c>
      <c r="I111" s="753" t="n">
        <v>-1.88237065854097</v>
      </c>
      <c r="J111" s="754" t="n">
        <v>-1.484718472977829</v>
      </c>
      <c r="K111" s="748" t="n">
        <v>-1.047301068858373</v>
      </c>
      <c r="L111" s="496" t="n"/>
      <c r="M111" s="496" t="n"/>
      <c r="N111" s="707" t="n"/>
    </row>
    <row r="112" ht="15" customHeight="1">
      <c r="A112" s="450" t="n"/>
      <c r="B112" s="450" t="inlineStr">
        <is>
          <t>x</t>
        </is>
      </c>
      <c r="C112" s="707" t="n"/>
      <c r="D112" s="707" t="n"/>
      <c r="E112" s="719" t="n"/>
      <c r="F112" s="724">
        <f>F111-$I$65</f>
        <v/>
      </c>
      <c r="G112" s="755" t="n">
        <v>-1.628542044614964</v>
      </c>
      <c r="H112" s="756" t="n">
        <v>-1.221022991056782</v>
      </c>
      <c r="I112" s="756" t="n">
        <v>-0.7727520321427751</v>
      </c>
      <c r="J112" s="756" t="n">
        <v>-0.2772946565009845</v>
      </c>
      <c r="K112" s="757" t="n">
        <v>0.2732135386565663</v>
      </c>
      <c r="L112" s="496" t="n"/>
      <c r="M112" s="496" t="n"/>
      <c r="N112" s="707" t="n"/>
    </row>
    <row r="113" ht="15" customHeight="1">
      <c r="A113" s="450" t="n"/>
    </row>
    <row r="115" ht="13" customHeight="1">
      <c r="A115" s="825" t="n"/>
      <c r="B115" s="825" t="inlineStr">
        <is>
          <t>x</t>
        </is>
      </c>
      <c r="C115" s="628" t="inlineStr">
        <is>
          <t>Projection Summary (Active Case) - linked from $XRX DCF Operating Assumptions</t>
        </is>
      </c>
      <c r="D115" s="629" t="n"/>
      <c r="E115" s="629" t="n"/>
      <c r="F115" s="630" t="n"/>
      <c r="G115" s="631" t="n"/>
      <c r="H115" s="631" t="n"/>
      <c r="I115" s="632" t="n"/>
      <c r="J115" s="633" t="inlineStr">
        <is>
          <t>Projections</t>
        </is>
      </c>
      <c r="K115" s="634" t="n"/>
      <c r="L115" s="634" t="n"/>
      <c r="M115" s="634" t="n"/>
      <c r="N115" s="634" t="n"/>
    </row>
    <row r="116" ht="13" customHeight="1">
      <c r="A116" s="824" t="n"/>
      <c r="B116" s="824" t="n"/>
      <c r="C116" s="636" t="n"/>
      <c r="D116" s="636" t="n"/>
      <c r="E116" s="636" t="n"/>
      <c r="F116" s="637" t="n"/>
      <c r="G116" s="637" t="n"/>
      <c r="H116" s="638" t="n"/>
      <c r="I116" s="639" t="n"/>
      <c r="J116" s="640">
        <f>J6</f>
        <v/>
      </c>
      <c r="K116" s="641">
        <f>K6</f>
        <v/>
      </c>
      <c r="L116" s="641">
        <f>L6</f>
        <v/>
      </c>
      <c r="M116" s="641">
        <f>M6</f>
        <v/>
      </c>
      <c r="N116" s="641">
        <f>N6</f>
        <v/>
      </c>
    </row>
    <row r="117" ht="13" customHeight="1">
      <c r="A117" s="824" t="n"/>
      <c r="B117" s="824" t="n"/>
      <c r="C117" s="642" t="inlineStr">
        <is>
          <t>Revenue</t>
        </is>
      </c>
      <c r="D117" s="643" t="n"/>
      <c r="E117" s="643" t="n"/>
      <c r="F117" s="643" t="n"/>
      <c r="G117" s="644" t="n"/>
      <c r="H117" s="645" t="n"/>
      <c r="I117" s="644" t="n"/>
      <c r="J117" s="1044">
        <f>'$XRX DCF Operating Assumptions'!I11</f>
        <v/>
      </c>
      <c r="K117" s="1044">
        <f>'$XRX DCF Operating Assumptions'!J11</f>
        <v/>
      </c>
      <c r="L117" s="1044">
        <f>'$XRX DCF Operating Assumptions'!K11</f>
        <v/>
      </c>
      <c r="M117" s="1044">
        <f>'$XRX DCF Operating Assumptions'!L11</f>
        <v/>
      </c>
      <c r="N117" s="1044">
        <f>'$XRX DCF Operating Assumptions'!M11</f>
        <v/>
      </c>
    </row>
    <row r="118" ht="13" customHeight="1">
      <c r="A118" s="824" t="n"/>
      <c r="B118" s="824" t="n"/>
      <c r="C118" s="761" t="inlineStr">
        <is>
          <t>% Growth</t>
        </is>
      </c>
      <c r="D118" s="824" t="n"/>
      <c r="E118" s="824" t="n"/>
      <c r="F118" s="824" t="n"/>
      <c r="G118" s="824" t="n"/>
      <c r="H118" s="824" t="n"/>
      <c r="I118" s="824" t="n"/>
      <c r="J118" s="1045">
        <f>'$XRX DCF Operating Assumptions'!I12</f>
        <v/>
      </c>
      <c r="K118" s="1045">
        <f>'$XRX DCF Operating Assumptions'!J12</f>
        <v/>
      </c>
      <c r="L118" s="1045">
        <f>'$XRX DCF Operating Assumptions'!K12</f>
        <v/>
      </c>
      <c r="M118" s="1045">
        <f>'$XRX DCF Operating Assumptions'!L12</f>
        <v/>
      </c>
      <c r="N118" s="1045">
        <f>'$XRX DCF Operating Assumptions'!M12</f>
        <v/>
      </c>
    </row>
    <row r="119" ht="13" customHeight="1">
      <c r="A119" s="824" t="n"/>
      <c r="B119" s="824" t="n"/>
      <c r="C119" s="761" t="inlineStr">
        <is>
          <t>Adj. Operating Margin (excl. IEEPA)</t>
        </is>
      </c>
      <c r="D119" s="824" t="n"/>
      <c r="E119" s="824" t="n"/>
      <c r="F119" s="824" t="n"/>
      <c r="G119" s="824" t="n"/>
      <c r="H119" s="824" t="n"/>
      <c r="I119" s="824" t="n"/>
      <c r="J119" s="1045">
        <f>'$XRX DCF Operating Assumptions'!I24</f>
        <v/>
      </c>
      <c r="K119" s="1045">
        <f>'$XRX DCF Operating Assumptions'!J24</f>
        <v/>
      </c>
      <c r="L119" s="1045">
        <f>'$XRX DCF Operating Assumptions'!K24</f>
        <v/>
      </c>
      <c r="M119" s="1045">
        <f>'$XRX DCF Operating Assumptions'!L24</f>
        <v/>
      </c>
      <c r="N119" s="1045">
        <f>'$XRX DCF Operating Assumptions'!M24</f>
        <v/>
      </c>
    </row>
    <row r="120" ht="13" customHeight="1">
      <c r="A120" s="824" t="n"/>
      <c r="B120" s="824" t="n"/>
      <c r="C120" s="642" t="inlineStr">
        <is>
          <t>Adj. Operating Income</t>
        </is>
      </c>
      <c r="D120" s="643" t="n"/>
      <c r="E120" s="643" t="n"/>
      <c r="F120" s="643" t="n"/>
      <c r="G120" s="644" t="n"/>
      <c r="H120" s="645" t="n"/>
      <c r="I120" s="644" t="n"/>
      <c r="J120" s="1046">
        <f>'$XRX DCF Operating Assumptions'!I23</f>
        <v/>
      </c>
      <c r="K120" s="1046">
        <f>'$XRX DCF Operating Assumptions'!J23</f>
        <v/>
      </c>
      <c r="L120" s="1046">
        <f>'$XRX DCF Operating Assumptions'!K23</f>
        <v/>
      </c>
      <c r="M120" s="1046">
        <f>'$XRX DCF Operating Assumptions'!L23</f>
        <v/>
      </c>
      <c r="N120" s="1046">
        <f>'$XRX DCF Operating Assumptions'!M23</f>
        <v/>
      </c>
    </row>
    <row r="121" ht="13" customHeight="1">
      <c r="A121" s="824" t="n"/>
      <c r="B121" s="824" t="n"/>
      <c r="C121" s="642" t="inlineStr">
        <is>
          <t>(-) Restructuring &amp; Other Cash Charges</t>
        </is>
      </c>
      <c r="D121" s="643" t="n"/>
      <c r="E121" s="643" t="n"/>
      <c r="F121" s="643" t="n"/>
      <c r="G121" s="644" t="n"/>
      <c r="H121" s="645" t="n"/>
      <c r="I121" s="644" t="n"/>
      <c r="J121" s="1047">
        <f>'$XRX DCF Operating Assumptions'!I29</f>
        <v/>
      </c>
      <c r="K121" s="1047">
        <f>'$XRX DCF Operating Assumptions'!J29</f>
        <v/>
      </c>
      <c r="L121" s="1047">
        <f>'$XRX DCF Operating Assumptions'!K29</f>
        <v/>
      </c>
      <c r="M121" s="1047">
        <f>'$XRX DCF Operating Assumptions'!L29</f>
        <v/>
      </c>
      <c r="N121" s="1047">
        <f>'$XRX DCF Operating Assumptions'!M29</f>
        <v/>
      </c>
    </row>
    <row r="122" ht="13" customHeight="1">
      <c r="A122" s="824" t="n"/>
      <c r="B122" s="824" t="n"/>
      <c r="C122" s="655" t="inlineStr">
        <is>
          <t>EBIT (to FCF build)</t>
        </is>
      </c>
      <c r="D122" s="656" t="n"/>
      <c r="E122" s="656" t="n"/>
      <c r="F122" s="656" t="n"/>
      <c r="G122" s="656" t="n"/>
      <c r="H122" s="657" t="n"/>
      <c r="I122" s="658" t="n"/>
      <c r="J122" s="1048">
        <f>J120+J121</f>
        <v/>
      </c>
      <c r="K122" s="1048">
        <f>K120+K121</f>
        <v/>
      </c>
      <c r="L122" s="1048">
        <f>L120+L121</f>
        <v/>
      </c>
      <c r="M122" s="1048">
        <f>M120+M121</f>
        <v/>
      </c>
      <c r="N122" s="1048">
        <f>N120+N121</f>
        <v/>
      </c>
    </row>
    <row r="123" ht="13" customHeight="1">
      <c r="A123" s="824" t="n"/>
      <c r="B123" s="824" t="n"/>
      <c r="C123" s="761" t="inlineStr">
        <is>
          <t>Depreciation (% of Revenue)</t>
        </is>
      </c>
      <c r="D123" s="824" t="n"/>
      <c r="E123" s="824" t="n"/>
      <c r="F123" s="824" t="n"/>
      <c r="G123" s="824" t="n"/>
      <c r="H123" s="824" t="n"/>
      <c r="I123" s="824" t="n"/>
      <c r="J123" s="1045">
        <f>'$XRX DCF Operating Assumptions'!I21</f>
        <v/>
      </c>
      <c r="K123" s="1045">
        <f>'$XRX DCF Operating Assumptions'!J21</f>
        <v/>
      </c>
      <c r="L123" s="1045">
        <f>'$XRX DCF Operating Assumptions'!K21</f>
        <v/>
      </c>
      <c r="M123" s="1045">
        <f>'$XRX DCF Operating Assumptions'!L21</f>
        <v/>
      </c>
      <c r="N123" s="1045">
        <f>'$XRX DCF Operating Assumptions'!M21</f>
        <v/>
      </c>
    </row>
    <row r="124" ht="13" customHeight="1">
      <c r="A124" s="824" t="n"/>
      <c r="B124" s="824" t="n"/>
      <c r="C124" s="642" t="inlineStr">
        <is>
          <t>Depreciation</t>
        </is>
      </c>
      <c r="D124" s="643" t="n"/>
      <c r="E124" s="643" t="n"/>
      <c r="F124" s="643" t="n"/>
      <c r="G124" s="644" t="n"/>
      <c r="H124" s="645" t="n"/>
      <c r="I124" s="644" t="n"/>
      <c r="J124" s="1046">
        <f>'$XRX DCF Operating Assumptions'!I20</f>
        <v/>
      </c>
      <c r="K124" s="1046">
        <f>'$XRX DCF Operating Assumptions'!J20</f>
        <v/>
      </c>
      <c r="L124" s="1046">
        <f>'$XRX DCF Operating Assumptions'!K20</f>
        <v/>
      </c>
      <c r="M124" s="1046">
        <f>'$XRX DCF Operating Assumptions'!L20</f>
        <v/>
      </c>
      <c r="N124" s="1046">
        <f>'$XRX DCF Operating Assumptions'!M20</f>
        <v/>
      </c>
    </row>
    <row r="125" ht="13" customHeight="1">
      <c r="A125" s="824" t="n"/>
      <c r="B125" s="824" t="n"/>
      <c r="C125" s="761" t="inlineStr">
        <is>
          <t>Capex incl. Equipment on Operating Leases (% of Revenue)</t>
        </is>
      </c>
      <c r="D125" s="824" t="n"/>
      <c r="E125" s="824" t="n"/>
      <c r="F125" s="824" t="n"/>
      <c r="G125" s="824" t="n"/>
      <c r="H125" s="824" t="n"/>
      <c r="I125" s="824" t="n"/>
      <c r="J125" s="1045">
        <f>'$XRX DCF Operating Assumptions'!I80</f>
        <v/>
      </c>
      <c r="K125" s="1045">
        <f>'$XRX DCF Operating Assumptions'!J80</f>
        <v/>
      </c>
      <c r="L125" s="1045">
        <f>'$XRX DCF Operating Assumptions'!K80</f>
        <v/>
      </c>
      <c r="M125" s="1045">
        <f>'$XRX DCF Operating Assumptions'!L80</f>
        <v/>
      </c>
      <c r="N125" s="1045">
        <f>'$XRX DCF Operating Assumptions'!M80</f>
        <v/>
      </c>
    </row>
    <row r="126" ht="13" customHeight="1">
      <c r="A126" s="824" t="n"/>
      <c r="B126" s="824" t="n"/>
      <c r="C126" s="642" t="inlineStr">
        <is>
          <t>Capex incl. Equipment on Operating Leases</t>
        </is>
      </c>
      <c r="D126" s="643" t="n"/>
      <c r="E126" s="643" t="n"/>
      <c r="F126" s="643" t="n"/>
      <c r="G126" s="644" t="n"/>
      <c r="H126" s="645" t="n"/>
      <c r="I126" s="644" t="n"/>
      <c r="J126" s="1046">
        <f>'$XRX DCF Operating Assumptions'!I79</f>
        <v/>
      </c>
      <c r="K126" s="1046">
        <f>'$XRX DCF Operating Assumptions'!J79</f>
        <v/>
      </c>
      <c r="L126" s="1046">
        <f>'$XRX DCF Operating Assumptions'!K79</f>
        <v/>
      </c>
      <c r="M126" s="1046">
        <f>'$XRX DCF Operating Assumptions'!L79</f>
        <v/>
      </c>
      <c r="N126" s="1046">
        <f>'$XRX DCF Operating Assumptions'!M79</f>
        <v/>
      </c>
    </row>
    <row r="127" ht="13" customHeight="1">
      <c r="A127" s="824" t="n"/>
      <c r="B127" s="824" t="n"/>
      <c r="C127" s="761" t="inlineStr">
        <is>
          <t>Operating NWC (% of Revenue)</t>
        </is>
      </c>
      <c r="D127" s="824" t="n"/>
      <c r="E127" s="824" t="n"/>
      <c r="F127" s="824" t="n"/>
      <c r="G127" s="824" t="n"/>
      <c r="H127" s="824" t="n"/>
      <c r="I127" s="824" t="n"/>
      <c r="J127" s="1045">
        <f>'$XRX DCF Operating Assumptions'!I66</f>
        <v/>
      </c>
      <c r="K127" s="1045">
        <f>'$XRX DCF Operating Assumptions'!J66</f>
        <v/>
      </c>
      <c r="L127" s="1045">
        <f>'$XRX DCF Operating Assumptions'!K66</f>
        <v/>
      </c>
      <c r="M127" s="1045">
        <f>'$XRX DCF Operating Assumptions'!L66</f>
        <v/>
      </c>
      <c r="N127" s="1045">
        <f>'$XRX DCF Operating Assumptions'!M66</f>
        <v/>
      </c>
    </row>
    <row r="128" ht="13" customHeight="1">
      <c r="A128" s="824" t="n"/>
      <c r="B128" s="824" t="n"/>
      <c r="C128" s="642" t="inlineStr">
        <is>
          <t>(-) Change in Operating NWC</t>
        </is>
      </c>
      <c r="D128" s="643" t="n"/>
      <c r="E128" s="643" t="n"/>
      <c r="F128" s="643" t="n"/>
      <c r="G128" s="644" t="n"/>
      <c r="H128" s="645" t="n"/>
      <c r="I128" s="644" t="n"/>
      <c r="J128" s="1046">
        <f>'$XRX DCF Operating Assumptions'!I67</f>
        <v/>
      </c>
      <c r="K128" s="1046">
        <f>'$XRX DCF Operating Assumptions'!J67</f>
        <v/>
      </c>
      <c r="L128" s="1046">
        <f>'$XRX DCF Operating Assumptions'!K67</f>
        <v/>
      </c>
      <c r="M128" s="1046">
        <f>'$XRX DCF Operating Assumptions'!L67</f>
        <v/>
      </c>
      <c r="N128" s="1046">
        <f>'$XRX DCF Operating Assumptions'!M67</f>
        <v/>
      </c>
    </row>
    <row r="129" ht="13" customHeight="1">
      <c r="A129" s="824" t="n"/>
      <c r="B129" s="824" t="n"/>
      <c r="C129" s="642" t="inlineStr">
        <is>
          <t>Adj. EBITDA (excl. IEEPA)</t>
        </is>
      </c>
      <c r="D129" s="643" t="n"/>
      <c r="E129" s="643" t="n"/>
      <c r="F129" s="643" t="n"/>
      <c r="G129" s="644" t="n"/>
      <c r="H129" s="645" t="n"/>
      <c r="I129" s="644" t="n"/>
      <c r="J129" s="1044">
        <f>'$XRX DCF Operating Assumptions'!I17</f>
        <v/>
      </c>
      <c r="K129" s="1044">
        <f>'$XRX DCF Operating Assumptions'!J17</f>
        <v/>
      </c>
      <c r="L129" s="1044">
        <f>'$XRX DCF Operating Assumptions'!K17</f>
        <v/>
      </c>
      <c r="M129" s="1044">
        <f>'$XRX DCF Operating Assumptions'!L17</f>
        <v/>
      </c>
      <c r="N129" s="1044">
        <f>'$XRX DCF Operating Assumptions'!M17</f>
        <v/>
      </c>
    </row>
    <row r="130" ht="13" customHeight="1">
      <c r="A130" s="824" t="inlineStr">
        <is>
          <t>x</t>
        </is>
      </c>
      <c r="B130" s="824" t="inlineStr">
        <is>
          <t>x</t>
        </is>
      </c>
      <c r="C130" s="761" t="inlineStr">
        <is>
          <t>Memo: Unlevered FCF Margin</t>
        </is>
      </c>
      <c r="D130" s="824" t="n"/>
      <c r="E130" s="824" t="n"/>
      <c r="F130" s="824" t="n"/>
      <c r="G130" s="824" t="n"/>
      <c r="H130" s="824" t="n"/>
      <c r="I130" s="824" t="n"/>
      <c r="J130" s="778">
        <f>J13/J117</f>
        <v/>
      </c>
      <c r="K130" s="778">
        <f>K13/K117</f>
        <v/>
      </c>
      <c r="L130" s="778">
        <f>L13/L117</f>
        <v/>
      </c>
      <c r="M130" s="778">
        <f>M13/M117</f>
        <v/>
      </c>
      <c r="N130" s="778">
        <f>N13/N117</f>
        <v/>
      </c>
    </row>
    <row r="131" ht="14.5" customHeight="1">
      <c r="A131" t="inlineStr">
        <is>
          <t>End</t>
        </is>
      </c>
    </row>
  </sheetData>
  <dataValidations count="1">
    <dataValidation sqref="N20" showDropDown="0" showInputMessage="1" showErrorMessage="1" allowBlank="1" type="list">
      <formula1>$Q$20:$Q$21</formula1>
    </dataValidation>
  </dataValidations>
  <hyperlinks>
    <hyperlink ref="B1" location="'Cover Page'!A1" display="'Cover Page'!A1"/>
  </hyperlinks>
  <pageMargins left="0.7" right="0.7" top="0.75" bottom="0.75" header="0.3" footer="0.3"/>
  <pageSetup orientation="portrait" scale="55"/>
  <legacyDrawing xmlns:r="http://schemas.openxmlformats.org/officeDocument/2006/relationships" r:id="anysvml"/>
</worksheet>
</file>

<file path=xl/worksheets/sheet21.xml><?xml version="1.0" encoding="utf-8"?>
<worksheet xmlns="http://schemas.openxmlformats.org/spreadsheetml/2006/main">
  <sheetPr>
    <tabColor theme="3" tint="0.749992370372631"/>
    <outlinePr summaryBelow="1" summaryRight="1"/>
    <pageSetUpPr/>
  </sheetPr>
  <dimension ref="A1:M6"/>
  <sheetViews>
    <sheetView showGridLines="0" tabSelected="0" workbookViewId="0">
      <selection activeCell="E24" sqref="E24"/>
    </sheetView>
  </sheetViews>
  <sheetFormatPr baseColWidth="8" defaultColWidth="9.1796875" defaultRowHeight="13"/>
  <cols>
    <col width="1.73" customWidth="1" style="273" min="1" max="2"/>
    <col width="1.73" customWidth="1" min="2" max="2"/>
    <col width="9.1796875" customWidth="1" style="273" min="3" max="3"/>
    <col width="9.1796875" customWidth="1" style="273" min="4" max="16384"/>
  </cols>
  <sheetData>
    <row r="1" ht="12.75" customHeight="1">
      <c r="A1" s="924">
        <f>C3</f>
        <v/>
      </c>
      <c r="B1" s="925">
        <f>'Cover Page'!A1</f>
        <v/>
      </c>
    </row>
    <row r="2" ht="12.75" customHeight="1"/>
    <row r="3" ht="14.25" customHeight="1">
      <c r="C3" s="926" t="inlineStr">
        <is>
          <t>Liquidity Analysis</t>
        </is>
      </c>
      <c r="D3" s="927" t="n"/>
      <c r="E3" s="927" t="n"/>
      <c r="F3" s="927" t="n"/>
      <c r="G3" s="927" t="n"/>
      <c r="H3" s="927" t="n"/>
      <c r="I3" s="927" t="n"/>
      <c r="J3" s="927" t="n"/>
      <c r="K3" s="927" t="n"/>
      <c r="L3" s="927" t="n"/>
      <c r="M3" s="928" t="inlineStr">
        <is>
          <t>Xerox Holdings Corporation</t>
        </is>
      </c>
    </row>
    <row r="4" ht="12.75" customHeight="1">
      <c r="C4" s="929" t="inlineStr">
        <is>
          <t>All values in $ millions (USD)</t>
        </is>
      </c>
    </row>
    <row r="6">
      <c r="C6" s="1049" t="inlineStr">
        <is>
          <t>Placeholder - to be built (see notes in model summary).</t>
        </is>
      </c>
    </row>
  </sheetData>
  <hyperlinks>
    <hyperlink ref="B1" location="'Cover Page'!A1" display="'Cover Page'!A1"/>
  </hyperlinks>
  <pageMargins left="0.7" right="0.7" top="0.75" bottom="0.75" header="0.3" footer="0.3"/>
</worksheet>
</file>

<file path=xl/worksheets/sheet22.xml><?xml version="1.0" encoding="utf-8"?>
<worksheet xmlns="http://schemas.openxmlformats.org/spreadsheetml/2006/main">
  <sheetPr>
    <tabColor theme="2"/>
    <outlinePr summaryBelow="1" summaryRight="1"/>
    <pageSetUpPr/>
  </sheetPr>
  <dimension ref="A1:B1"/>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453125" customWidth="1" style="445" min="1" max="2"/>
    <col width="13.453125" customWidth="1" style="445" min="3" max="3"/>
    <col width="13.453125" customWidth="1" style="445" min="4" max="16384"/>
  </cols>
  <sheetData>
    <row r="1" ht="15" customHeight="1">
      <c r="A1" s="443" t="inlineStr">
        <is>
          <t>VIII. Stock Performance</t>
        </is>
      </c>
      <c r="B1" s="444">
        <f>'Cover Page'!A1</f>
        <v/>
      </c>
    </row>
  </sheetData>
  <hyperlinks>
    <hyperlink ref="B1" location="'Cover Page'!A1" display="'Cover Page'!A1"/>
  </hyperlinks>
  <pageMargins left="0.7" right="0.7" top="0.75" bottom="0.75" header="0.3" footer="0.3"/>
  <pageSetup orientation="portrait"/>
</worksheet>
</file>

<file path=xl/worksheets/sheet23.xml><?xml version="1.0" encoding="utf-8"?>
<worksheet xmlns="http://schemas.openxmlformats.org/spreadsheetml/2006/main">
  <sheetPr>
    <tabColor theme="2"/>
    <outlinePr summaryBelow="1" summaryRight="1"/>
    <pageSetUpPr fitToPage="1"/>
  </sheetPr>
  <dimension ref="A1:S259"/>
  <sheetViews>
    <sheetView showGridLines="0" tabSelected="0" view="pageBreakPreview" zoomScaleNormal="100" zoomScaleSheetLayoutView="100" workbookViewId="0">
      <selection activeCell="G6" sqref="G6"/>
    </sheetView>
  </sheetViews>
  <sheetFormatPr baseColWidth="8" defaultColWidth="13.453125" defaultRowHeight="15" customHeight="1"/>
  <cols>
    <col width="1.453125" customWidth="1" style="445" min="1" max="2"/>
    <col width="13.453125" customWidth="1" style="445" min="3" max="7"/>
    <col width="1.453125" customWidth="1" style="445" min="8" max="8"/>
    <col width="13.453125" customWidth="1" style="445" min="9" max="21"/>
    <col width="13.453125" customWidth="1" style="445" min="22" max="16384"/>
  </cols>
  <sheetData>
    <row r="1" ht="15" customHeight="1">
      <c r="A1" s="443">
        <f>C2</f>
        <v/>
      </c>
      <c r="B1" s="444">
        <f>'Cover Page'!A1</f>
        <v/>
      </c>
    </row>
    <row r="2" ht="15" customHeight="1">
      <c r="C2" s="446" t="inlineStr">
        <is>
          <t>$XRX Stock Performance</t>
        </is>
      </c>
      <c r="D2" s="446" t="n"/>
      <c r="E2" s="446" t="n"/>
      <c r="F2" s="446" t="n"/>
      <c r="G2" s="447" t="inlineStr">
        <is>
          <t>Xerox Holdings Corporation</t>
        </is>
      </c>
      <c r="H2" s="448" t="n"/>
      <c r="I2" s="448" t="n"/>
      <c r="J2" s="448" t="n"/>
      <c r="K2" s="448" t="n"/>
      <c r="L2" s="448" t="n"/>
      <c r="M2" s="448" t="n"/>
      <c r="N2" s="448" t="n"/>
      <c r="O2" s="448" t="n"/>
      <c r="P2" s="448" t="n"/>
      <c r="Q2" s="448" t="n"/>
      <c r="R2" s="448" t="n"/>
    </row>
    <row r="3" ht="15" customHeight="1">
      <c r="C3" s="449" t="inlineStr">
        <is>
          <t>All Values in Millions ($USD), Except Per-Share Values</t>
        </is>
      </c>
    </row>
    <row r="5" ht="15" customHeight="1">
      <c r="A5" s="450" t="inlineStr">
        <is>
          <t>x</t>
        </is>
      </c>
      <c r="B5" s="450" t="inlineStr">
        <is>
          <t>x</t>
        </is>
      </c>
      <c r="C5" s="451" t="inlineStr">
        <is>
          <t>1 Year Daily</t>
        </is>
      </c>
      <c r="D5" s="452" t="n"/>
      <c r="E5" s="452" t="n"/>
      <c r="F5" s="452" t="n"/>
      <c r="G5" s="453" t="n"/>
      <c r="H5" s="454" t="n"/>
      <c r="I5" s="454" t="n"/>
      <c r="J5" s="454" t="n"/>
      <c r="K5" s="454" t="n"/>
      <c r="L5" s="454" t="n"/>
      <c r="M5" s="454" t="n"/>
      <c r="N5" s="454" t="n"/>
      <c r="O5" s="454" t="n"/>
      <c r="P5" s="454" t="n"/>
      <c r="Q5" s="454" t="n"/>
      <c r="R5" s="454" t="n"/>
      <c r="S5" s="454" t="n"/>
    </row>
    <row r="6" ht="15" customHeight="1">
      <c r="B6" s="450" t="n"/>
      <c r="C6" s="455" t="inlineStr">
        <is>
          <t>Date</t>
        </is>
      </c>
      <c r="D6" s="455" t="inlineStr">
        <is>
          <t>XRX</t>
        </is>
      </c>
      <c r="E6" s="455" t="inlineStr">
        <is>
          <t>IGV</t>
        </is>
      </c>
      <c r="F6" s="455" t="inlineStr">
        <is>
          <t>XRX Return</t>
        </is>
      </c>
      <c r="G6" s="455" t="inlineStr">
        <is>
          <t>IGV Return</t>
        </is>
      </c>
      <c r="H6" s="454" t="n"/>
      <c r="I6" s="456" t="n"/>
      <c r="J6" s="454" t="n"/>
      <c r="K6" s="454" t="n"/>
      <c r="L6" s="454" t="n"/>
      <c r="M6" s="457" t="n"/>
      <c r="N6" s="454" t="n"/>
    </row>
    <row r="7" ht="15" customHeight="1">
      <c r="C7" s="458">
        <f t="array" ref="C7:C258">_xll.FDS(D6,"DATE(-1AY,0,D)")</f>
        <v/>
      </c>
      <c r="D7" s="1050">
        <f t="array" ref="D7:D258">_xll.FDS(D6,"FG_PRICE(-1AY,0,D)")</f>
        <v/>
      </c>
      <c r="E7" s="1050">
        <f t="array" ref="E7:E258">_xll.FDS(E6,"FG_PRICE(-1AY,0,D)")</f>
        <v/>
      </c>
      <c r="F7" s="1051" t="n">
        <v>0</v>
      </c>
      <c r="G7" s="1051" t="n">
        <v>0</v>
      </c>
      <c r="H7" s="454" t="n"/>
      <c r="I7" s="461" t="n"/>
      <c r="J7" s="461" t="n"/>
      <c r="K7" s="461" t="n"/>
      <c r="L7" s="461" t="n"/>
      <c r="M7" s="461" t="n"/>
      <c r="N7" s="454" t="n"/>
    </row>
    <row r="8" ht="15" customHeight="1">
      <c r="C8" s="458" t="n"/>
      <c r="D8" s="1050" t="n"/>
      <c r="E8" s="1050" t="n"/>
      <c r="F8" s="1052">
        <f>IFERROR(D8/$D$7-1,NA())</f>
        <v/>
      </c>
      <c r="G8" s="1052">
        <f>IFERROR(E8/$E$7-1,NA())</f>
        <v/>
      </c>
      <c r="H8" s="454" t="n"/>
      <c r="I8" s="458" t="n"/>
      <c r="J8" s="1050" t="n"/>
      <c r="K8" s="1050" t="n"/>
      <c r="L8" s="1051" t="n"/>
      <c r="M8" s="1051" t="n"/>
      <c r="N8" s="454" t="n"/>
    </row>
    <row r="9" ht="15" customHeight="1">
      <c r="C9" s="458" t="n"/>
      <c r="D9" s="1050" t="n"/>
      <c r="E9" s="1050" t="n"/>
      <c r="F9" s="1052">
        <f>IFERROR(D9/$D$7-1,NA())</f>
        <v/>
      </c>
      <c r="G9" s="1052">
        <f>IFERROR(E9/$E$7-1,NA())</f>
        <v/>
      </c>
      <c r="H9" s="454" t="n"/>
      <c r="I9" s="458" t="n"/>
      <c r="J9" s="1050" t="n"/>
      <c r="K9" s="1050" t="n"/>
      <c r="L9" s="1051" t="n"/>
      <c r="M9" s="1051" t="n"/>
      <c r="N9" s="454" t="n"/>
    </row>
    <row r="10" ht="15" customHeight="1">
      <c r="C10" s="458" t="n"/>
      <c r="D10" s="1050" t="n"/>
      <c r="E10" s="1050" t="n"/>
      <c r="F10" s="1052">
        <f>IFERROR(D10/$D$7-1,NA())</f>
        <v/>
      </c>
      <c r="G10" s="1052">
        <f>IFERROR(E10/$E$7-1,NA())</f>
        <v/>
      </c>
      <c r="H10" s="454" t="n"/>
      <c r="I10" s="458" t="n"/>
      <c r="J10" s="1050" t="n"/>
      <c r="K10" s="1050" t="n"/>
      <c r="L10" s="1051" t="n"/>
      <c r="M10" s="1051" t="n"/>
      <c r="N10" s="454" t="n"/>
    </row>
    <row r="11" ht="15" customHeight="1">
      <c r="C11" s="458" t="n"/>
      <c r="D11" s="1050" t="n"/>
      <c r="E11" s="1050" t="n"/>
      <c r="F11" s="1052">
        <f>IFERROR(D11/$D$7-1,NA())</f>
        <v/>
      </c>
      <c r="G11" s="1052">
        <f>IFERROR(E11/$E$7-1,NA())</f>
        <v/>
      </c>
      <c r="H11" s="454" t="n"/>
      <c r="I11" s="458" t="n"/>
      <c r="J11" s="1050" t="n"/>
      <c r="K11" s="1050" t="n"/>
      <c r="L11" s="1051" t="n"/>
      <c r="M11" s="1051" t="n"/>
      <c r="N11" s="454" t="n"/>
    </row>
    <row r="12" ht="15" customHeight="1">
      <c r="C12" s="458" t="n"/>
      <c r="D12" s="1050" t="n"/>
      <c r="E12" s="1050" t="n"/>
      <c r="F12" s="1052">
        <f>IFERROR(D12/$D$7-1,NA())</f>
        <v/>
      </c>
      <c r="G12" s="1052">
        <f>IFERROR(E12/$E$7-1,NA())</f>
        <v/>
      </c>
      <c r="H12" s="454" t="n"/>
      <c r="I12" s="458" t="n"/>
      <c r="J12" s="1050" t="n"/>
      <c r="K12" s="1050" t="n"/>
      <c r="L12" s="1051" t="n"/>
      <c r="M12" s="1051" t="n"/>
      <c r="N12" s="454" t="n"/>
    </row>
    <row r="13" ht="15" customHeight="1">
      <c r="C13" s="458" t="n"/>
      <c r="D13" s="1050" t="n"/>
      <c r="E13" s="1050" t="n"/>
      <c r="F13" s="1052">
        <f>IFERROR(D13/$D$7-1,NA())</f>
        <v/>
      </c>
      <c r="G13" s="1052">
        <f>IFERROR(E13/$E$7-1,NA())</f>
        <v/>
      </c>
      <c r="H13" s="454" t="n"/>
      <c r="I13" s="458" t="n"/>
      <c r="J13" s="1050" t="n"/>
      <c r="K13" s="1050" t="n"/>
      <c r="L13" s="1051" t="n"/>
      <c r="M13" s="1051" t="n"/>
      <c r="N13" s="454" t="n"/>
    </row>
    <row r="14" ht="15" customHeight="1">
      <c r="C14" s="458" t="n"/>
      <c r="D14" s="1050" t="n"/>
      <c r="E14" s="1050" t="n"/>
      <c r="F14" s="1052">
        <f>IFERROR(D14/$D$7-1,NA())</f>
        <v/>
      </c>
      <c r="G14" s="1052">
        <f>IFERROR(E14/$E$7-1,NA())</f>
        <v/>
      </c>
      <c r="H14" s="454" t="n"/>
      <c r="I14" s="458" t="n"/>
      <c r="J14" s="1050" t="n"/>
      <c r="K14" s="1050" t="n"/>
      <c r="L14" s="1051" t="n"/>
      <c r="M14" s="1051" t="n"/>
      <c r="N14" s="454" t="n"/>
    </row>
    <row r="15" ht="15" customHeight="1">
      <c r="C15" s="458" t="n"/>
      <c r="D15" s="1050" t="n"/>
      <c r="E15" s="1050" t="n"/>
      <c r="F15" s="1052">
        <f>IFERROR(D15/$D$7-1,NA())</f>
        <v/>
      </c>
      <c r="G15" s="1052">
        <f>IFERROR(E15/$E$7-1,NA())</f>
        <v/>
      </c>
      <c r="H15" s="454" t="n"/>
      <c r="I15" s="458" t="n"/>
      <c r="J15" s="1050" t="n"/>
      <c r="K15" s="1050" t="n"/>
      <c r="L15" s="1051" t="n"/>
      <c r="M15" s="1051" t="n"/>
      <c r="N15" s="454" t="n"/>
    </row>
    <row r="16" ht="15" customHeight="1">
      <c r="C16" s="458" t="n"/>
      <c r="D16" s="1050" t="n"/>
      <c r="E16" s="1050" t="n"/>
      <c r="F16" s="1052">
        <f>IFERROR(D16/$D$7-1,NA())</f>
        <v/>
      </c>
      <c r="G16" s="1052">
        <f>IFERROR(E16/$E$7-1,NA())</f>
        <v/>
      </c>
      <c r="H16" s="454" t="n"/>
      <c r="I16" s="458" t="n"/>
      <c r="J16" s="1050" t="n"/>
      <c r="K16" s="1050" t="n"/>
      <c r="L16" s="1051" t="n"/>
      <c r="M16" s="1051" t="n"/>
      <c r="N16" s="454" t="n"/>
    </row>
    <row r="17" ht="15" customHeight="1">
      <c r="C17" s="458" t="n"/>
      <c r="D17" s="1050" t="n"/>
      <c r="E17" s="1050" t="n"/>
      <c r="F17" s="1052">
        <f>IFERROR(D17/$D$7-1,NA())</f>
        <v/>
      </c>
      <c r="G17" s="1052">
        <f>IFERROR(E17/$E$7-1,NA())</f>
        <v/>
      </c>
      <c r="H17" s="454" t="n"/>
      <c r="I17" s="458" t="n"/>
      <c r="J17" s="1050" t="n"/>
      <c r="K17" s="1050" t="n"/>
      <c r="L17" s="1051" t="n"/>
      <c r="M17" s="1051" t="n"/>
      <c r="N17" s="454" t="n"/>
    </row>
    <row r="18" ht="15" customHeight="1">
      <c r="C18" s="458" t="n"/>
      <c r="D18" s="1050" t="n"/>
      <c r="E18" s="1050" t="n"/>
      <c r="F18" s="1052">
        <f>IFERROR(D18/$D$7-1,NA())</f>
        <v/>
      </c>
      <c r="G18" s="1052">
        <f>IFERROR(E18/$E$7-1,NA())</f>
        <v/>
      </c>
      <c r="H18" s="454" t="n"/>
      <c r="I18" s="458" t="n"/>
      <c r="J18" s="1050" t="n"/>
      <c r="K18" s="1050" t="n"/>
      <c r="L18" s="1051" t="n"/>
      <c r="M18" s="1051" t="n"/>
      <c r="N18" s="454" t="n"/>
    </row>
    <row r="19" ht="15" customHeight="1">
      <c r="C19" s="458" t="n"/>
      <c r="D19" s="1050" t="n"/>
      <c r="E19" s="1050" t="n"/>
      <c r="F19" s="1052">
        <f>IFERROR(D19/$D$7-1,NA())</f>
        <v/>
      </c>
      <c r="G19" s="1052">
        <f>IFERROR(E19/$E$7-1,NA())</f>
        <v/>
      </c>
      <c r="H19" s="454" t="n"/>
      <c r="I19" s="458" t="n"/>
      <c r="J19" s="1050" t="n"/>
      <c r="K19" s="1050" t="n"/>
      <c r="L19" s="1051" t="n"/>
      <c r="M19" s="1051" t="n"/>
      <c r="N19" s="454" t="n"/>
    </row>
    <row r="20" ht="15" customHeight="1">
      <c r="C20" s="458" t="n"/>
      <c r="D20" s="1050" t="n"/>
      <c r="E20" s="1050" t="n"/>
      <c r="F20" s="1052">
        <f>IFERROR(D20/$D$7-1,NA())</f>
        <v/>
      </c>
      <c r="G20" s="1052">
        <f>IFERROR(E20/$E$7-1,NA())</f>
        <v/>
      </c>
      <c r="H20" s="454" t="n"/>
      <c r="I20" s="458" t="n"/>
      <c r="J20" s="1050" t="n"/>
      <c r="K20" s="1050" t="n"/>
      <c r="L20" s="1051" t="n"/>
      <c r="M20" s="1051" t="n"/>
      <c r="N20" s="454" t="n"/>
    </row>
    <row r="21" ht="15" customHeight="1">
      <c r="C21" s="458" t="n"/>
      <c r="D21" s="1050" t="n"/>
      <c r="E21" s="1050" t="n"/>
      <c r="F21" s="1052">
        <f>IFERROR(D21/$D$7-1,NA())</f>
        <v/>
      </c>
      <c r="G21" s="1052">
        <f>IFERROR(E21/$E$7-1,NA())</f>
        <v/>
      </c>
      <c r="H21" s="454" t="n"/>
      <c r="I21" s="458" t="n"/>
      <c r="J21" s="1050" t="n"/>
      <c r="K21" s="1050" t="n"/>
      <c r="L21" s="1051" t="n"/>
      <c r="M21" s="1051" t="n"/>
      <c r="N21" s="454" t="n"/>
    </row>
    <row r="22" ht="15" customHeight="1">
      <c r="C22" s="458" t="n"/>
      <c r="D22" s="1050" t="n"/>
      <c r="E22" s="1050" t="n"/>
      <c r="F22" s="1052">
        <f>IFERROR(D22/$D$7-1,NA())</f>
        <v/>
      </c>
      <c r="G22" s="1052">
        <f>IFERROR(E22/$E$7-1,NA())</f>
        <v/>
      </c>
      <c r="H22" s="454" t="n"/>
      <c r="I22" s="458" t="n"/>
      <c r="J22" s="1050" t="n"/>
      <c r="K22" s="1050" t="n"/>
      <c r="L22" s="1051" t="n"/>
      <c r="M22" s="1051" t="n"/>
      <c r="N22" s="454" t="n"/>
    </row>
    <row r="23" ht="15" customHeight="1">
      <c r="C23" s="458" t="n"/>
      <c r="D23" s="1050" t="n"/>
      <c r="E23" s="1050" t="n"/>
      <c r="F23" s="1052">
        <f>IFERROR(D23/$D$7-1,NA())</f>
        <v/>
      </c>
      <c r="G23" s="1052">
        <f>IFERROR(E23/$E$7-1,NA())</f>
        <v/>
      </c>
      <c r="H23" s="454" t="n"/>
      <c r="I23" s="458" t="n"/>
      <c r="J23" s="1050" t="n"/>
      <c r="K23" s="1050" t="n"/>
      <c r="L23" s="1051" t="n"/>
      <c r="M23" s="1051" t="n"/>
      <c r="N23" s="454" t="n"/>
    </row>
    <row r="24" ht="15" customHeight="1">
      <c r="C24" s="458" t="n"/>
      <c r="D24" s="1050" t="n"/>
      <c r="E24" s="1050" t="n"/>
      <c r="F24" s="1052">
        <f>IFERROR(D24/$D$7-1,NA())</f>
        <v/>
      </c>
      <c r="G24" s="1052">
        <f>IFERROR(E24/$E$7-1,NA())</f>
        <v/>
      </c>
      <c r="H24" s="454" t="n"/>
      <c r="I24" s="458" t="n"/>
      <c r="J24" s="1050" t="n"/>
      <c r="K24" s="1050" t="n"/>
      <c r="L24" s="1051" t="n"/>
      <c r="M24" s="1051" t="n"/>
      <c r="N24" s="454" t="n"/>
    </row>
    <row r="25" ht="15" customHeight="1">
      <c r="C25" s="458" t="n"/>
      <c r="D25" s="1050" t="n"/>
      <c r="E25" s="1050" t="n"/>
      <c r="F25" s="1052">
        <f>IFERROR(D25/$D$7-1,NA())</f>
        <v/>
      </c>
      <c r="G25" s="1052">
        <f>IFERROR(E25/$E$7-1,NA())</f>
        <v/>
      </c>
      <c r="H25" s="454" t="n"/>
      <c r="I25" s="458" t="n"/>
      <c r="J25" s="1050" t="n"/>
      <c r="K25" s="1050" t="n"/>
      <c r="L25" s="1051" t="n"/>
      <c r="M25" s="1051" t="n"/>
      <c r="N25" s="454" t="n"/>
    </row>
    <row r="26" ht="15" customHeight="1">
      <c r="C26" s="458" t="n"/>
      <c r="D26" s="1050" t="n"/>
      <c r="E26" s="1050" t="n"/>
      <c r="F26" s="1052">
        <f>IFERROR(D26/$D$7-1,NA())</f>
        <v/>
      </c>
      <c r="G26" s="1052">
        <f>IFERROR(E26/$E$7-1,NA())</f>
        <v/>
      </c>
      <c r="H26" s="454" t="n"/>
      <c r="I26" s="458" t="n"/>
      <c r="J26" s="1050" t="n"/>
      <c r="K26" s="1050" t="n"/>
      <c r="L26" s="1051" t="n"/>
      <c r="M26" s="1051" t="n"/>
      <c r="N26" s="454" t="n"/>
    </row>
    <row r="27" ht="15" customHeight="1">
      <c r="C27" s="458" t="n"/>
      <c r="D27" s="1050" t="n"/>
      <c r="E27" s="1050" t="n"/>
      <c r="F27" s="1052">
        <f>IFERROR(D27/$D$7-1,NA())</f>
        <v/>
      </c>
      <c r="G27" s="1052">
        <f>IFERROR(E27/$E$7-1,NA())</f>
        <v/>
      </c>
      <c r="H27" s="454" t="n"/>
      <c r="I27" s="458" t="n"/>
      <c r="J27" s="1050" t="n"/>
      <c r="K27" s="1050" t="n"/>
      <c r="L27" s="1051" t="n"/>
      <c r="M27" s="1051" t="n"/>
      <c r="N27" s="454" t="n"/>
    </row>
    <row r="28" ht="15" customHeight="1">
      <c r="C28" s="458" t="n"/>
      <c r="D28" s="1050" t="n"/>
      <c r="E28" s="1050" t="n"/>
      <c r="F28" s="1052">
        <f>IFERROR(D28/$D$7-1,NA())</f>
        <v/>
      </c>
      <c r="G28" s="1052">
        <f>IFERROR(E28/$E$7-1,NA())</f>
        <v/>
      </c>
      <c r="H28" s="454" t="n"/>
      <c r="I28" s="458" t="n"/>
      <c r="J28" s="1050" t="n"/>
      <c r="K28" s="1050" t="n"/>
      <c r="L28" s="1051" t="n"/>
      <c r="M28" s="1051" t="n"/>
      <c r="N28" s="454" t="n"/>
    </row>
    <row r="29" ht="15" customHeight="1">
      <c r="C29" s="458" t="n"/>
      <c r="D29" s="1050" t="n"/>
      <c r="E29" s="1050" t="n"/>
      <c r="F29" s="1052">
        <f>IFERROR(D29/$D$7-1,NA())</f>
        <v/>
      </c>
      <c r="G29" s="1052">
        <f>IFERROR(E29/$E$7-1,NA())</f>
        <v/>
      </c>
      <c r="H29" s="454" t="n"/>
      <c r="I29" s="458" t="n"/>
      <c r="J29" s="1050" t="n"/>
      <c r="K29" s="1050" t="n"/>
      <c r="L29" s="1051" t="n"/>
      <c r="M29" s="1051" t="n"/>
      <c r="N29" s="454" t="n"/>
    </row>
    <row r="30" ht="15" customHeight="1">
      <c r="C30" s="458" t="n"/>
      <c r="D30" s="1050" t="n"/>
      <c r="E30" s="1050" t="n"/>
      <c r="F30" s="1052">
        <f>IFERROR(D30/$D$7-1,NA())</f>
        <v/>
      </c>
      <c r="G30" s="1052">
        <f>IFERROR(E30/$E$7-1,NA())</f>
        <v/>
      </c>
      <c r="H30" s="454" t="n"/>
      <c r="I30" s="458" t="n"/>
      <c r="J30" s="1050" t="n"/>
      <c r="K30" s="1050" t="n"/>
      <c r="L30" s="1051" t="n"/>
      <c r="M30" s="1051" t="n"/>
      <c r="N30" s="454" t="n"/>
    </row>
    <row r="31" ht="15" customHeight="1">
      <c r="C31" s="458" t="n"/>
      <c r="D31" s="1050" t="n"/>
      <c r="E31" s="1050" t="n"/>
      <c r="F31" s="1052">
        <f>IFERROR(D31/$D$7-1,NA())</f>
        <v/>
      </c>
      <c r="G31" s="1052">
        <f>IFERROR(E31/$E$7-1,NA())</f>
        <v/>
      </c>
      <c r="H31" s="454" t="n"/>
      <c r="I31" s="458" t="n"/>
      <c r="J31" s="1050" t="n"/>
      <c r="K31" s="1050" t="n"/>
      <c r="L31" s="1051" t="n"/>
      <c r="M31" s="1051" t="n"/>
      <c r="N31" s="454" t="n"/>
    </row>
    <row r="32" ht="15" customHeight="1">
      <c r="C32" s="458" t="n"/>
      <c r="D32" s="1050" t="n"/>
      <c r="E32" s="1050" t="n"/>
      <c r="F32" s="1052">
        <f>IFERROR(D32/$D$7-1,NA())</f>
        <v/>
      </c>
      <c r="G32" s="1052">
        <f>IFERROR(E32/$E$7-1,NA())</f>
        <v/>
      </c>
      <c r="H32" s="454" t="n"/>
      <c r="I32" s="458" t="n"/>
      <c r="J32" s="1050" t="n"/>
      <c r="K32" s="1050" t="n"/>
      <c r="L32" s="1051" t="n"/>
      <c r="M32" s="1051" t="n"/>
      <c r="N32" s="454" t="n"/>
    </row>
    <row r="33" ht="15" customHeight="1">
      <c r="C33" s="458" t="n"/>
      <c r="D33" s="1050" t="n"/>
      <c r="E33" s="1050" t="n"/>
      <c r="F33" s="1052">
        <f>IFERROR(D33/$D$7-1,NA())</f>
        <v/>
      </c>
      <c r="G33" s="1052">
        <f>IFERROR(E33/$E$7-1,NA())</f>
        <v/>
      </c>
      <c r="H33" s="454" t="n"/>
      <c r="I33" s="458" t="n"/>
      <c r="J33" s="1050" t="n"/>
      <c r="K33" s="1050" t="n"/>
      <c r="L33" s="1051" t="n"/>
      <c r="M33" s="1051" t="n"/>
      <c r="N33" s="454" t="n"/>
    </row>
    <row r="34" ht="15" customHeight="1">
      <c r="C34" s="458" t="n"/>
      <c r="D34" s="1050" t="n"/>
      <c r="E34" s="1050" t="n"/>
      <c r="F34" s="1052">
        <f>IFERROR(D34/$D$7-1,NA())</f>
        <v/>
      </c>
      <c r="G34" s="1052">
        <f>IFERROR(E34/$E$7-1,NA())</f>
        <v/>
      </c>
      <c r="H34" s="454" t="n"/>
      <c r="I34" s="458" t="n"/>
      <c r="J34" s="1050" t="n"/>
      <c r="K34" s="1050" t="n"/>
      <c r="L34" s="1051" t="n"/>
      <c r="M34" s="1051" t="n"/>
      <c r="N34" s="454" t="n"/>
    </row>
    <row r="35" ht="15" customHeight="1">
      <c r="C35" s="458" t="n"/>
      <c r="D35" s="1050" t="n"/>
      <c r="E35" s="1050" t="n"/>
      <c r="F35" s="1052">
        <f>IFERROR(D35/$D$7-1,NA())</f>
        <v/>
      </c>
      <c r="G35" s="1052">
        <f>IFERROR(E35/$E$7-1,NA())</f>
        <v/>
      </c>
      <c r="H35" s="454" t="n"/>
      <c r="I35" s="458" t="n"/>
      <c r="J35" s="1050" t="n"/>
      <c r="K35" s="1050" t="n"/>
      <c r="L35" s="1051" t="n"/>
      <c r="M35" s="1051" t="n"/>
      <c r="N35" s="454" t="n"/>
    </row>
    <row r="36" ht="15" customHeight="1">
      <c r="C36" s="458" t="n"/>
      <c r="D36" s="1050" t="n"/>
      <c r="E36" s="1050" t="n"/>
      <c r="F36" s="1052">
        <f>IFERROR(D36/$D$7-1,NA())</f>
        <v/>
      </c>
      <c r="G36" s="1052">
        <f>IFERROR(E36/$E$7-1,NA())</f>
        <v/>
      </c>
      <c r="H36" s="454" t="n"/>
      <c r="I36" s="458" t="n"/>
      <c r="J36" s="1050" t="n"/>
      <c r="K36" s="1050" t="n"/>
      <c r="L36" s="1051" t="n"/>
      <c r="M36" s="1051" t="n"/>
      <c r="N36" s="454" t="n"/>
    </row>
    <row r="37" ht="15" customHeight="1">
      <c r="C37" s="458" t="n"/>
      <c r="D37" s="1050" t="n"/>
      <c r="E37" s="1050" t="n"/>
      <c r="F37" s="1052">
        <f>IFERROR(D37/$D$7-1,NA())</f>
        <v/>
      </c>
      <c r="G37" s="1052">
        <f>IFERROR(E37/$E$7-1,NA())</f>
        <v/>
      </c>
      <c r="H37" s="454" t="n"/>
      <c r="I37" s="458" t="n"/>
      <c r="J37" s="1050" t="n"/>
      <c r="K37" s="1050" t="n"/>
      <c r="L37" s="1051" t="n"/>
      <c r="M37" s="1051" t="n"/>
      <c r="N37" s="454" t="n"/>
    </row>
    <row r="38" ht="15" customHeight="1">
      <c r="C38" s="458" t="n"/>
      <c r="D38" s="1050" t="n"/>
      <c r="E38" s="1050" t="n"/>
      <c r="F38" s="1052">
        <f>IFERROR(D38/$D$7-1,NA())</f>
        <v/>
      </c>
      <c r="G38" s="1052">
        <f>IFERROR(E38/$E$7-1,NA())</f>
        <v/>
      </c>
      <c r="H38" s="454" t="n"/>
      <c r="I38" s="458" t="n"/>
      <c r="J38" s="1050" t="n"/>
      <c r="K38" s="1050" t="n"/>
      <c r="L38" s="1051" t="n"/>
      <c r="M38" s="1051" t="n"/>
      <c r="N38" s="454" t="n"/>
    </row>
    <row r="39" ht="15" customHeight="1">
      <c r="C39" s="458" t="n"/>
      <c r="D39" s="1050" t="n"/>
      <c r="E39" s="1050" t="n"/>
      <c r="F39" s="1052">
        <f>IFERROR(D39/$D$7-1,NA())</f>
        <v/>
      </c>
      <c r="G39" s="1052">
        <f>IFERROR(E39/$E$7-1,NA())</f>
        <v/>
      </c>
      <c r="H39" s="454" t="n"/>
      <c r="I39" s="458" t="n"/>
      <c r="J39" s="1050" t="n"/>
      <c r="K39" s="1050" t="n"/>
      <c r="L39" s="1051" t="n"/>
      <c r="M39" s="1051" t="n"/>
      <c r="N39" s="454" t="n"/>
    </row>
    <row r="40" ht="15" customHeight="1">
      <c r="C40" s="458" t="n"/>
      <c r="D40" s="1050" t="n"/>
      <c r="E40" s="1050" t="n"/>
      <c r="F40" s="1052">
        <f>IFERROR(D40/$D$7-1,NA())</f>
        <v/>
      </c>
      <c r="G40" s="1052">
        <f>IFERROR(E40/$E$7-1,NA())</f>
        <v/>
      </c>
      <c r="H40" s="454" t="n"/>
      <c r="I40" s="458" t="n"/>
      <c r="J40" s="1050" t="n"/>
      <c r="K40" s="1050" t="n"/>
      <c r="L40" s="1051" t="n"/>
      <c r="M40" s="1051" t="n"/>
      <c r="N40" s="454" t="n"/>
    </row>
    <row r="41" ht="15" customHeight="1">
      <c r="C41" s="458" t="n"/>
      <c r="D41" s="1050" t="n"/>
      <c r="E41" s="1050" t="n"/>
      <c r="F41" s="1052">
        <f>IFERROR(D41/$D$7-1,NA())</f>
        <v/>
      </c>
      <c r="G41" s="1052">
        <f>IFERROR(E41/$E$7-1,NA())</f>
        <v/>
      </c>
      <c r="H41" s="454" t="n"/>
      <c r="I41" s="458" t="n"/>
      <c r="J41" s="1050" t="n"/>
      <c r="K41" s="1050" t="n"/>
      <c r="L41" s="1051" t="n"/>
      <c r="M41" s="1051" t="n"/>
      <c r="N41" s="454" t="n"/>
    </row>
    <row r="42" ht="15" customHeight="1">
      <c r="C42" s="458" t="n"/>
      <c r="D42" s="1050" t="n"/>
      <c r="E42" s="1050" t="n"/>
      <c r="F42" s="1052">
        <f>IFERROR(D42/$D$7-1,NA())</f>
        <v/>
      </c>
      <c r="G42" s="1052">
        <f>IFERROR(E42/$E$7-1,NA())</f>
        <v/>
      </c>
      <c r="H42" s="454" t="n"/>
      <c r="I42" s="458" t="n"/>
      <c r="J42" s="1050" t="n"/>
      <c r="K42" s="1050" t="n"/>
      <c r="L42" s="1051" t="n"/>
      <c r="M42" s="1051" t="n"/>
      <c r="N42" s="454" t="n"/>
    </row>
    <row r="43" ht="15" customHeight="1">
      <c r="C43" s="458" t="n"/>
      <c r="D43" s="1050" t="n"/>
      <c r="E43" s="1050" t="n"/>
      <c r="F43" s="1052">
        <f>IFERROR(D43/$D$7-1,NA())</f>
        <v/>
      </c>
      <c r="G43" s="1052">
        <f>IFERROR(E43/$E$7-1,NA())</f>
        <v/>
      </c>
      <c r="H43" s="454" t="n"/>
      <c r="I43" s="458" t="n"/>
      <c r="J43" s="1050" t="n"/>
      <c r="K43" s="1050" t="n"/>
      <c r="L43" s="1051" t="n"/>
      <c r="M43" s="1051" t="n"/>
      <c r="N43" s="454" t="n"/>
    </row>
    <row r="44" ht="15" customHeight="1">
      <c r="C44" s="458" t="n"/>
      <c r="D44" s="1050" t="n"/>
      <c r="E44" s="1050" t="n"/>
      <c r="F44" s="1052">
        <f>IFERROR(D44/$D$7-1,NA())</f>
        <v/>
      </c>
      <c r="G44" s="1052">
        <f>IFERROR(E44/$E$7-1,NA())</f>
        <v/>
      </c>
      <c r="H44" s="454" t="n"/>
      <c r="I44" s="458" t="n"/>
      <c r="J44" s="1050" t="n"/>
      <c r="K44" s="1050" t="n"/>
      <c r="L44" s="1051" t="n"/>
      <c r="M44" s="1051" t="n"/>
      <c r="N44" s="454" t="n"/>
    </row>
    <row r="45" ht="15" customHeight="1">
      <c r="C45" s="458" t="n"/>
      <c r="D45" s="1050" t="n"/>
      <c r="E45" s="1050" t="n"/>
      <c r="F45" s="1052">
        <f>IFERROR(D45/$D$7-1,NA())</f>
        <v/>
      </c>
      <c r="G45" s="1052">
        <f>IFERROR(E45/$E$7-1,NA())</f>
        <v/>
      </c>
      <c r="H45" s="454" t="n"/>
      <c r="I45" s="458" t="n"/>
      <c r="J45" s="1050" t="n"/>
      <c r="K45" s="1050" t="n"/>
      <c r="L45" s="1051" t="n"/>
      <c r="M45" s="1051" t="n"/>
      <c r="N45" s="454" t="n"/>
    </row>
    <row r="46" ht="15" customHeight="1">
      <c r="C46" s="458" t="n"/>
      <c r="D46" s="1050" t="n"/>
      <c r="E46" s="1050" t="n"/>
      <c r="F46" s="1052">
        <f>IFERROR(D46/$D$7-1,NA())</f>
        <v/>
      </c>
      <c r="G46" s="1052">
        <f>IFERROR(E46/$E$7-1,NA())</f>
        <v/>
      </c>
      <c r="H46" s="454" t="n"/>
      <c r="I46" s="458" t="n"/>
      <c r="J46" s="1050" t="n"/>
      <c r="K46" s="1050" t="n"/>
      <c r="L46" s="1051" t="n"/>
      <c r="M46" s="1051" t="n"/>
      <c r="N46" s="454" t="n"/>
    </row>
    <row r="47" ht="15" customHeight="1">
      <c r="C47" s="458" t="n"/>
      <c r="D47" s="1050" t="n"/>
      <c r="E47" s="1050" t="n"/>
      <c r="F47" s="1052">
        <f>IFERROR(D47/$D$7-1,NA())</f>
        <v/>
      </c>
      <c r="G47" s="1052">
        <f>IFERROR(E47/$E$7-1,NA())</f>
        <v/>
      </c>
      <c r="H47" s="454" t="n"/>
      <c r="I47" s="458" t="n"/>
      <c r="J47" s="1050" t="n"/>
      <c r="K47" s="1050" t="n"/>
      <c r="L47" s="1051" t="n"/>
      <c r="M47" s="1051" t="n"/>
      <c r="N47" s="454" t="n"/>
    </row>
    <row r="48" ht="15" customHeight="1">
      <c r="C48" s="458" t="n"/>
      <c r="D48" s="1050" t="n"/>
      <c r="E48" s="1050" t="n"/>
      <c r="F48" s="1052">
        <f>IFERROR(D48/$D$7-1,NA())</f>
        <v/>
      </c>
      <c r="G48" s="1052">
        <f>IFERROR(E48/$E$7-1,NA())</f>
        <v/>
      </c>
      <c r="H48" s="454" t="n"/>
      <c r="I48" s="458" t="n"/>
      <c r="J48" s="1050" t="n"/>
      <c r="K48" s="1050" t="n"/>
      <c r="L48" s="1051" t="n"/>
      <c r="M48" s="1051" t="n"/>
      <c r="N48" s="454" t="n"/>
    </row>
    <row r="49" ht="15" customHeight="1">
      <c r="C49" s="458" t="n"/>
      <c r="D49" s="1050" t="n"/>
      <c r="E49" s="1050" t="n"/>
      <c r="F49" s="1052">
        <f>IFERROR(D49/$D$7-1,NA())</f>
        <v/>
      </c>
      <c r="G49" s="1052">
        <f>IFERROR(E49/$E$7-1,NA())</f>
        <v/>
      </c>
      <c r="H49" s="454" t="n"/>
      <c r="I49" s="458" t="n"/>
      <c r="J49" s="1050" t="n"/>
      <c r="K49" s="1050" t="n"/>
      <c r="L49" s="1051" t="n"/>
      <c r="M49" s="1051" t="n"/>
      <c r="N49" s="454" t="n"/>
    </row>
    <row r="50" ht="15" customHeight="1">
      <c r="C50" s="458" t="n"/>
      <c r="D50" s="1050" t="n"/>
      <c r="E50" s="1050" t="n"/>
      <c r="F50" s="1052">
        <f>IFERROR(D50/$D$7-1,NA())</f>
        <v/>
      </c>
      <c r="G50" s="1052">
        <f>IFERROR(E50/$E$7-1,NA())</f>
        <v/>
      </c>
      <c r="H50" s="454" t="n"/>
      <c r="I50" s="458" t="n"/>
      <c r="J50" s="1050" t="n"/>
      <c r="K50" s="1050" t="n"/>
      <c r="L50" s="1051" t="n"/>
      <c r="M50" s="1051" t="n"/>
      <c r="N50" s="454" t="n"/>
    </row>
    <row r="51" ht="15" customHeight="1">
      <c r="C51" s="458" t="n"/>
      <c r="D51" s="1050" t="n"/>
      <c r="E51" s="1050" t="n"/>
      <c r="F51" s="1052">
        <f>IFERROR(D51/$D$7-1,NA())</f>
        <v/>
      </c>
      <c r="G51" s="1052">
        <f>IFERROR(E51/$E$7-1,NA())</f>
        <v/>
      </c>
      <c r="H51" s="454" t="n"/>
      <c r="I51" s="458" t="n"/>
      <c r="J51" s="1050" t="n"/>
      <c r="K51" s="1050" t="n"/>
      <c r="L51" s="1051" t="n"/>
      <c r="M51" s="1051" t="n"/>
      <c r="N51" s="454" t="n"/>
    </row>
    <row r="52" ht="15" customHeight="1">
      <c r="C52" s="458" t="n"/>
      <c r="D52" s="1050" t="n"/>
      <c r="E52" s="1050" t="n"/>
      <c r="F52" s="1052">
        <f>IFERROR(D52/$D$7-1,NA())</f>
        <v/>
      </c>
      <c r="G52" s="1052">
        <f>IFERROR(E52/$E$7-1,NA())</f>
        <v/>
      </c>
      <c r="H52" s="454" t="n"/>
      <c r="I52" s="458" t="n"/>
      <c r="J52" s="1050" t="n"/>
      <c r="K52" s="1050" t="n"/>
      <c r="L52" s="1051" t="n"/>
      <c r="M52" s="1051" t="n"/>
      <c r="N52" s="454" t="n"/>
    </row>
    <row r="53" ht="15" customHeight="1">
      <c r="C53" s="458" t="n"/>
      <c r="D53" s="1050" t="n"/>
      <c r="E53" s="1050" t="n"/>
      <c r="F53" s="1052">
        <f>IFERROR(D53/$D$7-1,NA())</f>
        <v/>
      </c>
      <c r="G53" s="1052">
        <f>IFERROR(E53/$E$7-1,NA())</f>
        <v/>
      </c>
      <c r="H53" s="454" t="n"/>
      <c r="I53" s="458" t="n"/>
      <c r="J53" s="1050" t="n"/>
      <c r="K53" s="1050" t="n"/>
      <c r="L53" s="1051" t="n"/>
      <c r="M53" s="1051" t="n"/>
      <c r="N53" s="454" t="n"/>
    </row>
    <row r="54" ht="15" customHeight="1">
      <c r="C54" s="458" t="n"/>
      <c r="D54" s="1050" t="n"/>
      <c r="E54" s="1050" t="n"/>
      <c r="F54" s="1052">
        <f>IFERROR(D54/$D$7-1,NA())</f>
        <v/>
      </c>
      <c r="G54" s="1052">
        <f>IFERROR(E54/$E$7-1,NA())</f>
        <v/>
      </c>
      <c r="H54" s="454" t="n"/>
      <c r="I54" s="458" t="n"/>
      <c r="J54" s="1050" t="n"/>
      <c r="K54" s="1050" t="n"/>
      <c r="L54" s="1051" t="n"/>
      <c r="M54" s="1051" t="n"/>
      <c r="N54" s="454" t="n"/>
    </row>
    <row r="55" ht="15" customHeight="1">
      <c r="C55" s="458" t="n"/>
      <c r="D55" s="1050" t="n"/>
      <c r="E55" s="1050" t="n"/>
      <c r="F55" s="1052">
        <f>IFERROR(D55/$D$7-1,NA())</f>
        <v/>
      </c>
      <c r="G55" s="1052">
        <f>IFERROR(E55/$E$7-1,NA())</f>
        <v/>
      </c>
      <c r="H55" s="454" t="n"/>
      <c r="I55" s="458" t="n"/>
      <c r="J55" s="1050" t="n"/>
      <c r="K55" s="1050" t="n"/>
      <c r="L55" s="1051" t="n"/>
      <c r="M55" s="1051" t="n"/>
      <c r="N55" s="454" t="n"/>
    </row>
    <row r="56" ht="15" customHeight="1">
      <c r="C56" s="458" t="n"/>
      <c r="D56" s="1050" t="n"/>
      <c r="E56" s="1050" t="n"/>
      <c r="F56" s="1052">
        <f>IFERROR(D56/$D$7-1,NA())</f>
        <v/>
      </c>
      <c r="G56" s="1052">
        <f>IFERROR(E56/$E$7-1,NA())</f>
        <v/>
      </c>
      <c r="H56" s="454" t="n"/>
      <c r="I56" s="458" t="n"/>
      <c r="J56" s="1050" t="n"/>
      <c r="K56" s="1050" t="n"/>
      <c r="L56" s="1051" t="n"/>
      <c r="M56" s="1051" t="n"/>
      <c r="N56" s="454" t="n"/>
    </row>
    <row r="57" ht="15" customHeight="1">
      <c r="C57" s="458" t="n"/>
      <c r="D57" s="1050" t="n"/>
      <c r="E57" s="1050" t="n"/>
      <c r="F57" s="1052">
        <f>IFERROR(D57/$D$7-1,NA())</f>
        <v/>
      </c>
      <c r="G57" s="1052">
        <f>IFERROR(E57/$E$7-1,NA())</f>
        <v/>
      </c>
      <c r="H57" s="454" t="n"/>
      <c r="I57" s="458" t="n"/>
      <c r="J57" s="1050" t="n"/>
      <c r="K57" s="1050" t="n"/>
      <c r="L57" s="1051" t="n"/>
      <c r="M57" s="1051" t="n"/>
      <c r="N57" s="454" t="n"/>
    </row>
    <row r="58" ht="15" customHeight="1">
      <c r="C58" s="458" t="n"/>
      <c r="D58" s="1050" t="n"/>
      <c r="E58" s="1050" t="n"/>
      <c r="F58" s="1052">
        <f>IFERROR(D58/$D$7-1,NA())</f>
        <v/>
      </c>
      <c r="G58" s="1052">
        <f>IFERROR(E58/$E$7-1,NA())</f>
        <v/>
      </c>
      <c r="H58" s="454" t="n"/>
      <c r="I58" s="458" t="n"/>
      <c r="J58" s="1050" t="n"/>
      <c r="K58" s="1050" t="n"/>
      <c r="L58" s="1051" t="n"/>
      <c r="M58" s="1051" t="n"/>
      <c r="N58" s="454" t="n"/>
    </row>
    <row r="59" ht="15" customHeight="1">
      <c r="C59" s="458" t="n"/>
      <c r="D59" s="1050" t="n"/>
      <c r="E59" s="1050" t="n"/>
      <c r="F59" s="1052">
        <f>IFERROR(D59/$D$7-1,NA())</f>
        <v/>
      </c>
      <c r="G59" s="1052">
        <f>IFERROR(E59/$E$7-1,NA())</f>
        <v/>
      </c>
      <c r="H59" s="454" t="n"/>
      <c r="I59" s="458" t="n"/>
      <c r="J59" s="1050" t="n"/>
      <c r="K59" s="1050" t="n"/>
      <c r="L59" s="1051" t="n"/>
      <c r="M59" s="1051" t="n"/>
      <c r="N59" s="454" t="n"/>
    </row>
    <row r="60" ht="15" customHeight="1">
      <c r="C60" s="458" t="n"/>
      <c r="D60" s="1050" t="n"/>
      <c r="E60" s="1050" t="n"/>
      <c r="F60" s="1052">
        <f>IFERROR(D60/$D$7-1,NA())</f>
        <v/>
      </c>
      <c r="G60" s="1052">
        <f>IFERROR(E60/$E$7-1,NA())</f>
        <v/>
      </c>
      <c r="H60" s="454" t="n"/>
      <c r="I60" s="458" t="n"/>
      <c r="J60" s="1050" t="n"/>
      <c r="K60" s="1050" t="n"/>
      <c r="L60" s="1051" t="n"/>
      <c r="M60" s="1051" t="n"/>
      <c r="N60" s="454" t="n"/>
    </row>
    <row r="61" ht="15" customHeight="1">
      <c r="C61" s="458" t="n"/>
      <c r="D61" s="1050" t="n"/>
      <c r="E61" s="1050" t="n"/>
      <c r="F61" s="1052">
        <f>IFERROR(D61/$D$7-1,NA())</f>
        <v/>
      </c>
      <c r="G61" s="1052">
        <f>IFERROR(E61/$E$7-1,NA())</f>
        <v/>
      </c>
      <c r="H61" s="454" t="n"/>
      <c r="I61" s="458" t="n"/>
      <c r="J61" s="1050" t="n"/>
      <c r="K61" s="1050" t="n"/>
      <c r="L61" s="1051" t="n"/>
      <c r="M61" s="1051" t="n"/>
      <c r="N61" s="454" t="n"/>
    </row>
    <row r="62" ht="15" customHeight="1">
      <c r="C62" s="458" t="n"/>
      <c r="D62" s="1050" t="n"/>
      <c r="E62" s="1050" t="n"/>
      <c r="F62" s="1052">
        <f>IFERROR(D62/$D$7-1,NA())</f>
        <v/>
      </c>
      <c r="G62" s="1052">
        <f>IFERROR(E62/$E$7-1,NA())</f>
        <v/>
      </c>
      <c r="H62" s="454" t="n"/>
      <c r="I62" s="458" t="n"/>
      <c r="J62" s="1050" t="n"/>
      <c r="K62" s="1050" t="n"/>
      <c r="L62" s="1051" t="n"/>
      <c r="M62" s="1051" t="n"/>
      <c r="N62" s="454" t="n"/>
    </row>
    <row r="63" ht="15" customHeight="1">
      <c r="C63" s="458" t="n"/>
      <c r="D63" s="1050" t="n"/>
      <c r="E63" s="1050" t="n"/>
      <c r="F63" s="1052">
        <f>IFERROR(D63/$D$7-1,NA())</f>
        <v/>
      </c>
      <c r="G63" s="1052">
        <f>IFERROR(E63/$E$7-1,NA())</f>
        <v/>
      </c>
      <c r="H63" s="454" t="n"/>
      <c r="I63" s="458" t="n"/>
      <c r="J63" s="1050" t="n"/>
      <c r="K63" s="1050" t="n"/>
      <c r="L63" s="1051" t="n"/>
      <c r="M63" s="1051" t="n"/>
      <c r="N63" s="454" t="n"/>
    </row>
    <row r="64" ht="15" customHeight="1">
      <c r="C64" s="458" t="n"/>
      <c r="D64" s="1050" t="n"/>
      <c r="E64" s="1050" t="n"/>
      <c r="F64" s="1052">
        <f>IFERROR(D64/$D$7-1,NA())</f>
        <v/>
      </c>
      <c r="G64" s="1052">
        <f>IFERROR(E64/$E$7-1,NA())</f>
        <v/>
      </c>
      <c r="H64" s="454" t="n"/>
      <c r="I64" s="458" t="n"/>
      <c r="J64" s="1050" t="n"/>
      <c r="K64" s="1050" t="n"/>
      <c r="L64" s="1051" t="n"/>
      <c r="M64" s="1051" t="n"/>
      <c r="N64" s="454" t="n"/>
    </row>
    <row r="65" ht="15" customHeight="1">
      <c r="C65" s="458" t="n"/>
      <c r="D65" s="1050" t="n"/>
      <c r="E65" s="1050" t="n"/>
      <c r="F65" s="1052">
        <f>IFERROR(D65/$D$7-1,NA())</f>
        <v/>
      </c>
      <c r="G65" s="1052">
        <f>IFERROR(E65/$E$7-1,NA())</f>
        <v/>
      </c>
      <c r="H65" s="454" t="n"/>
      <c r="I65" s="458" t="n"/>
      <c r="J65" s="1050" t="n"/>
      <c r="K65" s="1050" t="n"/>
      <c r="L65" s="1051" t="n"/>
      <c r="M65" s="1051" t="n"/>
      <c r="N65" s="454" t="n"/>
    </row>
    <row r="66" ht="15" customHeight="1">
      <c r="C66" s="458" t="n"/>
      <c r="D66" s="1050" t="n"/>
      <c r="E66" s="1050" t="n"/>
      <c r="F66" s="1052">
        <f>IFERROR(D66/$D$7-1,NA())</f>
        <v/>
      </c>
      <c r="G66" s="1052">
        <f>IFERROR(E66/$E$7-1,NA())</f>
        <v/>
      </c>
      <c r="H66" s="454" t="n"/>
      <c r="I66" s="458" t="n"/>
      <c r="J66" s="1050" t="n"/>
      <c r="K66" s="1050" t="n"/>
      <c r="L66" s="1051" t="n"/>
      <c r="M66" s="1051" t="n"/>
      <c r="N66" s="454" t="n"/>
    </row>
    <row r="67" ht="15" customHeight="1">
      <c r="C67" s="458" t="n"/>
      <c r="D67" s="1050" t="n"/>
      <c r="E67" s="1050" t="n"/>
      <c r="F67" s="1052">
        <f>IFERROR(D67/$D$7-1,NA())</f>
        <v/>
      </c>
      <c r="G67" s="1052">
        <f>IFERROR(E67/$E$7-1,NA())</f>
        <v/>
      </c>
      <c r="H67" s="454" t="n"/>
      <c r="I67" s="458" t="n"/>
      <c r="J67" s="1050" t="n"/>
      <c r="K67" s="1050" t="n"/>
      <c r="L67" s="1051" t="n"/>
      <c r="M67" s="1051" t="n"/>
      <c r="N67" s="454" t="n"/>
    </row>
    <row r="68" ht="15" customHeight="1">
      <c r="C68" s="458" t="n"/>
      <c r="D68" s="1050" t="n"/>
      <c r="E68" s="1050" t="n"/>
      <c r="F68" s="1052">
        <f>IFERROR(D68/$D$7-1,NA())</f>
        <v/>
      </c>
      <c r="G68" s="1052">
        <f>IFERROR(E68/$E$7-1,NA())</f>
        <v/>
      </c>
      <c r="H68" s="454" t="n"/>
      <c r="I68" s="458" t="n"/>
      <c r="J68" s="1050" t="n"/>
      <c r="K68" s="1050" t="n"/>
      <c r="L68" s="1051" t="n"/>
      <c r="M68" s="1051" t="n"/>
      <c r="N68" s="454" t="n"/>
    </row>
    <row r="69" ht="15" customHeight="1">
      <c r="C69" s="458" t="n"/>
      <c r="D69" s="1050" t="n"/>
      <c r="E69" s="1050" t="n"/>
      <c r="F69" s="1052">
        <f>IFERROR(D69/$D$7-1,NA())</f>
        <v/>
      </c>
      <c r="G69" s="1052">
        <f>IFERROR(E69/$E$7-1,NA())</f>
        <v/>
      </c>
      <c r="H69" s="454" t="n"/>
      <c r="I69" s="458" t="n"/>
      <c r="J69" s="1050" t="n"/>
      <c r="K69" s="1050" t="n"/>
      <c r="L69" s="1051" t="n"/>
      <c r="M69" s="1051" t="n"/>
      <c r="N69" s="454" t="n"/>
    </row>
    <row r="70" ht="15" customHeight="1">
      <c r="C70" s="458" t="n"/>
      <c r="D70" s="1050" t="n"/>
      <c r="E70" s="1050" t="n"/>
      <c r="F70" s="1052">
        <f>IFERROR(D70/$D$7-1,NA())</f>
        <v/>
      </c>
      <c r="G70" s="1052">
        <f>IFERROR(E70/$E$7-1,NA())</f>
        <v/>
      </c>
      <c r="H70" s="454" t="n"/>
      <c r="I70" s="458" t="n"/>
      <c r="J70" s="1050" t="n"/>
      <c r="K70" s="1050" t="n"/>
      <c r="L70" s="1051" t="n"/>
      <c r="M70" s="1051" t="n"/>
      <c r="N70" s="454" t="n"/>
    </row>
    <row r="71" ht="15" customHeight="1">
      <c r="C71" s="458" t="n"/>
      <c r="D71" s="1050" t="n"/>
      <c r="E71" s="1050" t="n"/>
      <c r="F71" s="1052">
        <f>IFERROR(D71/$D$7-1,NA())</f>
        <v/>
      </c>
      <c r="G71" s="1052">
        <f>IFERROR(E71/$E$7-1,NA())</f>
        <v/>
      </c>
      <c r="H71" s="454" t="n"/>
      <c r="I71" s="458" t="n"/>
      <c r="J71" s="1050" t="n"/>
      <c r="K71" s="1050" t="n"/>
      <c r="L71" s="1051" t="n"/>
      <c r="M71" s="1051" t="n"/>
      <c r="N71" s="454" t="n"/>
    </row>
    <row r="72" ht="15" customHeight="1">
      <c r="C72" s="458" t="n"/>
      <c r="D72" s="1050" t="n"/>
      <c r="E72" s="1050" t="n"/>
      <c r="F72" s="1052">
        <f>IFERROR(D72/$D$7-1,NA())</f>
        <v/>
      </c>
      <c r="G72" s="1052">
        <f>IFERROR(E72/$E$7-1,NA())</f>
        <v/>
      </c>
      <c r="H72" s="454" t="n"/>
      <c r="I72" s="458" t="n"/>
      <c r="J72" s="1050" t="n"/>
      <c r="K72" s="1050" t="n"/>
      <c r="L72" s="1051" t="n"/>
      <c r="M72" s="1051" t="n"/>
      <c r="N72" s="454" t="n"/>
    </row>
    <row r="73" ht="15" customHeight="1">
      <c r="C73" s="458" t="n"/>
      <c r="D73" s="1050" t="n"/>
      <c r="E73" s="1050" t="n"/>
      <c r="F73" s="1052">
        <f>IFERROR(D73/$D$7-1,NA())</f>
        <v/>
      </c>
      <c r="G73" s="1052">
        <f>IFERROR(E73/$E$7-1,NA())</f>
        <v/>
      </c>
      <c r="H73" s="454" t="n"/>
      <c r="I73" s="458" t="n"/>
      <c r="J73" s="1050" t="n"/>
      <c r="K73" s="1050" t="n"/>
      <c r="L73" s="1051" t="n"/>
      <c r="M73" s="1051" t="n"/>
      <c r="N73" s="454" t="n"/>
    </row>
    <row r="74" ht="15" customHeight="1">
      <c r="C74" s="458" t="n"/>
      <c r="D74" s="1050" t="n"/>
      <c r="E74" s="1050" t="n"/>
      <c r="F74" s="1052">
        <f>IFERROR(D74/$D$7-1,NA())</f>
        <v/>
      </c>
      <c r="G74" s="1052">
        <f>IFERROR(E74/$E$7-1,NA())</f>
        <v/>
      </c>
      <c r="H74" s="454" t="n"/>
      <c r="I74" s="458" t="n"/>
      <c r="J74" s="1050" t="n"/>
      <c r="K74" s="1050" t="n"/>
      <c r="L74" s="1051" t="n"/>
      <c r="M74" s="1051" t="n"/>
      <c r="N74" s="454" t="n"/>
    </row>
    <row r="75" ht="15" customHeight="1">
      <c r="C75" s="458" t="n"/>
      <c r="D75" s="1050" t="n"/>
      <c r="E75" s="1050" t="n"/>
      <c r="F75" s="1052">
        <f>IFERROR(D75/$D$7-1,NA())</f>
        <v/>
      </c>
      <c r="G75" s="1052">
        <f>IFERROR(E75/$E$7-1,NA())</f>
        <v/>
      </c>
      <c r="H75" s="454" t="n"/>
      <c r="I75" s="458" t="n"/>
      <c r="J75" s="1050" t="n"/>
      <c r="K75" s="1050" t="n"/>
      <c r="L75" s="1051" t="n"/>
      <c r="M75" s="1051" t="n"/>
      <c r="N75" s="454" t="n"/>
    </row>
    <row r="76" ht="15" customHeight="1">
      <c r="C76" s="458" t="n"/>
      <c r="D76" s="1050" t="n"/>
      <c r="E76" s="1050" t="n"/>
      <c r="F76" s="1052">
        <f>IFERROR(D76/$D$7-1,NA())</f>
        <v/>
      </c>
      <c r="G76" s="1052">
        <f>IFERROR(E76/$E$7-1,NA())</f>
        <v/>
      </c>
      <c r="H76" s="454" t="n"/>
      <c r="I76" s="458" t="n"/>
      <c r="J76" s="1050" t="n"/>
      <c r="K76" s="1050" t="n"/>
      <c r="L76" s="1051" t="n"/>
      <c r="M76" s="1051" t="n"/>
      <c r="N76" s="454" t="n"/>
    </row>
    <row r="77" ht="15" customHeight="1">
      <c r="C77" s="458" t="n"/>
      <c r="D77" s="1050" t="n"/>
      <c r="E77" s="1050" t="n"/>
      <c r="F77" s="1052">
        <f>IFERROR(D77/$D$7-1,NA())</f>
        <v/>
      </c>
      <c r="G77" s="1052">
        <f>IFERROR(E77/$E$7-1,NA())</f>
        <v/>
      </c>
      <c r="H77" s="454" t="n"/>
      <c r="I77" s="458" t="n"/>
      <c r="J77" s="1050" t="n"/>
      <c r="K77" s="1050" t="n"/>
      <c r="L77" s="1051" t="n"/>
      <c r="M77" s="1051" t="n"/>
      <c r="N77" s="454" t="n"/>
    </row>
    <row r="78" ht="15" customHeight="1">
      <c r="C78" s="458" t="n"/>
      <c r="D78" s="1050" t="n"/>
      <c r="E78" s="1050" t="n"/>
      <c r="F78" s="1052">
        <f>IFERROR(D78/$D$7-1,NA())</f>
        <v/>
      </c>
      <c r="G78" s="1052">
        <f>IFERROR(E78/$E$7-1,NA())</f>
        <v/>
      </c>
      <c r="H78" s="454" t="n"/>
      <c r="I78" s="458" t="n"/>
      <c r="J78" s="1050" t="n"/>
      <c r="K78" s="1050" t="n"/>
      <c r="L78" s="1051" t="n"/>
      <c r="M78" s="1051" t="n"/>
      <c r="N78" s="454" t="n"/>
    </row>
    <row r="79" ht="15" customHeight="1">
      <c r="C79" s="458" t="n"/>
      <c r="D79" s="1050" t="n"/>
      <c r="E79" s="1050" t="n"/>
      <c r="F79" s="1052">
        <f>IFERROR(D79/$D$7-1,NA())</f>
        <v/>
      </c>
      <c r="G79" s="1052">
        <f>IFERROR(E79/$E$7-1,NA())</f>
        <v/>
      </c>
      <c r="H79" s="454" t="n"/>
      <c r="I79" s="458" t="n"/>
      <c r="J79" s="1050" t="n"/>
      <c r="K79" s="1050" t="n"/>
      <c r="L79" s="1051" t="n"/>
      <c r="M79" s="1051" t="n"/>
      <c r="N79" s="454" t="n"/>
    </row>
    <row r="80" ht="15" customHeight="1">
      <c r="C80" s="458" t="n"/>
      <c r="D80" s="1050" t="n"/>
      <c r="E80" s="1050" t="n"/>
      <c r="F80" s="1052">
        <f>IFERROR(D80/$D$7-1,NA())</f>
        <v/>
      </c>
      <c r="G80" s="1052">
        <f>IFERROR(E80/$E$7-1,NA())</f>
        <v/>
      </c>
      <c r="H80" s="454" t="n"/>
      <c r="I80" s="458" t="n"/>
      <c r="J80" s="1050" t="n"/>
      <c r="K80" s="1050" t="n"/>
      <c r="L80" s="1051" t="n"/>
      <c r="M80" s="1051" t="n"/>
      <c r="N80" s="454" t="n"/>
    </row>
    <row r="81" ht="15" customHeight="1">
      <c r="C81" s="458" t="n"/>
      <c r="D81" s="1050" t="n"/>
      <c r="E81" s="1050" t="n"/>
      <c r="F81" s="1052">
        <f>IFERROR(D81/$D$7-1,NA())</f>
        <v/>
      </c>
      <c r="G81" s="1052">
        <f>IFERROR(E81/$E$7-1,NA())</f>
        <v/>
      </c>
      <c r="H81" s="454" t="n"/>
      <c r="I81" s="458" t="n"/>
      <c r="J81" s="1050" t="n"/>
      <c r="K81" s="1050" t="n"/>
      <c r="L81" s="1051" t="n"/>
      <c r="M81" s="1051" t="n"/>
      <c r="N81" s="454" t="n"/>
    </row>
    <row r="82" ht="15" customHeight="1">
      <c r="C82" s="458" t="n"/>
      <c r="D82" s="1050" t="n"/>
      <c r="E82" s="1050" t="n"/>
      <c r="F82" s="1052">
        <f>IFERROR(D82/$D$7-1,NA())</f>
        <v/>
      </c>
      <c r="G82" s="1052">
        <f>IFERROR(E82/$E$7-1,NA())</f>
        <v/>
      </c>
      <c r="H82" s="454" t="n"/>
      <c r="I82" s="458" t="n"/>
      <c r="J82" s="1050" t="n"/>
      <c r="K82" s="1050" t="n"/>
      <c r="L82" s="1051" t="n"/>
      <c r="M82" s="1051" t="n"/>
      <c r="N82" s="454" t="n"/>
    </row>
    <row r="83" ht="15" customHeight="1">
      <c r="C83" s="458" t="n"/>
      <c r="D83" s="1050" t="n"/>
      <c r="E83" s="1050" t="n"/>
      <c r="F83" s="1052">
        <f>IFERROR(D83/$D$7-1,NA())</f>
        <v/>
      </c>
      <c r="G83" s="1052">
        <f>IFERROR(E83/$E$7-1,NA())</f>
        <v/>
      </c>
      <c r="H83" s="454" t="n"/>
      <c r="I83" s="458" t="n"/>
      <c r="J83" s="1050" t="n"/>
      <c r="K83" s="1050" t="n"/>
      <c r="L83" s="1051" t="n"/>
      <c r="M83" s="1051" t="n"/>
      <c r="N83" s="454" t="n"/>
    </row>
    <row r="84" ht="15" customHeight="1">
      <c r="C84" s="458" t="n"/>
      <c r="D84" s="1050" t="n"/>
      <c r="E84" s="1050" t="n"/>
      <c r="F84" s="1052">
        <f>IFERROR(D84/$D$7-1,NA())</f>
        <v/>
      </c>
      <c r="G84" s="1052">
        <f>IFERROR(E84/$E$7-1,NA())</f>
        <v/>
      </c>
      <c r="H84" s="454" t="n"/>
      <c r="I84" s="458" t="n"/>
      <c r="J84" s="1050" t="n"/>
      <c r="K84" s="1050" t="n"/>
      <c r="L84" s="1051" t="n"/>
      <c r="M84" s="1051" t="n"/>
      <c r="N84" s="454" t="n"/>
    </row>
    <row r="85" ht="15" customHeight="1">
      <c r="C85" s="458" t="n"/>
      <c r="D85" s="1050" t="n"/>
      <c r="E85" s="1050" t="n"/>
      <c r="F85" s="1052">
        <f>IFERROR(D85/$D$7-1,NA())</f>
        <v/>
      </c>
      <c r="G85" s="1052">
        <f>IFERROR(E85/$E$7-1,NA())</f>
        <v/>
      </c>
      <c r="H85" s="454" t="n"/>
      <c r="I85" s="458" t="n"/>
      <c r="J85" s="1050" t="n"/>
      <c r="K85" s="1050" t="n"/>
      <c r="L85" s="1051" t="n"/>
      <c r="M85" s="1051" t="n"/>
      <c r="N85" s="454" t="n"/>
    </row>
    <row r="86" ht="15" customHeight="1">
      <c r="C86" s="458" t="n"/>
      <c r="D86" s="1050" t="n"/>
      <c r="E86" s="1050" t="n"/>
      <c r="F86" s="1052">
        <f>IFERROR(D86/$D$7-1,NA())</f>
        <v/>
      </c>
      <c r="G86" s="1052">
        <f>IFERROR(E86/$E$7-1,NA())</f>
        <v/>
      </c>
      <c r="H86" s="454" t="n"/>
      <c r="I86" s="458" t="n"/>
      <c r="J86" s="1050" t="n"/>
      <c r="K86" s="1050" t="n"/>
      <c r="L86" s="1051" t="n"/>
      <c r="M86" s="1051" t="n"/>
      <c r="N86" s="454" t="n"/>
    </row>
    <row r="87" ht="15" customHeight="1">
      <c r="C87" s="458" t="n"/>
      <c r="D87" s="1050" t="n"/>
      <c r="E87" s="1050" t="n"/>
      <c r="F87" s="1052">
        <f>IFERROR(D87/$D$7-1,NA())</f>
        <v/>
      </c>
      <c r="G87" s="1052">
        <f>IFERROR(E87/$E$7-1,NA())</f>
        <v/>
      </c>
      <c r="H87" s="454" t="n"/>
      <c r="I87" s="458" t="n"/>
      <c r="J87" s="1050" t="n"/>
      <c r="K87" s="1050" t="n"/>
      <c r="L87" s="1051" t="n"/>
      <c r="M87" s="1051" t="n"/>
      <c r="N87" s="454" t="n"/>
    </row>
    <row r="88" ht="15" customHeight="1">
      <c r="C88" s="458" t="n"/>
      <c r="D88" s="1050" t="n"/>
      <c r="E88" s="1050" t="n"/>
      <c r="F88" s="1052">
        <f>IFERROR(D88/$D$7-1,NA())</f>
        <v/>
      </c>
      <c r="G88" s="1052">
        <f>IFERROR(E88/$E$7-1,NA())</f>
        <v/>
      </c>
      <c r="H88" s="454" t="n"/>
      <c r="I88" s="458" t="n"/>
      <c r="J88" s="1050" t="n"/>
      <c r="K88" s="1050" t="n"/>
      <c r="L88" s="1051" t="n"/>
      <c r="M88" s="1051" t="n"/>
      <c r="N88" s="454" t="n"/>
    </row>
    <row r="89" ht="15" customHeight="1">
      <c r="C89" s="458" t="n"/>
      <c r="D89" s="1050" t="n"/>
      <c r="E89" s="1050" t="n"/>
      <c r="F89" s="1052">
        <f>IFERROR(D89/$D$7-1,NA())</f>
        <v/>
      </c>
      <c r="G89" s="1052">
        <f>IFERROR(E89/$E$7-1,NA())</f>
        <v/>
      </c>
      <c r="H89" s="454" t="n"/>
      <c r="I89" s="458" t="n"/>
      <c r="J89" s="1050" t="n"/>
      <c r="K89" s="1050" t="n"/>
      <c r="L89" s="1051" t="n"/>
      <c r="M89" s="1051" t="n"/>
      <c r="N89" s="454" t="n"/>
    </row>
    <row r="90" ht="15" customHeight="1">
      <c r="C90" s="458" t="n"/>
      <c r="D90" s="1050" t="n"/>
      <c r="E90" s="1050" t="n"/>
      <c r="F90" s="1052">
        <f>IFERROR(D90/$D$7-1,NA())</f>
        <v/>
      </c>
      <c r="G90" s="1052">
        <f>IFERROR(E90/$E$7-1,NA())</f>
        <v/>
      </c>
      <c r="H90" s="454" t="n"/>
      <c r="I90" s="458" t="n"/>
      <c r="J90" s="1050" t="n"/>
      <c r="K90" s="1050" t="n"/>
      <c r="L90" s="1051" t="n"/>
      <c r="M90" s="1051" t="n"/>
      <c r="N90" s="454" t="n"/>
    </row>
    <row r="91" ht="15" customHeight="1">
      <c r="C91" s="458" t="n"/>
      <c r="D91" s="1050" t="n"/>
      <c r="E91" s="1050" t="n"/>
      <c r="F91" s="1052">
        <f>IFERROR(D91/$D$7-1,NA())</f>
        <v/>
      </c>
      <c r="G91" s="1052">
        <f>IFERROR(E91/$E$7-1,NA())</f>
        <v/>
      </c>
      <c r="H91" s="454" t="n"/>
      <c r="I91" s="458" t="n"/>
      <c r="J91" s="1050" t="n"/>
      <c r="K91" s="1050" t="n"/>
      <c r="L91" s="1051" t="n"/>
      <c r="M91" s="1051" t="n"/>
      <c r="N91" s="454" t="n"/>
    </row>
    <row r="92" ht="15" customHeight="1">
      <c r="C92" s="458" t="n"/>
      <c r="D92" s="1050" t="n"/>
      <c r="E92" s="1050" t="n"/>
      <c r="F92" s="1052">
        <f>IFERROR(D92/$D$7-1,NA())</f>
        <v/>
      </c>
      <c r="G92" s="1052">
        <f>IFERROR(E92/$E$7-1,NA())</f>
        <v/>
      </c>
      <c r="H92" s="454" t="n"/>
      <c r="I92" s="458" t="n"/>
      <c r="J92" s="1050" t="n"/>
      <c r="K92" s="1050" t="n"/>
      <c r="L92" s="1051" t="n"/>
      <c r="M92" s="1051" t="n"/>
      <c r="N92" s="454" t="n"/>
    </row>
    <row r="93" ht="15" customHeight="1">
      <c r="C93" s="458" t="n"/>
      <c r="D93" s="1050" t="n"/>
      <c r="E93" s="1050" t="n"/>
      <c r="F93" s="1052">
        <f>IFERROR(D93/$D$7-1,NA())</f>
        <v/>
      </c>
      <c r="G93" s="1052">
        <f>IFERROR(E93/$E$7-1,NA())</f>
        <v/>
      </c>
      <c r="H93" s="454" t="n"/>
      <c r="I93" s="458" t="n"/>
      <c r="J93" s="1050" t="n"/>
      <c r="K93" s="1050" t="n"/>
      <c r="L93" s="1051" t="n"/>
      <c r="M93" s="1051" t="n"/>
      <c r="N93" s="454" t="n"/>
    </row>
    <row r="94" ht="15" customHeight="1">
      <c r="C94" s="458" t="n"/>
      <c r="D94" s="1050" t="n"/>
      <c r="E94" s="1050" t="n"/>
      <c r="F94" s="1052">
        <f>IFERROR(D94/$D$7-1,NA())</f>
        <v/>
      </c>
      <c r="G94" s="1052">
        <f>IFERROR(E94/$E$7-1,NA())</f>
        <v/>
      </c>
      <c r="H94" s="454" t="n"/>
      <c r="I94" s="458" t="n"/>
      <c r="J94" s="1050" t="n"/>
      <c r="K94" s="1050" t="n"/>
      <c r="L94" s="1051" t="n"/>
      <c r="M94" s="1051" t="n"/>
      <c r="N94" s="454" t="n"/>
    </row>
    <row r="95" ht="15" customHeight="1">
      <c r="C95" s="458" t="n"/>
      <c r="D95" s="1050" t="n"/>
      <c r="E95" s="1050" t="n"/>
      <c r="F95" s="1052">
        <f>IFERROR(D95/$D$7-1,NA())</f>
        <v/>
      </c>
      <c r="G95" s="1052">
        <f>IFERROR(E95/$E$7-1,NA())</f>
        <v/>
      </c>
      <c r="H95" s="454" t="n"/>
      <c r="I95" s="458" t="n"/>
      <c r="J95" s="1050" t="n"/>
      <c r="K95" s="1050" t="n"/>
      <c r="L95" s="1051" t="n"/>
      <c r="M95" s="1051" t="n"/>
      <c r="N95" s="454" t="n"/>
    </row>
    <row r="96" ht="15" customHeight="1">
      <c r="C96" s="458" t="n"/>
      <c r="D96" s="1050" t="n"/>
      <c r="E96" s="1050" t="n"/>
      <c r="F96" s="1052">
        <f>IFERROR(D96/$D$7-1,NA())</f>
        <v/>
      </c>
      <c r="G96" s="1052">
        <f>IFERROR(E96/$E$7-1,NA())</f>
        <v/>
      </c>
      <c r="H96" s="454" t="n"/>
      <c r="I96" s="458" t="n"/>
      <c r="J96" s="1050" t="n"/>
      <c r="K96" s="1050" t="n"/>
      <c r="L96" s="1051" t="n"/>
      <c r="M96" s="1051" t="n"/>
      <c r="N96" s="454" t="n"/>
    </row>
    <row r="97" ht="15" customHeight="1">
      <c r="C97" s="458" t="n"/>
      <c r="D97" s="1050" t="n"/>
      <c r="E97" s="1050" t="n"/>
      <c r="F97" s="1052">
        <f>IFERROR(D97/$D$7-1,NA())</f>
        <v/>
      </c>
      <c r="G97" s="1052">
        <f>IFERROR(E97/$E$7-1,NA())</f>
        <v/>
      </c>
      <c r="H97" s="454" t="n"/>
      <c r="I97" s="458" t="n"/>
      <c r="J97" s="1050" t="n"/>
      <c r="K97" s="1050" t="n"/>
      <c r="L97" s="1051" t="n"/>
      <c r="M97" s="1051" t="n"/>
      <c r="N97" s="454" t="n"/>
    </row>
    <row r="98" ht="15" customHeight="1">
      <c r="C98" s="458" t="n"/>
      <c r="D98" s="1050" t="n"/>
      <c r="E98" s="1050" t="n"/>
      <c r="F98" s="1052">
        <f>IFERROR(D98/$D$7-1,NA())</f>
        <v/>
      </c>
      <c r="G98" s="1052">
        <f>IFERROR(E98/$E$7-1,NA())</f>
        <v/>
      </c>
      <c r="H98" s="454" t="n"/>
      <c r="I98" s="458" t="n"/>
      <c r="J98" s="1050" t="n"/>
      <c r="K98" s="1050" t="n"/>
      <c r="L98" s="1051" t="n"/>
      <c r="M98" s="1051" t="n"/>
      <c r="N98" s="454" t="n"/>
    </row>
    <row r="99" ht="15" customHeight="1">
      <c r="C99" s="458" t="n"/>
      <c r="D99" s="1050" t="n"/>
      <c r="E99" s="1050" t="n"/>
      <c r="F99" s="1052">
        <f>IFERROR(D99/$D$7-1,NA())</f>
        <v/>
      </c>
      <c r="G99" s="1052">
        <f>IFERROR(E99/$E$7-1,NA())</f>
        <v/>
      </c>
      <c r="H99" s="454" t="n"/>
      <c r="I99" s="458" t="n"/>
      <c r="J99" s="1050" t="n"/>
      <c r="K99" s="1050" t="n"/>
      <c r="L99" s="1051" t="n"/>
      <c r="M99" s="1051" t="n"/>
      <c r="N99" s="454" t="n"/>
    </row>
    <row r="100" ht="15" customHeight="1">
      <c r="C100" s="458" t="n"/>
      <c r="D100" s="1050" t="n"/>
      <c r="E100" s="1050" t="n"/>
      <c r="F100" s="1052">
        <f>IFERROR(D100/$D$7-1,NA())</f>
        <v/>
      </c>
      <c r="G100" s="1052">
        <f>IFERROR(E100/$E$7-1,NA())</f>
        <v/>
      </c>
      <c r="H100" s="454" t="n"/>
      <c r="I100" s="458" t="n"/>
      <c r="J100" s="1050" t="n"/>
      <c r="K100" s="1050" t="n"/>
      <c r="L100" s="1051" t="n"/>
      <c r="M100" s="1051" t="n"/>
      <c r="N100" s="454" t="n"/>
    </row>
    <row r="101" ht="15" customHeight="1">
      <c r="C101" s="458" t="n"/>
      <c r="D101" s="1050" t="n"/>
      <c r="E101" s="1050" t="n"/>
      <c r="F101" s="1052">
        <f>IFERROR(D101/$D$7-1,NA())</f>
        <v/>
      </c>
      <c r="G101" s="1052">
        <f>IFERROR(E101/$E$7-1,NA())</f>
        <v/>
      </c>
      <c r="H101" s="454" t="n"/>
      <c r="I101" s="458" t="n"/>
      <c r="J101" s="1050" t="n"/>
      <c r="K101" s="1050" t="n"/>
      <c r="L101" s="1051" t="n"/>
      <c r="M101" s="1051" t="n"/>
      <c r="N101" s="454" t="n"/>
    </row>
    <row r="102" ht="15" customHeight="1">
      <c r="C102" s="458" t="n"/>
      <c r="D102" s="1050" t="n"/>
      <c r="E102" s="1050" t="n"/>
      <c r="F102" s="1052">
        <f>IFERROR(D102/$D$7-1,NA())</f>
        <v/>
      </c>
      <c r="G102" s="1052">
        <f>IFERROR(E102/$E$7-1,NA())</f>
        <v/>
      </c>
      <c r="H102" s="454" t="n"/>
      <c r="I102" s="458" t="n"/>
      <c r="J102" s="1050" t="n"/>
      <c r="K102" s="1050" t="n"/>
      <c r="L102" s="1051" t="n"/>
      <c r="M102" s="1051" t="n"/>
      <c r="N102" s="454" t="n"/>
    </row>
    <row r="103" ht="15" customHeight="1">
      <c r="C103" s="458" t="n"/>
      <c r="D103" s="1050" t="n"/>
      <c r="E103" s="1050" t="n"/>
      <c r="F103" s="1052">
        <f>IFERROR(D103/$D$7-1,NA())</f>
        <v/>
      </c>
      <c r="G103" s="1052">
        <f>IFERROR(E103/$E$7-1,NA())</f>
        <v/>
      </c>
      <c r="H103" s="454" t="n"/>
      <c r="I103" s="458" t="n"/>
      <c r="J103" s="1050" t="n"/>
      <c r="K103" s="1050" t="n"/>
      <c r="L103" s="1051" t="n"/>
      <c r="M103" s="1051" t="n"/>
      <c r="N103" s="454" t="n"/>
    </row>
    <row r="104" ht="15" customHeight="1">
      <c r="C104" s="458" t="n"/>
      <c r="D104" s="1050" t="n"/>
      <c r="E104" s="1050" t="n"/>
      <c r="F104" s="1052">
        <f>IFERROR(D104/$D$7-1,NA())</f>
        <v/>
      </c>
      <c r="G104" s="1052">
        <f>IFERROR(E104/$E$7-1,NA())</f>
        <v/>
      </c>
      <c r="H104" s="454" t="n"/>
      <c r="I104" s="458" t="n"/>
      <c r="J104" s="1050" t="n"/>
      <c r="K104" s="1050" t="n"/>
      <c r="L104" s="1051" t="n"/>
      <c r="M104" s="1051" t="n"/>
      <c r="N104" s="454" t="n"/>
    </row>
    <row r="105" ht="15" customHeight="1">
      <c r="C105" s="458" t="n"/>
      <c r="D105" s="1050" t="n"/>
      <c r="E105" s="1050" t="n"/>
      <c r="F105" s="1052">
        <f>IFERROR(D105/$D$7-1,NA())</f>
        <v/>
      </c>
      <c r="G105" s="1052">
        <f>IFERROR(E105/$E$7-1,NA())</f>
        <v/>
      </c>
      <c r="H105" s="454" t="n"/>
      <c r="I105" s="458" t="n"/>
      <c r="J105" s="1050" t="n"/>
      <c r="K105" s="1050" t="n"/>
      <c r="L105" s="1051" t="n"/>
      <c r="M105" s="1051" t="n"/>
      <c r="N105" s="454" t="n"/>
    </row>
    <row r="106" ht="15" customHeight="1">
      <c r="C106" s="458" t="n"/>
      <c r="D106" s="1050" t="n"/>
      <c r="E106" s="1050" t="n"/>
      <c r="F106" s="1052">
        <f>IFERROR(D106/$D$7-1,NA())</f>
        <v/>
      </c>
      <c r="G106" s="1052">
        <f>IFERROR(E106/$E$7-1,NA())</f>
        <v/>
      </c>
      <c r="H106" s="454" t="n"/>
      <c r="I106" s="458" t="n"/>
      <c r="J106" s="1050" t="n"/>
      <c r="K106" s="1050" t="n"/>
      <c r="L106" s="1051" t="n"/>
      <c r="M106" s="1051" t="n"/>
      <c r="N106" s="454" t="n"/>
    </row>
    <row r="107" ht="15" customHeight="1">
      <c r="C107" s="458" t="n"/>
      <c r="D107" s="1050" t="n"/>
      <c r="E107" s="1050" t="n"/>
      <c r="F107" s="1052">
        <f>IFERROR(D107/$D$7-1,NA())</f>
        <v/>
      </c>
      <c r="G107" s="1052">
        <f>IFERROR(E107/$E$7-1,NA())</f>
        <v/>
      </c>
      <c r="H107" s="454" t="n"/>
      <c r="I107" s="458" t="n"/>
      <c r="J107" s="1050" t="n"/>
      <c r="K107" s="1050" t="n"/>
      <c r="L107" s="1051" t="n"/>
      <c r="M107" s="1051" t="n"/>
      <c r="N107" s="454" t="n"/>
    </row>
    <row r="108" ht="15" customHeight="1">
      <c r="C108" s="458" t="n"/>
      <c r="D108" s="1050" t="n"/>
      <c r="E108" s="1050" t="n"/>
      <c r="F108" s="1052">
        <f>IFERROR(D108/$D$7-1,NA())</f>
        <v/>
      </c>
      <c r="G108" s="1052">
        <f>IFERROR(E108/$E$7-1,NA())</f>
        <v/>
      </c>
      <c r="H108" s="454" t="n"/>
      <c r="I108" s="458" t="n"/>
      <c r="J108" s="1050" t="n"/>
      <c r="K108" s="1050" t="n"/>
      <c r="L108" s="1051" t="n"/>
      <c r="M108" s="1051" t="n"/>
      <c r="N108" s="454" t="n"/>
    </row>
    <row r="109" ht="15" customHeight="1">
      <c r="C109" s="458" t="n"/>
      <c r="D109" s="1050" t="n"/>
      <c r="E109" s="1050" t="n"/>
      <c r="F109" s="1052">
        <f>IFERROR(D109/$D$7-1,NA())</f>
        <v/>
      </c>
      <c r="G109" s="1052">
        <f>IFERROR(E109/$E$7-1,NA())</f>
        <v/>
      </c>
      <c r="H109" s="454" t="n"/>
      <c r="I109" s="458" t="n"/>
      <c r="J109" s="1050" t="n"/>
      <c r="K109" s="1050" t="n"/>
      <c r="L109" s="1051" t="n"/>
      <c r="M109" s="1051" t="n"/>
      <c r="N109" s="454" t="n"/>
    </row>
    <row r="110" ht="15" customHeight="1">
      <c r="C110" s="458" t="n"/>
      <c r="D110" s="1050" t="n"/>
      <c r="E110" s="1050" t="n"/>
      <c r="F110" s="1052">
        <f>IFERROR(D110/$D$7-1,NA())</f>
        <v/>
      </c>
      <c r="G110" s="1052">
        <f>IFERROR(E110/$E$7-1,NA())</f>
        <v/>
      </c>
      <c r="H110" s="454" t="n"/>
      <c r="I110" s="458" t="n"/>
      <c r="J110" s="1050" t="n"/>
      <c r="K110" s="1050" t="n"/>
      <c r="L110" s="1051" t="n"/>
      <c r="M110" s="1051" t="n"/>
      <c r="N110" s="454" t="n"/>
    </row>
    <row r="111" ht="15" customHeight="1">
      <c r="C111" s="458" t="n"/>
      <c r="D111" s="1050" t="n"/>
      <c r="E111" s="1050" t="n"/>
      <c r="F111" s="1052">
        <f>IFERROR(D111/$D$7-1,NA())</f>
        <v/>
      </c>
      <c r="G111" s="1052">
        <f>IFERROR(E111/$E$7-1,NA())</f>
        <v/>
      </c>
      <c r="H111" s="454" t="n"/>
      <c r="I111" s="458" t="n"/>
      <c r="J111" s="1050" t="n"/>
      <c r="K111" s="1050" t="n"/>
      <c r="L111" s="1051" t="n"/>
      <c r="M111" s="1051" t="n"/>
      <c r="N111" s="454" t="n"/>
    </row>
    <row r="112" ht="15" customHeight="1">
      <c r="C112" s="458" t="n"/>
      <c r="D112" s="1050" t="n"/>
      <c r="E112" s="1050" t="n"/>
      <c r="F112" s="1052">
        <f>IFERROR(D112/$D$7-1,NA())</f>
        <v/>
      </c>
      <c r="G112" s="1052">
        <f>IFERROR(E112/$E$7-1,NA())</f>
        <v/>
      </c>
      <c r="H112" s="454" t="n"/>
      <c r="I112" s="458" t="n"/>
      <c r="J112" s="1050" t="n"/>
      <c r="K112" s="1050" t="n"/>
      <c r="L112" s="1051" t="n"/>
      <c r="M112" s="1051" t="n"/>
      <c r="N112" s="454" t="n"/>
    </row>
    <row r="113" ht="15" customHeight="1">
      <c r="C113" s="458" t="n"/>
      <c r="D113" s="1050" t="n"/>
      <c r="E113" s="1050" t="n"/>
      <c r="F113" s="1052">
        <f>IFERROR(D113/$D$7-1,NA())</f>
        <v/>
      </c>
      <c r="G113" s="1052">
        <f>IFERROR(E113/$E$7-1,NA())</f>
        <v/>
      </c>
      <c r="H113" s="454" t="n"/>
      <c r="I113" s="458" t="n"/>
      <c r="J113" s="1050" t="n"/>
      <c r="K113" s="1050" t="n"/>
      <c r="L113" s="1051" t="n"/>
      <c r="M113" s="1051" t="n"/>
      <c r="N113" s="454" t="n"/>
    </row>
    <row r="114" ht="15" customHeight="1">
      <c r="C114" s="458" t="n"/>
      <c r="D114" s="1050" t="n"/>
      <c r="E114" s="1050" t="n"/>
      <c r="F114" s="1052">
        <f>IFERROR(D114/$D$7-1,NA())</f>
        <v/>
      </c>
      <c r="G114" s="1052">
        <f>IFERROR(E114/$E$7-1,NA())</f>
        <v/>
      </c>
      <c r="H114" s="454" t="n"/>
      <c r="I114" s="458" t="n"/>
      <c r="J114" s="1050" t="n"/>
      <c r="K114" s="1050" t="n"/>
      <c r="L114" s="1051" t="n"/>
      <c r="M114" s="1051" t="n"/>
      <c r="N114" s="454" t="n"/>
    </row>
    <row r="115" ht="15" customHeight="1">
      <c r="C115" s="458" t="n"/>
      <c r="D115" s="1050" t="n"/>
      <c r="E115" s="1050" t="n"/>
      <c r="F115" s="1052">
        <f>IFERROR(D115/$D$7-1,NA())</f>
        <v/>
      </c>
      <c r="G115" s="1052">
        <f>IFERROR(E115/$E$7-1,NA())</f>
        <v/>
      </c>
      <c r="H115" s="454" t="n"/>
      <c r="I115" s="458" t="n"/>
      <c r="J115" s="1050" t="n"/>
      <c r="K115" s="1050" t="n"/>
      <c r="L115" s="1051" t="n"/>
      <c r="M115" s="1051" t="n"/>
      <c r="N115" s="454" t="n"/>
    </row>
    <row r="116" ht="15" customHeight="1">
      <c r="C116" s="458" t="n"/>
      <c r="D116" s="1050" t="n"/>
      <c r="E116" s="1050" t="n"/>
      <c r="F116" s="1052">
        <f>IFERROR(D116/$D$7-1,NA())</f>
        <v/>
      </c>
      <c r="G116" s="1052">
        <f>IFERROR(E116/$E$7-1,NA())</f>
        <v/>
      </c>
      <c r="H116" s="454" t="n"/>
      <c r="I116" s="458" t="n"/>
      <c r="J116" s="1050" t="n"/>
      <c r="K116" s="1050" t="n"/>
      <c r="L116" s="1051" t="n"/>
      <c r="M116" s="1051" t="n"/>
      <c r="N116" s="454" t="n"/>
    </row>
    <row r="117" ht="15" customHeight="1">
      <c r="C117" s="458" t="n"/>
      <c r="D117" s="1050" t="n"/>
      <c r="E117" s="1050" t="n"/>
      <c r="F117" s="1052">
        <f>IFERROR(D117/$D$7-1,NA())</f>
        <v/>
      </c>
      <c r="G117" s="1052">
        <f>IFERROR(E117/$E$7-1,NA())</f>
        <v/>
      </c>
      <c r="H117" s="454" t="n"/>
      <c r="I117" s="458" t="n"/>
      <c r="J117" s="1050" t="n"/>
      <c r="K117" s="1050" t="n"/>
      <c r="L117" s="1051" t="n"/>
      <c r="M117" s="1051" t="n"/>
      <c r="N117" s="454" t="n"/>
    </row>
    <row r="118" ht="15" customHeight="1">
      <c r="C118" s="458" t="n"/>
      <c r="D118" s="1050" t="n"/>
      <c r="E118" s="1050" t="n"/>
      <c r="F118" s="1052">
        <f>IFERROR(D118/$D$7-1,NA())</f>
        <v/>
      </c>
      <c r="G118" s="1052">
        <f>IFERROR(E118/$E$7-1,NA())</f>
        <v/>
      </c>
      <c r="H118" s="454" t="n"/>
      <c r="I118" s="458" t="n"/>
      <c r="J118" s="1050" t="n"/>
      <c r="K118" s="1050" t="n"/>
      <c r="L118" s="1051" t="n"/>
      <c r="M118" s="1051" t="n"/>
      <c r="N118" s="454" t="n"/>
    </row>
    <row r="119" ht="15" customHeight="1">
      <c r="C119" s="458" t="n"/>
      <c r="D119" s="1050" t="n"/>
      <c r="E119" s="1050" t="n"/>
      <c r="F119" s="1052">
        <f>IFERROR(D119/$D$7-1,NA())</f>
        <v/>
      </c>
      <c r="G119" s="1052">
        <f>IFERROR(E119/$E$7-1,NA())</f>
        <v/>
      </c>
      <c r="H119" s="454" t="n"/>
      <c r="I119" s="458" t="n"/>
      <c r="J119" s="1050" t="n"/>
      <c r="K119" s="1050" t="n"/>
      <c r="L119" s="1051" t="n"/>
      <c r="M119" s="1051" t="n"/>
      <c r="N119" s="454" t="n"/>
    </row>
    <row r="120" ht="15" customHeight="1">
      <c r="C120" s="458" t="n"/>
      <c r="D120" s="1050" t="n"/>
      <c r="E120" s="1050" t="n"/>
      <c r="F120" s="1052">
        <f>IFERROR(D120/$D$7-1,NA())</f>
        <v/>
      </c>
      <c r="G120" s="1052">
        <f>IFERROR(E120/$E$7-1,NA())</f>
        <v/>
      </c>
      <c r="H120" s="454" t="n"/>
      <c r="I120" s="458" t="n"/>
      <c r="J120" s="1050" t="n"/>
      <c r="K120" s="1050" t="n"/>
      <c r="L120" s="1051" t="n"/>
      <c r="M120" s="1051" t="n"/>
      <c r="N120" s="454" t="n"/>
    </row>
    <row r="121" ht="15" customHeight="1">
      <c r="C121" s="458" t="n"/>
      <c r="D121" s="1050" t="n"/>
      <c r="E121" s="1050" t="n"/>
      <c r="F121" s="1052">
        <f>IFERROR(D121/$D$7-1,NA())</f>
        <v/>
      </c>
      <c r="G121" s="1052">
        <f>IFERROR(E121/$E$7-1,NA())</f>
        <v/>
      </c>
      <c r="H121" s="454" t="n"/>
      <c r="I121" s="458" t="n"/>
      <c r="J121" s="1050" t="n"/>
      <c r="K121" s="1050" t="n"/>
      <c r="L121" s="1051" t="n"/>
      <c r="M121" s="1051" t="n"/>
      <c r="N121" s="454" t="n"/>
    </row>
    <row r="122" ht="15" customHeight="1">
      <c r="C122" s="458" t="n"/>
      <c r="D122" s="1050" t="n"/>
      <c r="E122" s="1050" t="n"/>
      <c r="F122" s="1052">
        <f>IFERROR(D122/$D$7-1,NA())</f>
        <v/>
      </c>
      <c r="G122" s="1052">
        <f>IFERROR(E122/$E$7-1,NA())</f>
        <v/>
      </c>
      <c r="H122" s="454" t="n"/>
      <c r="I122" s="458" t="n"/>
      <c r="J122" s="1050" t="n"/>
      <c r="K122" s="1050" t="n"/>
      <c r="L122" s="1051" t="n"/>
      <c r="M122" s="1051" t="n"/>
      <c r="N122" s="454" t="n"/>
    </row>
    <row r="123" ht="15" customHeight="1">
      <c r="C123" s="458" t="n"/>
      <c r="D123" s="1050" t="n"/>
      <c r="E123" s="1050" t="n"/>
      <c r="F123" s="1052">
        <f>IFERROR(D123/$D$7-1,NA())</f>
        <v/>
      </c>
      <c r="G123" s="1052">
        <f>IFERROR(E123/$E$7-1,NA())</f>
        <v/>
      </c>
      <c r="H123" s="454" t="n"/>
      <c r="I123" s="458" t="n"/>
      <c r="J123" s="1050" t="n"/>
      <c r="K123" s="1050" t="n"/>
      <c r="L123" s="1051" t="n"/>
      <c r="M123" s="1051" t="n"/>
      <c r="N123" s="454" t="n"/>
    </row>
    <row r="124" ht="15" customHeight="1">
      <c r="C124" s="458" t="n"/>
      <c r="D124" s="1050" t="n"/>
      <c r="E124" s="1050" t="n"/>
      <c r="F124" s="1052">
        <f>IFERROR(D124/$D$7-1,NA())</f>
        <v/>
      </c>
      <c r="G124" s="1052">
        <f>IFERROR(E124/$E$7-1,NA())</f>
        <v/>
      </c>
      <c r="H124" s="454" t="n"/>
      <c r="I124" s="458" t="n"/>
      <c r="J124" s="1050" t="n"/>
      <c r="K124" s="1050" t="n"/>
      <c r="L124" s="1051" t="n"/>
      <c r="M124" s="1051" t="n"/>
      <c r="N124" s="454" t="n"/>
    </row>
    <row r="125" ht="15" customHeight="1">
      <c r="C125" s="458" t="n"/>
      <c r="D125" s="1050" t="n"/>
      <c r="E125" s="1050" t="n"/>
      <c r="F125" s="1052">
        <f>IFERROR(D125/$D$7-1,NA())</f>
        <v/>
      </c>
      <c r="G125" s="1052">
        <f>IFERROR(E125/$E$7-1,NA())</f>
        <v/>
      </c>
      <c r="H125" s="454" t="n"/>
      <c r="I125" s="458" t="n"/>
      <c r="J125" s="1050" t="n"/>
      <c r="K125" s="1050" t="n"/>
      <c r="L125" s="1051" t="n"/>
      <c r="M125" s="1051" t="n"/>
      <c r="N125" s="454" t="n"/>
    </row>
    <row r="126" ht="15" customHeight="1">
      <c r="C126" s="458" t="n"/>
      <c r="D126" s="1050" t="n"/>
      <c r="E126" s="1050" t="n"/>
      <c r="F126" s="1052">
        <f>IFERROR(D126/$D$7-1,NA())</f>
        <v/>
      </c>
      <c r="G126" s="1052">
        <f>IFERROR(E126/$E$7-1,NA())</f>
        <v/>
      </c>
      <c r="H126" s="454" t="n"/>
      <c r="I126" s="458" t="n"/>
      <c r="J126" s="1050" t="n"/>
      <c r="K126" s="1050" t="n"/>
      <c r="L126" s="1051" t="n"/>
      <c r="M126" s="1051" t="n"/>
      <c r="N126" s="454" t="n"/>
    </row>
    <row r="127" ht="15" customHeight="1">
      <c r="C127" s="458" t="n"/>
      <c r="D127" s="1050" t="n"/>
      <c r="E127" s="1050" t="n"/>
      <c r="F127" s="1052">
        <f>IFERROR(D127/$D$7-1,NA())</f>
        <v/>
      </c>
      <c r="G127" s="1052">
        <f>IFERROR(E127/$E$7-1,NA())</f>
        <v/>
      </c>
      <c r="H127" s="454" t="n"/>
      <c r="I127" s="458" t="n"/>
      <c r="J127" s="1050" t="n"/>
      <c r="K127" s="1050" t="n"/>
      <c r="L127" s="1051" t="n"/>
      <c r="M127" s="1051" t="n"/>
      <c r="N127" s="454" t="n"/>
    </row>
    <row r="128" ht="15" customHeight="1">
      <c r="C128" s="458" t="n"/>
      <c r="D128" s="1050" t="n"/>
      <c r="E128" s="1050" t="n"/>
      <c r="F128" s="1052">
        <f>IFERROR(D128/$D$7-1,NA())</f>
        <v/>
      </c>
      <c r="G128" s="1052">
        <f>IFERROR(E128/$E$7-1,NA())</f>
        <v/>
      </c>
      <c r="H128" s="454" t="n"/>
      <c r="I128" s="458" t="n"/>
      <c r="J128" s="1050" t="n"/>
      <c r="K128" s="1050" t="n"/>
      <c r="L128" s="1051" t="n"/>
      <c r="M128" s="1051" t="n"/>
      <c r="N128" s="454" t="n"/>
    </row>
    <row r="129" ht="15" customHeight="1">
      <c r="C129" s="458" t="n"/>
      <c r="D129" s="1050" t="n"/>
      <c r="E129" s="1050" t="n"/>
      <c r="F129" s="1052">
        <f>IFERROR(D129/$D$7-1,NA())</f>
        <v/>
      </c>
      <c r="G129" s="1052">
        <f>IFERROR(E129/$E$7-1,NA())</f>
        <v/>
      </c>
      <c r="H129" s="454" t="n"/>
      <c r="I129" s="458" t="n"/>
      <c r="J129" s="1050" t="n"/>
      <c r="K129" s="1050" t="n"/>
      <c r="L129" s="1051" t="n"/>
      <c r="M129" s="1051" t="n"/>
      <c r="N129" s="454" t="n"/>
    </row>
    <row r="130" ht="15" customHeight="1">
      <c r="C130" s="458" t="n"/>
      <c r="D130" s="1050" t="n"/>
      <c r="E130" s="1050" t="n"/>
      <c r="F130" s="1052">
        <f>IFERROR(D130/$D$7-1,NA())</f>
        <v/>
      </c>
      <c r="G130" s="1052">
        <f>IFERROR(E130/$E$7-1,NA())</f>
        <v/>
      </c>
      <c r="H130" s="454" t="n"/>
      <c r="I130" s="458" t="n"/>
      <c r="J130" s="1050" t="n"/>
      <c r="K130" s="1050" t="n"/>
      <c r="L130" s="1051" t="n"/>
      <c r="M130" s="1051" t="n"/>
      <c r="N130" s="454" t="n"/>
    </row>
    <row r="131" ht="15" customHeight="1">
      <c r="C131" s="458" t="n"/>
      <c r="D131" s="1050" t="n"/>
      <c r="E131" s="1050" t="n"/>
      <c r="F131" s="1052">
        <f>IFERROR(D131/$D$7-1,NA())</f>
        <v/>
      </c>
      <c r="G131" s="1052">
        <f>IFERROR(E131/$E$7-1,NA())</f>
        <v/>
      </c>
      <c r="H131" s="454" t="n"/>
      <c r="I131" s="458" t="n"/>
      <c r="J131" s="1050" t="n"/>
      <c r="K131" s="1050" t="n"/>
      <c r="L131" s="1051" t="n"/>
      <c r="M131" s="1051" t="n"/>
      <c r="N131" s="454" t="n"/>
    </row>
    <row r="132" ht="15" customHeight="1">
      <c r="C132" s="458" t="n"/>
      <c r="D132" s="1050" t="n"/>
      <c r="E132" s="1050" t="n"/>
      <c r="F132" s="1052">
        <f>IFERROR(D132/$D$7-1,NA())</f>
        <v/>
      </c>
      <c r="G132" s="1052">
        <f>IFERROR(E132/$E$7-1,NA())</f>
        <v/>
      </c>
      <c r="H132" s="454" t="n"/>
      <c r="I132" s="458" t="n"/>
      <c r="J132" s="1050" t="n"/>
      <c r="K132" s="1050" t="n"/>
      <c r="L132" s="1051" t="n"/>
      <c r="M132" s="1051" t="n"/>
      <c r="N132" s="454" t="n"/>
    </row>
    <row r="133" ht="15" customHeight="1">
      <c r="C133" s="458" t="n"/>
      <c r="D133" s="1050" t="n"/>
      <c r="E133" s="1050" t="n"/>
      <c r="F133" s="1052">
        <f>IFERROR(D133/$D$7-1,NA())</f>
        <v/>
      </c>
      <c r="G133" s="1052">
        <f>IFERROR(E133/$E$7-1,NA())</f>
        <v/>
      </c>
      <c r="H133" s="454" t="n"/>
      <c r="I133" s="458" t="n"/>
      <c r="J133" s="1050" t="n"/>
      <c r="K133" s="1050" t="n"/>
      <c r="L133" s="1051" t="n"/>
      <c r="M133" s="1051" t="n"/>
      <c r="N133" s="454" t="n"/>
    </row>
    <row r="134" ht="15" customHeight="1">
      <c r="C134" s="458" t="n"/>
      <c r="D134" s="1050" t="n"/>
      <c r="E134" s="1050" t="n"/>
      <c r="F134" s="1052">
        <f>IFERROR(D134/$D$7-1,NA())</f>
        <v/>
      </c>
      <c r="G134" s="1052">
        <f>IFERROR(E134/$E$7-1,NA())</f>
        <v/>
      </c>
      <c r="H134" s="454" t="n"/>
      <c r="I134" s="458" t="n"/>
      <c r="J134" s="1050" t="n"/>
      <c r="K134" s="1050" t="n"/>
      <c r="L134" s="1051" t="n"/>
      <c r="M134" s="1051" t="n"/>
      <c r="N134" s="454" t="n"/>
    </row>
    <row r="135" ht="15" customHeight="1">
      <c r="C135" s="458" t="n"/>
      <c r="D135" s="1050" t="n"/>
      <c r="E135" s="1050" t="n"/>
      <c r="F135" s="1052">
        <f>IFERROR(D135/$D$7-1,NA())</f>
        <v/>
      </c>
      <c r="G135" s="1052">
        <f>IFERROR(E135/$E$7-1,NA())</f>
        <v/>
      </c>
      <c r="H135" s="454" t="n"/>
      <c r="I135" s="458" t="n"/>
      <c r="J135" s="1050" t="n"/>
      <c r="K135" s="1050" t="n"/>
      <c r="L135" s="1051" t="n"/>
      <c r="M135" s="1051" t="n"/>
      <c r="N135" s="454" t="n"/>
    </row>
    <row r="136" ht="15" customHeight="1">
      <c r="C136" s="458" t="n"/>
      <c r="D136" s="1050" t="n"/>
      <c r="E136" s="1050" t="n"/>
      <c r="F136" s="1052">
        <f>IFERROR(D136/$D$7-1,NA())</f>
        <v/>
      </c>
      <c r="G136" s="1052">
        <f>IFERROR(E136/$E$7-1,NA())</f>
        <v/>
      </c>
      <c r="H136" s="454" t="n"/>
      <c r="I136" s="458" t="n"/>
      <c r="J136" s="1050" t="n"/>
      <c r="K136" s="1050" t="n"/>
      <c r="L136" s="1051" t="n"/>
      <c r="M136" s="1051" t="n"/>
      <c r="N136" s="454" t="n"/>
    </row>
    <row r="137" ht="15" customHeight="1">
      <c r="C137" s="458" t="n"/>
      <c r="D137" s="1050" t="n"/>
      <c r="E137" s="1050" t="n"/>
      <c r="F137" s="1052">
        <f>IFERROR(D137/$D$7-1,NA())</f>
        <v/>
      </c>
      <c r="G137" s="1052">
        <f>IFERROR(E137/$E$7-1,NA())</f>
        <v/>
      </c>
      <c r="H137" s="454" t="n"/>
      <c r="I137" s="458" t="n"/>
      <c r="J137" s="1050" t="n"/>
      <c r="K137" s="1050" t="n"/>
      <c r="L137" s="1051" t="n"/>
      <c r="M137" s="1051" t="n"/>
      <c r="N137" s="454" t="n"/>
    </row>
    <row r="138" ht="15" customHeight="1">
      <c r="C138" s="458" t="n"/>
      <c r="D138" s="1050" t="n"/>
      <c r="E138" s="1050" t="n"/>
      <c r="F138" s="1052">
        <f>IFERROR(D138/$D$7-1,NA())</f>
        <v/>
      </c>
      <c r="G138" s="1052">
        <f>IFERROR(E138/$E$7-1,NA())</f>
        <v/>
      </c>
      <c r="H138" s="454" t="n"/>
      <c r="I138" s="458" t="n"/>
      <c r="J138" s="1050" t="n"/>
      <c r="K138" s="1050" t="n"/>
      <c r="L138" s="1051" t="n"/>
      <c r="M138" s="1051" t="n"/>
      <c r="N138" s="454" t="n"/>
    </row>
    <row r="139" ht="15" customHeight="1">
      <c r="C139" s="458" t="n"/>
      <c r="D139" s="1050" t="n"/>
      <c r="E139" s="1050" t="n"/>
      <c r="F139" s="1052">
        <f>IFERROR(D139/$D$7-1,NA())</f>
        <v/>
      </c>
      <c r="G139" s="1052">
        <f>IFERROR(E139/$E$7-1,NA())</f>
        <v/>
      </c>
      <c r="H139" s="454" t="n"/>
      <c r="I139" s="458" t="n"/>
      <c r="J139" s="1050" t="n"/>
      <c r="K139" s="1050" t="n"/>
      <c r="L139" s="1051" t="n"/>
      <c r="M139" s="1051" t="n"/>
      <c r="N139" s="454" t="n"/>
    </row>
    <row r="140" ht="15" customHeight="1">
      <c r="C140" s="458" t="n"/>
      <c r="D140" s="1050" t="n"/>
      <c r="E140" s="1050" t="n"/>
      <c r="F140" s="1052">
        <f>IFERROR(D140/$D$7-1,NA())</f>
        <v/>
      </c>
      <c r="G140" s="1052">
        <f>IFERROR(E140/$E$7-1,NA())</f>
        <v/>
      </c>
      <c r="H140" s="454" t="n"/>
      <c r="I140" s="458" t="n"/>
      <c r="J140" s="1050" t="n"/>
      <c r="K140" s="1050" t="n"/>
      <c r="L140" s="1051" t="n"/>
      <c r="M140" s="1051" t="n"/>
      <c r="N140" s="454" t="n"/>
    </row>
    <row r="141" ht="15" customHeight="1">
      <c r="C141" s="458" t="n"/>
      <c r="D141" s="1050" t="n"/>
      <c r="E141" s="1050" t="n"/>
      <c r="F141" s="1052">
        <f>IFERROR(D141/$D$7-1,NA())</f>
        <v/>
      </c>
      <c r="G141" s="1052">
        <f>IFERROR(E141/$E$7-1,NA())</f>
        <v/>
      </c>
      <c r="H141" s="454" t="n"/>
      <c r="I141" s="458" t="n"/>
      <c r="J141" s="1050" t="n"/>
      <c r="K141" s="1050" t="n"/>
      <c r="L141" s="1051" t="n"/>
      <c r="M141" s="1051" t="n"/>
      <c r="N141" s="454" t="n"/>
    </row>
    <row r="142" ht="15" customHeight="1">
      <c r="C142" s="458" t="n"/>
      <c r="D142" s="1050" t="n"/>
      <c r="E142" s="1050" t="n"/>
      <c r="F142" s="1052">
        <f>IFERROR(D142/$D$7-1,NA())</f>
        <v/>
      </c>
      <c r="G142" s="1052">
        <f>IFERROR(E142/$E$7-1,NA())</f>
        <v/>
      </c>
      <c r="H142" s="454" t="n"/>
      <c r="I142" s="458" t="n"/>
      <c r="J142" s="1050" t="n"/>
      <c r="K142" s="1050" t="n"/>
      <c r="L142" s="1051" t="n"/>
      <c r="M142" s="1051" t="n"/>
      <c r="N142" s="454" t="n"/>
    </row>
    <row r="143" ht="15" customHeight="1">
      <c r="C143" s="458" t="n"/>
      <c r="D143" s="1050" t="n"/>
      <c r="E143" s="1050" t="n"/>
      <c r="F143" s="1052">
        <f>IFERROR(D143/$D$7-1,NA())</f>
        <v/>
      </c>
      <c r="G143" s="1052">
        <f>IFERROR(E143/$E$7-1,NA())</f>
        <v/>
      </c>
      <c r="H143" s="454" t="n"/>
      <c r="I143" s="458" t="n"/>
      <c r="J143" s="1050" t="n"/>
      <c r="K143" s="1050" t="n"/>
      <c r="L143" s="1051" t="n"/>
      <c r="M143" s="1051" t="n"/>
      <c r="N143" s="454" t="n"/>
    </row>
    <row r="144" ht="15" customHeight="1">
      <c r="C144" s="458" t="n"/>
      <c r="D144" s="1050" t="n"/>
      <c r="E144" s="1050" t="n"/>
      <c r="F144" s="1052">
        <f>IFERROR(D144/$D$7-1,NA())</f>
        <v/>
      </c>
      <c r="G144" s="1052">
        <f>IFERROR(E144/$E$7-1,NA())</f>
        <v/>
      </c>
      <c r="H144" s="454" t="n"/>
      <c r="I144" s="458" t="n"/>
      <c r="J144" s="1050" t="n"/>
      <c r="K144" s="1050" t="n"/>
      <c r="L144" s="1051" t="n"/>
      <c r="M144" s="1051" t="n"/>
      <c r="N144" s="454" t="n"/>
    </row>
    <row r="145" ht="15" customHeight="1">
      <c r="C145" s="458" t="n"/>
      <c r="D145" s="1050" t="n"/>
      <c r="E145" s="1050" t="n"/>
      <c r="F145" s="1052">
        <f>IFERROR(D145/$D$7-1,NA())</f>
        <v/>
      </c>
      <c r="G145" s="1052">
        <f>IFERROR(E145/$E$7-1,NA())</f>
        <v/>
      </c>
      <c r="H145" s="454" t="n"/>
      <c r="I145" s="458" t="n"/>
      <c r="J145" s="1050" t="n"/>
      <c r="K145" s="1050" t="n"/>
      <c r="L145" s="1051" t="n"/>
      <c r="M145" s="1051" t="n"/>
      <c r="N145" s="454" t="n"/>
    </row>
    <row r="146" ht="15" customHeight="1">
      <c r="C146" s="458" t="n"/>
      <c r="D146" s="1050" t="n"/>
      <c r="E146" s="1050" t="n"/>
      <c r="F146" s="1052">
        <f>IFERROR(D146/$D$7-1,NA())</f>
        <v/>
      </c>
      <c r="G146" s="1052">
        <f>IFERROR(E146/$E$7-1,NA())</f>
        <v/>
      </c>
      <c r="H146" s="454" t="n"/>
      <c r="I146" s="458" t="n"/>
      <c r="J146" s="1050" t="n"/>
      <c r="K146" s="1050" t="n"/>
      <c r="L146" s="1051" t="n"/>
      <c r="M146" s="1051" t="n"/>
      <c r="N146" s="454" t="n"/>
    </row>
    <row r="147" ht="15" customHeight="1">
      <c r="C147" s="458" t="n"/>
      <c r="D147" s="1050" t="n"/>
      <c r="E147" s="1050" t="n"/>
      <c r="F147" s="1052">
        <f>IFERROR(D147/$D$7-1,NA())</f>
        <v/>
      </c>
      <c r="G147" s="1052">
        <f>IFERROR(E147/$E$7-1,NA())</f>
        <v/>
      </c>
      <c r="H147" s="454" t="n"/>
      <c r="I147" s="458" t="n"/>
      <c r="J147" s="1050" t="n"/>
      <c r="K147" s="1050" t="n"/>
      <c r="L147" s="1051" t="n"/>
      <c r="M147" s="1051" t="n"/>
      <c r="N147" s="454" t="n"/>
    </row>
    <row r="148" ht="15" customHeight="1">
      <c r="C148" s="458" t="n"/>
      <c r="D148" s="1050" t="n"/>
      <c r="E148" s="1050" t="n"/>
      <c r="F148" s="1052">
        <f>IFERROR(D148/$D$7-1,NA())</f>
        <v/>
      </c>
      <c r="G148" s="1052">
        <f>IFERROR(E148/$E$7-1,NA())</f>
        <v/>
      </c>
      <c r="H148" s="454" t="n"/>
      <c r="I148" s="458" t="n"/>
      <c r="J148" s="1050" t="n"/>
      <c r="K148" s="1050" t="n"/>
      <c r="L148" s="1051" t="n"/>
      <c r="M148" s="1051" t="n"/>
      <c r="N148" s="454" t="n"/>
    </row>
    <row r="149" ht="15" customHeight="1">
      <c r="C149" s="458" t="n"/>
      <c r="D149" s="1050" t="n"/>
      <c r="E149" s="1050" t="n"/>
      <c r="F149" s="1052">
        <f>IFERROR(D149/$D$7-1,NA())</f>
        <v/>
      </c>
      <c r="G149" s="1052">
        <f>IFERROR(E149/$E$7-1,NA())</f>
        <v/>
      </c>
      <c r="H149" s="454" t="n"/>
      <c r="I149" s="458" t="n"/>
      <c r="J149" s="1050" t="n"/>
      <c r="K149" s="1050" t="n"/>
      <c r="L149" s="1051" t="n"/>
      <c r="M149" s="1051" t="n"/>
      <c r="N149" s="454" t="n"/>
    </row>
    <row r="150" ht="15" customHeight="1">
      <c r="C150" s="458" t="n"/>
      <c r="D150" s="1050" t="n"/>
      <c r="E150" s="1050" t="n"/>
      <c r="F150" s="1052">
        <f>IFERROR(D150/$D$7-1,NA())</f>
        <v/>
      </c>
      <c r="G150" s="1052">
        <f>IFERROR(E150/$E$7-1,NA())</f>
        <v/>
      </c>
      <c r="H150" s="454" t="n"/>
      <c r="I150" s="458" t="n"/>
      <c r="J150" s="1050" t="n"/>
      <c r="K150" s="1050" t="n"/>
      <c r="L150" s="1051" t="n"/>
      <c r="M150" s="1051" t="n"/>
      <c r="N150" s="454" t="n"/>
    </row>
    <row r="151" ht="15" customHeight="1">
      <c r="C151" s="458" t="n"/>
      <c r="D151" s="1050" t="n"/>
      <c r="E151" s="1050" t="n"/>
      <c r="F151" s="1052">
        <f>IFERROR(D151/$D$7-1,NA())</f>
        <v/>
      </c>
      <c r="G151" s="1052">
        <f>IFERROR(E151/$E$7-1,NA())</f>
        <v/>
      </c>
      <c r="H151" s="454" t="n"/>
      <c r="I151" s="458" t="n"/>
      <c r="J151" s="1050" t="n"/>
      <c r="K151" s="1050" t="n"/>
      <c r="L151" s="1051" t="n"/>
      <c r="M151" s="1051" t="n"/>
      <c r="N151" s="454" t="n"/>
    </row>
    <row r="152" ht="15" customHeight="1">
      <c r="C152" s="458" t="n"/>
      <c r="D152" s="1050" t="n"/>
      <c r="E152" s="1050" t="n"/>
      <c r="F152" s="1052">
        <f>IFERROR(D152/$D$7-1,NA())</f>
        <v/>
      </c>
      <c r="G152" s="1052">
        <f>IFERROR(E152/$E$7-1,NA())</f>
        <v/>
      </c>
      <c r="H152" s="454" t="n"/>
      <c r="I152" s="458" t="n"/>
      <c r="J152" s="1050" t="n"/>
      <c r="K152" s="1050" t="n"/>
      <c r="L152" s="1051" t="n"/>
      <c r="M152" s="1051" t="n"/>
      <c r="N152" s="454" t="n"/>
    </row>
    <row r="153" ht="15" customHeight="1">
      <c r="C153" s="458" t="n"/>
      <c r="D153" s="1050" t="n"/>
      <c r="E153" s="1050" t="n"/>
      <c r="F153" s="1052">
        <f>IFERROR(D153/$D$7-1,NA())</f>
        <v/>
      </c>
      <c r="G153" s="1052">
        <f>IFERROR(E153/$E$7-1,NA())</f>
        <v/>
      </c>
      <c r="H153" s="454" t="n"/>
      <c r="I153" s="458" t="n"/>
      <c r="J153" s="1050" t="n"/>
      <c r="K153" s="1050" t="n"/>
      <c r="L153" s="1051" t="n"/>
      <c r="M153" s="1051" t="n"/>
      <c r="N153" s="454" t="n"/>
    </row>
    <row r="154" ht="15" customHeight="1">
      <c r="C154" s="458" t="n"/>
      <c r="D154" s="1050" t="n"/>
      <c r="E154" s="1050" t="n"/>
      <c r="F154" s="1052">
        <f>IFERROR(D154/$D$7-1,NA())</f>
        <v/>
      </c>
      <c r="G154" s="1052">
        <f>IFERROR(E154/$E$7-1,NA())</f>
        <v/>
      </c>
      <c r="H154" s="454" t="n"/>
      <c r="I154" s="458" t="n"/>
      <c r="J154" s="1050" t="n"/>
      <c r="K154" s="1050" t="n"/>
      <c r="L154" s="1051" t="n"/>
      <c r="M154" s="1051" t="n"/>
      <c r="N154" s="454" t="n"/>
    </row>
    <row r="155" ht="15" customHeight="1">
      <c r="C155" s="458" t="n"/>
      <c r="D155" s="1050" t="n"/>
      <c r="E155" s="1050" t="n"/>
      <c r="F155" s="1052">
        <f>IFERROR(D155/$D$7-1,NA())</f>
        <v/>
      </c>
      <c r="G155" s="1052">
        <f>IFERROR(E155/$E$7-1,NA())</f>
        <v/>
      </c>
      <c r="H155" s="454" t="n"/>
      <c r="I155" s="458" t="n"/>
      <c r="J155" s="1050" t="n"/>
      <c r="K155" s="1050" t="n"/>
      <c r="L155" s="1051" t="n"/>
      <c r="M155" s="1051" t="n"/>
      <c r="N155" s="454" t="n"/>
    </row>
    <row r="156" ht="15" customHeight="1">
      <c r="C156" s="458" t="n"/>
      <c r="D156" s="1050" t="n"/>
      <c r="E156" s="1050" t="n"/>
      <c r="F156" s="1052">
        <f>IFERROR(D156/$D$7-1,NA())</f>
        <v/>
      </c>
      <c r="G156" s="1052">
        <f>IFERROR(E156/$E$7-1,NA())</f>
        <v/>
      </c>
      <c r="H156" s="454" t="n"/>
      <c r="I156" s="458" t="n"/>
      <c r="J156" s="1050" t="n"/>
      <c r="K156" s="1050" t="n"/>
      <c r="L156" s="1051" t="n"/>
      <c r="M156" s="1051" t="n"/>
      <c r="N156" s="454" t="n"/>
    </row>
    <row r="157" ht="15" customHeight="1">
      <c r="C157" s="458" t="n"/>
      <c r="D157" s="1050" t="n"/>
      <c r="E157" s="1050" t="n"/>
      <c r="F157" s="1052">
        <f>IFERROR(D157/$D$7-1,NA())</f>
        <v/>
      </c>
      <c r="G157" s="1052">
        <f>IFERROR(E157/$E$7-1,NA())</f>
        <v/>
      </c>
      <c r="H157" s="454" t="n"/>
      <c r="I157" s="458" t="n"/>
      <c r="J157" s="1050" t="n"/>
      <c r="K157" s="1050" t="n"/>
      <c r="L157" s="1051" t="n"/>
      <c r="M157" s="1051" t="n"/>
      <c r="N157" s="454" t="n"/>
    </row>
    <row r="158" ht="15" customHeight="1">
      <c r="C158" s="458" t="n"/>
      <c r="D158" s="1050" t="n"/>
      <c r="E158" s="1050" t="n"/>
      <c r="F158" s="1052">
        <f>IFERROR(D158/$D$7-1,NA())</f>
        <v/>
      </c>
      <c r="G158" s="1052">
        <f>IFERROR(E158/$E$7-1,NA())</f>
        <v/>
      </c>
      <c r="H158" s="454" t="n"/>
      <c r="I158" s="458" t="n"/>
      <c r="J158" s="1050" t="n"/>
      <c r="K158" s="1050" t="n"/>
      <c r="L158" s="1051" t="n"/>
      <c r="M158" s="1051" t="n"/>
      <c r="N158" s="454" t="n"/>
    </row>
    <row r="159" ht="15" customHeight="1">
      <c r="C159" s="458" t="n"/>
      <c r="D159" s="1050" t="n"/>
      <c r="E159" s="1050" t="n"/>
      <c r="F159" s="1052">
        <f>IFERROR(D159/$D$7-1,NA())</f>
        <v/>
      </c>
      <c r="G159" s="1052">
        <f>IFERROR(E159/$E$7-1,NA())</f>
        <v/>
      </c>
      <c r="H159" s="454" t="n"/>
      <c r="I159" s="458" t="n"/>
      <c r="J159" s="1050" t="n"/>
      <c r="K159" s="1050" t="n"/>
      <c r="L159" s="1051" t="n"/>
      <c r="M159" s="1051" t="n"/>
      <c r="N159" s="454" t="n"/>
    </row>
    <row r="160" ht="15" customHeight="1">
      <c r="C160" s="458" t="n"/>
      <c r="D160" s="1050" t="n"/>
      <c r="E160" s="1050" t="n"/>
      <c r="F160" s="1052">
        <f>IFERROR(D160/$D$7-1,NA())</f>
        <v/>
      </c>
      <c r="G160" s="1052">
        <f>IFERROR(E160/$E$7-1,NA())</f>
        <v/>
      </c>
      <c r="H160" s="454" t="n"/>
      <c r="I160" s="458" t="n"/>
      <c r="J160" s="1050" t="n"/>
      <c r="K160" s="1050" t="n"/>
      <c r="L160" s="1051" t="n"/>
      <c r="M160" s="1051" t="n"/>
      <c r="N160" s="454" t="n"/>
    </row>
    <row r="161" ht="15" customHeight="1">
      <c r="C161" s="458" t="n"/>
      <c r="D161" s="1050" t="n"/>
      <c r="E161" s="1050" t="n"/>
      <c r="F161" s="1052">
        <f>IFERROR(D161/$D$7-1,NA())</f>
        <v/>
      </c>
      <c r="G161" s="1052">
        <f>IFERROR(E161/$E$7-1,NA())</f>
        <v/>
      </c>
      <c r="H161" s="454" t="n"/>
      <c r="I161" s="458" t="n"/>
      <c r="J161" s="1050" t="n"/>
      <c r="K161" s="1050" t="n"/>
      <c r="L161" s="1051" t="n"/>
      <c r="M161" s="1051" t="n"/>
      <c r="N161" s="454" t="n"/>
    </row>
    <row r="162" ht="15" customHeight="1">
      <c r="C162" s="458" t="n"/>
      <c r="D162" s="1050" t="n"/>
      <c r="E162" s="1050" t="n"/>
      <c r="F162" s="1052">
        <f>IFERROR(D162/$D$7-1,NA())</f>
        <v/>
      </c>
      <c r="G162" s="1052">
        <f>IFERROR(E162/$E$7-1,NA())</f>
        <v/>
      </c>
      <c r="H162" s="454" t="n"/>
      <c r="I162" s="458" t="n"/>
      <c r="J162" s="1050" t="n"/>
      <c r="K162" s="1050" t="n"/>
      <c r="L162" s="1051" t="n"/>
      <c r="M162" s="1051" t="n"/>
      <c r="N162" s="454" t="n"/>
    </row>
    <row r="163" ht="15" customHeight="1">
      <c r="C163" s="458" t="n"/>
      <c r="D163" s="1050" t="n"/>
      <c r="E163" s="1050" t="n"/>
      <c r="F163" s="1052">
        <f>IFERROR(D163/$D$7-1,NA())</f>
        <v/>
      </c>
      <c r="G163" s="1052">
        <f>IFERROR(E163/$E$7-1,NA())</f>
        <v/>
      </c>
      <c r="H163" s="454" t="n"/>
      <c r="I163" s="458" t="n"/>
      <c r="J163" s="1050" t="n"/>
      <c r="K163" s="1050" t="n"/>
      <c r="L163" s="1051" t="n"/>
      <c r="M163" s="1051" t="n"/>
      <c r="N163" s="454" t="n"/>
    </row>
    <row r="164" ht="15" customHeight="1">
      <c r="C164" s="458" t="n"/>
      <c r="D164" s="1050" t="n"/>
      <c r="E164" s="1050" t="n"/>
      <c r="F164" s="1052">
        <f>IFERROR(D164/$D$7-1,NA())</f>
        <v/>
      </c>
      <c r="G164" s="1052">
        <f>IFERROR(E164/$E$7-1,NA())</f>
        <v/>
      </c>
      <c r="H164" s="454" t="n"/>
      <c r="I164" s="458" t="n"/>
      <c r="J164" s="1050" t="n"/>
      <c r="K164" s="1050" t="n"/>
      <c r="L164" s="1051" t="n"/>
      <c r="M164" s="1051" t="n"/>
      <c r="N164" s="454" t="n"/>
    </row>
    <row r="165" ht="15" customHeight="1">
      <c r="C165" s="458" t="n"/>
      <c r="D165" s="1050" t="n"/>
      <c r="E165" s="1050" t="n"/>
      <c r="F165" s="1052">
        <f>IFERROR(D165/$D$7-1,NA())</f>
        <v/>
      </c>
      <c r="G165" s="1052">
        <f>IFERROR(E165/$E$7-1,NA())</f>
        <v/>
      </c>
      <c r="H165" s="454" t="n"/>
      <c r="I165" s="458" t="n"/>
      <c r="J165" s="1050" t="n"/>
      <c r="K165" s="1050" t="n"/>
      <c r="L165" s="1051" t="n"/>
      <c r="M165" s="1051" t="n"/>
      <c r="N165" s="454" t="n"/>
    </row>
    <row r="166" ht="15" customHeight="1">
      <c r="C166" s="458" t="n"/>
      <c r="D166" s="1050" t="n"/>
      <c r="E166" s="1050" t="n"/>
      <c r="F166" s="1052">
        <f>IFERROR(D166/$D$7-1,NA())</f>
        <v/>
      </c>
      <c r="G166" s="1052">
        <f>IFERROR(E166/$E$7-1,NA())</f>
        <v/>
      </c>
      <c r="H166" s="454" t="n"/>
      <c r="I166" s="454" t="n"/>
      <c r="J166" s="454" t="n"/>
      <c r="K166" s="454" t="n"/>
      <c r="L166" s="454" t="n"/>
      <c r="M166" s="454" t="n"/>
      <c r="N166" s="454" t="n"/>
    </row>
    <row r="167" ht="15" customHeight="1">
      <c r="C167" s="458" t="n"/>
      <c r="D167" s="1050" t="n"/>
      <c r="E167" s="1050" t="n"/>
      <c r="F167" s="1052">
        <f>IFERROR(D167/$D$7-1,NA())</f>
        <v/>
      </c>
      <c r="G167" s="1052">
        <f>IFERROR(E167/$E$7-1,NA())</f>
        <v/>
      </c>
      <c r="H167" s="454" t="n"/>
      <c r="I167" s="454" t="n"/>
      <c r="J167" s="454" t="n"/>
      <c r="K167" s="454" t="n"/>
      <c r="L167" s="454" t="n"/>
      <c r="M167" s="454" t="n"/>
      <c r="N167" s="454" t="n"/>
    </row>
    <row r="168" ht="15" customHeight="1">
      <c r="C168" s="458" t="n"/>
      <c r="D168" s="1050" t="n"/>
      <c r="E168" s="1050" t="n"/>
      <c r="F168" s="1052">
        <f>IFERROR(D168/$D$7-1,NA())</f>
        <v/>
      </c>
      <c r="G168" s="1052">
        <f>IFERROR(E168/$E$7-1,NA())</f>
        <v/>
      </c>
      <c r="H168" s="454" t="n"/>
      <c r="I168" s="454" t="n"/>
      <c r="J168" s="454" t="n"/>
      <c r="K168" s="454" t="n"/>
      <c r="L168" s="454" t="n"/>
      <c r="M168" s="454" t="n"/>
      <c r="N168" s="454" t="n"/>
    </row>
    <row r="169" ht="15" customHeight="1">
      <c r="C169" s="458" t="n"/>
      <c r="D169" s="1050" t="n"/>
      <c r="E169" s="1050" t="n"/>
      <c r="F169" s="1052">
        <f>IFERROR(D169/$D$7-1,NA())</f>
        <v/>
      </c>
      <c r="G169" s="1052">
        <f>IFERROR(E169/$E$7-1,NA())</f>
        <v/>
      </c>
      <c r="H169" s="454" t="n"/>
      <c r="I169" s="454" t="n"/>
      <c r="J169" s="454" t="n"/>
      <c r="K169" s="454" t="n"/>
      <c r="L169" s="454" t="n"/>
      <c r="M169" s="454" t="n"/>
      <c r="N169" s="454" t="n"/>
    </row>
    <row r="170" ht="15" customHeight="1">
      <c r="C170" s="458" t="n"/>
      <c r="D170" s="1050" t="n"/>
      <c r="E170" s="1050" t="n"/>
      <c r="F170" s="1052">
        <f>IFERROR(D170/$D$7-1,NA())</f>
        <v/>
      </c>
      <c r="G170" s="1052">
        <f>IFERROR(E170/$E$7-1,NA())</f>
        <v/>
      </c>
      <c r="H170" s="454" t="n"/>
      <c r="I170" s="454" t="n"/>
      <c r="J170" s="454" t="n"/>
      <c r="K170" s="454" t="n"/>
      <c r="L170" s="454" t="n"/>
      <c r="M170" s="454" t="n"/>
      <c r="N170" s="454" t="n"/>
    </row>
    <row r="171" ht="15" customHeight="1">
      <c r="C171" s="458" t="n"/>
      <c r="D171" s="1050" t="n"/>
      <c r="E171" s="1050" t="n"/>
      <c r="F171" s="1052">
        <f>IFERROR(D171/$D$7-1,NA())</f>
        <v/>
      </c>
      <c r="G171" s="1052">
        <f>IFERROR(E171/$E$7-1,NA())</f>
        <v/>
      </c>
      <c r="H171" s="454" t="n"/>
      <c r="I171" s="454" t="n"/>
      <c r="J171" s="454" t="n"/>
      <c r="K171" s="454" t="n"/>
      <c r="L171" s="454" t="n"/>
      <c r="M171" s="454" t="n"/>
      <c r="N171" s="454" t="n"/>
    </row>
    <row r="172" ht="15" customHeight="1">
      <c r="C172" s="458" t="n"/>
      <c r="D172" s="1050" t="n"/>
      <c r="E172" s="1050" t="n"/>
      <c r="F172" s="1052">
        <f>IFERROR(D172/$D$7-1,NA())</f>
        <v/>
      </c>
      <c r="G172" s="1052">
        <f>IFERROR(E172/$E$7-1,NA())</f>
        <v/>
      </c>
      <c r="H172" s="454" t="n"/>
      <c r="I172" s="454" t="n"/>
      <c r="J172" s="454" t="n"/>
      <c r="K172" s="454" t="n"/>
      <c r="L172" s="454" t="n"/>
      <c r="M172" s="454" t="n"/>
      <c r="N172" s="454" t="n"/>
    </row>
    <row r="173" ht="15" customHeight="1">
      <c r="C173" s="458" t="n"/>
      <c r="D173" s="1050" t="n"/>
      <c r="E173" s="1050" t="n"/>
      <c r="F173" s="1052">
        <f>IFERROR(D173/$D$7-1,NA())</f>
        <v/>
      </c>
      <c r="G173" s="1052">
        <f>IFERROR(E173/$E$7-1,NA())</f>
        <v/>
      </c>
      <c r="H173" s="454" t="n"/>
      <c r="I173" s="454" t="n"/>
      <c r="J173" s="454" t="n"/>
      <c r="K173" s="454" t="n"/>
      <c r="L173" s="454" t="n"/>
      <c r="M173" s="454" t="n"/>
      <c r="N173" s="454" t="n"/>
    </row>
    <row r="174" ht="15" customHeight="1">
      <c r="C174" s="458" t="n"/>
      <c r="D174" s="1050" t="n"/>
      <c r="E174" s="1050" t="n"/>
      <c r="F174" s="1052">
        <f>IFERROR(D174/$D$7-1,NA())</f>
        <v/>
      </c>
      <c r="G174" s="1052">
        <f>IFERROR(E174/$E$7-1,NA())</f>
        <v/>
      </c>
      <c r="H174" s="454" t="n"/>
      <c r="I174" s="454" t="n"/>
      <c r="J174" s="454" t="n"/>
      <c r="K174" s="454" t="n"/>
      <c r="L174" s="454" t="n"/>
      <c r="M174" s="454" t="n"/>
      <c r="N174" s="454" t="n"/>
    </row>
    <row r="175" ht="15" customHeight="1">
      <c r="C175" s="458" t="n"/>
      <c r="D175" s="1050" t="n"/>
      <c r="E175" s="1050" t="n"/>
      <c r="F175" s="1052">
        <f>IFERROR(D175/$D$7-1,NA())</f>
        <v/>
      </c>
      <c r="G175" s="1052">
        <f>IFERROR(E175/$E$7-1,NA())</f>
        <v/>
      </c>
      <c r="H175" s="454" t="n"/>
      <c r="I175" s="454" t="n"/>
      <c r="J175" s="454" t="n"/>
      <c r="K175" s="454" t="n"/>
      <c r="L175" s="454" t="n"/>
      <c r="M175" s="454" t="n"/>
      <c r="N175" s="454" t="n"/>
    </row>
    <row r="176" ht="15" customHeight="1">
      <c r="C176" s="458" t="n"/>
      <c r="D176" s="1050" t="n"/>
      <c r="E176" s="1050" t="n"/>
      <c r="F176" s="1052">
        <f>IFERROR(D176/$D$7-1,NA())</f>
        <v/>
      </c>
      <c r="G176" s="1052">
        <f>IFERROR(E176/$E$7-1,NA())</f>
        <v/>
      </c>
      <c r="H176" s="454" t="n"/>
      <c r="I176" s="454" t="n"/>
      <c r="J176" s="454" t="n"/>
      <c r="K176" s="454" t="n"/>
      <c r="L176" s="454" t="n"/>
      <c r="M176" s="454" t="n"/>
      <c r="N176" s="454" t="n"/>
    </row>
    <row r="177" ht="15" customHeight="1">
      <c r="C177" s="458" t="n"/>
      <c r="D177" s="1050" t="n"/>
      <c r="E177" s="1050" t="n"/>
      <c r="F177" s="1052">
        <f>IFERROR(D177/$D$7-1,NA())</f>
        <v/>
      </c>
      <c r="G177" s="1052">
        <f>IFERROR(E177/$E$7-1,NA())</f>
        <v/>
      </c>
      <c r="H177" s="454" t="n"/>
      <c r="I177" s="454" t="n"/>
      <c r="J177" s="454" t="n"/>
      <c r="K177" s="454" t="n"/>
      <c r="L177" s="454" t="n"/>
      <c r="M177" s="454" t="n"/>
      <c r="N177" s="454" t="n"/>
    </row>
    <row r="178" ht="15" customHeight="1">
      <c r="C178" s="458" t="n"/>
      <c r="D178" s="1050" t="n"/>
      <c r="E178" s="1050" t="n"/>
      <c r="F178" s="1052">
        <f>IFERROR(D178/$D$7-1,NA())</f>
        <v/>
      </c>
      <c r="G178" s="1052">
        <f>IFERROR(E178/$E$7-1,NA())</f>
        <v/>
      </c>
      <c r="H178" s="454" t="n"/>
      <c r="I178" s="454" t="n"/>
      <c r="J178" s="454" t="n"/>
      <c r="K178" s="454" t="n"/>
      <c r="L178" s="454" t="n"/>
      <c r="M178" s="454" t="n"/>
      <c r="N178" s="454" t="n"/>
    </row>
    <row r="179" ht="15" customHeight="1">
      <c r="C179" s="458" t="n"/>
      <c r="D179" s="1050" t="n"/>
      <c r="E179" s="1050" t="n"/>
      <c r="F179" s="1052">
        <f>IFERROR(D179/$D$7-1,NA())</f>
        <v/>
      </c>
      <c r="G179" s="1052">
        <f>IFERROR(E179/$E$7-1,NA())</f>
        <v/>
      </c>
      <c r="H179" s="454" t="n"/>
      <c r="I179" s="454" t="n"/>
      <c r="J179" s="454" t="n"/>
      <c r="K179" s="454" t="n"/>
      <c r="L179" s="454" t="n"/>
      <c r="M179" s="454" t="n"/>
      <c r="N179" s="454" t="n"/>
    </row>
    <row r="180" ht="15" customHeight="1">
      <c r="C180" s="458" t="n"/>
      <c r="D180" s="1050" t="n"/>
      <c r="E180" s="1050" t="n"/>
      <c r="F180" s="1052">
        <f>IFERROR(D180/$D$7-1,NA())</f>
        <v/>
      </c>
      <c r="G180" s="1052">
        <f>IFERROR(E180/$E$7-1,NA())</f>
        <v/>
      </c>
      <c r="H180" s="454" t="n"/>
      <c r="I180" s="454" t="n"/>
      <c r="J180" s="454" t="n"/>
      <c r="K180" s="454" t="n"/>
      <c r="L180" s="454" t="n"/>
      <c r="M180" s="454" t="n"/>
      <c r="N180" s="454" t="n"/>
    </row>
    <row r="181" ht="15" customHeight="1">
      <c r="C181" s="458" t="n"/>
      <c r="D181" s="1050" t="n"/>
      <c r="E181" s="1050" t="n"/>
      <c r="F181" s="1052">
        <f>IFERROR(D181/$D$7-1,NA())</f>
        <v/>
      </c>
      <c r="G181" s="1052">
        <f>IFERROR(E181/$E$7-1,NA())</f>
        <v/>
      </c>
      <c r="H181" s="454" t="n"/>
      <c r="I181" s="454" t="n"/>
      <c r="J181" s="454" t="n"/>
      <c r="K181" s="454" t="n"/>
      <c r="L181" s="454" t="n"/>
      <c r="M181" s="454" t="n"/>
      <c r="N181" s="454" t="n"/>
    </row>
    <row r="182" ht="15" customHeight="1">
      <c r="C182" s="458" t="n"/>
      <c r="D182" s="1050" t="n"/>
      <c r="E182" s="1050" t="n"/>
      <c r="F182" s="1052">
        <f>IFERROR(D182/$D$7-1,NA())</f>
        <v/>
      </c>
      <c r="G182" s="1052">
        <f>IFERROR(E182/$E$7-1,NA())</f>
        <v/>
      </c>
      <c r="H182" s="454" t="n"/>
      <c r="I182" s="454" t="n"/>
      <c r="J182" s="454" t="n"/>
      <c r="K182" s="454" t="n"/>
      <c r="L182" s="454" t="n"/>
      <c r="M182" s="454" t="n"/>
      <c r="N182" s="454" t="n"/>
    </row>
    <row r="183" ht="15" customHeight="1">
      <c r="C183" s="458" t="n"/>
      <c r="D183" s="1050" t="n"/>
      <c r="E183" s="1050" t="n"/>
      <c r="F183" s="1052">
        <f>IFERROR(D183/$D$7-1,NA())</f>
        <v/>
      </c>
      <c r="G183" s="1052">
        <f>IFERROR(E183/$E$7-1,NA())</f>
        <v/>
      </c>
      <c r="H183" s="454" t="n"/>
      <c r="I183" s="454" t="n"/>
      <c r="J183" s="454" t="n"/>
      <c r="K183" s="454" t="n"/>
      <c r="L183" s="454" t="n"/>
      <c r="M183" s="454" t="n"/>
      <c r="N183" s="454" t="n"/>
    </row>
    <row r="184" ht="15" customHeight="1">
      <c r="C184" s="458" t="n"/>
      <c r="D184" s="1050" t="n"/>
      <c r="E184" s="1050" t="n"/>
      <c r="F184" s="1052">
        <f>IFERROR(D184/$D$7-1,NA())</f>
        <v/>
      </c>
      <c r="G184" s="1052">
        <f>IFERROR(E184/$E$7-1,NA())</f>
        <v/>
      </c>
      <c r="H184" s="454" t="n"/>
      <c r="I184" s="454" t="n"/>
      <c r="J184" s="454" t="n"/>
      <c r="K184" s="454" t="n"/>
      <c r="L184" s="454" t="n"/>
      <c r="M184" s="454" t="n"/>
      <c r="N184" s="454" t="n"/>
    </row>
    <row r="185" ht="15" customHeight="1">
      <c r="C185" s="458" t="n"/>
      <c r="D185" s="1050" t="n"/>
      <c r="E185" s="1050" t="n"/>
      <c r="F185" s="1052">
        <f>IFERROR(D185/$D$7-1,NA())</f>
        <v/>
      </c>
      <c r="G185" s="1052">
        <f>IFERROR(E185/$E$7-1,NA())</f>
        <v/>
      </c>
      <c r="H185" s="454" t="n"/>
      <c r="I185" s="454" t="n"/>
      <c r="J185" s="454" t="n"/>
      <c r="K185" s="454" t="n"/>
      <c r="L185" s="454" t="n"/>
      <c r="M185" s="454" t="n"/>
      <c r="N185" s="454" t="n"/>
    </row>
    <row r="186" ht="15" customHeight="1">
      <c r="C186" s="458" t="n"/>
      <c r="D186" s="1050" t="n"/>
      <c r="E186" s="1050" t="n"/>
      <c r="F186" s="1052">
        <f>IFERROR(D186/$D$7-1,NA())</f>
        <v/>
      </c>
      <c r="G186" s="1052">
        <f>IFERROR(E186/$E$7-1,NA())</f>
        <v/>
      </c>
      <c r="H186" s="454" t="n"/>
      <c r="I186" s="454" t="n"/>
      <c r="J186" s="454" t="n"/>
      <c r="K186" s="454" t="n"/>
      <c r="L186" s="454" t="n"/>
      <c r="M186" s="454" t="n"/>
      <c r="N186" s="454" t="n"/>
    </row>
    <row r="187" ht="15" customHeight="1">
      <c r="C187" s="458" t="n"/>
      <c r="D187" s="1050" t="n"/>
      <c r="E187" s="1050" t="n"/>
      <c r="F187" s="1052">
        <f>IFERROR(D187/$D$7-1,NA())</f>
        <v/>
      </c>
      <c r="G187" s="1052">
        <f>IFERROR(E187/$E$7-1,NA())</f>
        <v/>
      </c>
      <c r="H187" s="454" t="n"/>
      <c r="I187" s="454" t="n"/>
      <c r="J187" s="454" t="n"/>
      <c r="K187" s="454" t="n"/>
      <c r="L187" s="454" t="n"/>
      <c r="M187" s="454" t="n"/>
      <c r="N187" s="454" t="n"/>
    </row>
    <row r="188" ht="15" customHeight="1">
      <c r="C188" s="458" t="n"/>
      <c r="D188" s="1050" t="n"/>
      <c r="E188" s="1050" t="n"/>
      <c r="F188" s="1052">
        <f>IFERROR(D188/$D$7-1,NA())</f>
        <v/>
      </c>
      <c r="G188" s="1052">
        <f>IFERROR(E188/$E$7-1,NA())</f>
        <v/>
      </c>
      <c r="H188" s="454" t="n"/>
      <c r="I188" s="454" t="n"/>
      <c r="J188" s="454" t="n"/>
      <c r="K188" s="454" t="n"/>
      <c r="L188" s="454" t="n"/>
      <c r="M188" s="454" t="n"/>
      <c r="N188" s="454" t="n"/>
    </row>
    <row r="189" ht="15" customHeight="1">
      <c r="C189" s="458" t="n"/>
      <c r="D189" s="1050" t="n"/>
      <c r="E189" s="1050" t="n"/>
      <c r="F189" s="1052">
        <f>IFERROR(D189/$D$7-1,NA())</f>
        <v/>
      </c>
      <c r="G189" s="1052">
        <f>IFERROR(E189/$E$7-1,NA())</f>
        <v/>
      </c>
      <c r="H189" s="454" t="n"/>
      <c r="I189" s="454" t="n"/>
      <c r="J189" s="454" t="n"/>
      <c r="K189" s="454" t="n"/>
      <c r="L189" s="454" t="n"/>
      <c r="M189" s="454" t="n"/>
      <c r="N189" s="454" t="n"/>
    </row>
    <row r="190" ht="15" customHeight="1">
      <c r="C190" s="458" t="n"/>
      <c r="D190" s="1050" t="n"/>
      <c r="E190" s="1050" t="n"/>
      <c r="F190" s="1052">
        <f>IFERROR(D190/$D$7-1,NA())</f>
        <v/>
      </c>
      <c r="G190" s="1052">
        <f>IFERROR(E190/$E$7-1,NA())</f>
        <v/>
      </c>
      <c r="H190" s="454" t="n"/>
      <c r="I190" s="454" t="n"/>
      <c r="J190" s="454" t="n"/>
      <c r="K190" s="454" t="n"/>
      <c r="L190" s="454" t="n"/>
      <c r="M190" s="454" t="n"/>
      <c r="N190" s="454" t="n"/>
    </row>
    <row r="191" ht="15" customHeight="1">
      <c r="C191" s="458" t="n"/>
      <c r="D191" s="1050" t="n"/>
      <c r="E191" s="1050" t="n"/>
      <c r="F191" s="1052">
        <f>IFERROR(D191/$D$7-1,NA())</f>
        <v/>
      </c>
      <c r="G191" s="1052">
        <f>IFERROR(E191/$E$7-1,NA())</f>
        <v/>
      </c>
      <c r="H191" s="454" t="n"/>
      <c r="I191" s="454" t="n"/>
      <c r="J191" s="454" t="n"/>
      <c r="K191" s="454" t="n"/>
      <c r="L191" s="454" t="n"/>
      <c r="M191" s="454" t="n"/>
      <c r="N191" s="454" t="n"/>
    </row>
    <row r="192" ht="15" customHeight="1">
      <c r="C192" s="458" t="n"/>
      <c r="D192" s="1050" t="n"/>
      <c r="E192" s="1050" t="n"/>
      <c r="F192" s="1052">
        <f>IFERROR(D192/$D$7-1,NA())</f>
        <v/>
      </c>
      <c r="G192" s="1052">
        <f>IFERROR(E192/$E$7-1,NA())</f>
        <v/>
      </c>
      <c r="H192" s="454" t="n"/>
      <c r="I192" s="454" t="n"/>
      <c r="J192" s="454" t="n"/>
      <c r="K192" s="454" t="n"/>
      <c r="L192" s="454" t="n"/>
      <c r="M192" s="454" t="n"/>
      <c r="N192" s="454" t="n"/>
    </row>
    <row r="193" ht="15" customHeight="1">
      <c r="C193" s="458" t="n"/>
      <c r="D193" s="1050" t="n"/>
      <c r="E193" s="1050" t="n"/>
      <c r="F193" s="1052">
        <f>IFERROR(D193/$D$7-1,NA())</f>
        <v/>
      </c>
      <c r="G193" s="1052">
        <f>IFERROR(E193/$E$7-1,NA())</f>
        <v/>
      </c>
      <c r="H193" s="454" t="n"/>
      <c r="I193" s="454" t="n"/>
      <c r="J193" s="454" t="n"/>
      <c r="K193" s="454" t="n"/>
      <c r="L193" s="454" t="n"/>
      <c r="M193" s="454" t="n"/>
      <c r="N193" s="454" t="n"/>
    </row>
    <row r="194" ht="15" customHeight="1">
      <c r="C194" s="458" t="n"/>
      <c r="D194" s="1050" t="n"/>
      <c r="E194" s="1050" t="n"/>
      <c r="F194" s="1052">
        <f>IFERROR(D194/$D$7-1,NA())</f>
        <v/>
      </c>
      <c r="G194" s="1052">
        <f>IFERROR(E194/$E$7-1,NA())</f>
        <v/>
      </c>
      <c r="H194" s="454" t="n"/>
      <c r="I194" s="454" t="n"/>
      <c r="J194" s="454" t="n"/>
      <c r="K194" s="454" t="n"/>
      <c r="L194" s="454" t="n"/>
      <c r="M194" s="454" t="n"/>
      <c r="N194" s="454" t="n"/>
    </row>
    <row r="195" ht="15" customHeight="1">
      <c r="C195" s="458" t="n"/>
      <c r="D195" s="1050" t="n"/>
      <c r="E195" s="1050" t="n"/>
      <c r="F195" s="1052">
        <f>IFERROR(D195/$D$7-1,NA())</f>
        <v/>
      </c>
      <c r="G195" s="1052">
        <f>IFERROR(E195/$E$7-1,NA())</f>
        <v/>
      </c>
      <c r="H195" s="454" t="n"/>
      <c r="I195" s="454" t="n"/>
      <c r="J195" s="454" t="n"/>
      <c r="K195" s="454" t="n"/>
      <c r="L195" s="454" t="n"/>
      <c r="M195" s="454" t="n"/>
      <c r="N195" s="454" t="n"/>
    </row>
    <row r="196" ht="15" customHeight="1">
      <c r="C196" s="458" t="n"/>
      <c r="D196" s="1050" t="n"/>
      <c r="E196" s="1050" t="n"/>
      <c r="F196" s="1052">
        <f>IFERROR(D196/$D$7-1,NA())</f>
        <v/>
      </c>
      <c r="G196" s="1052">
        <f>IFERROR(E196/$E$7-1,NA())</f>
        <v/>
      </c>
      <c r="H196" s="454" t="n"/>
      <c r="I196" s="454" t="n"/>
      <c r="J196" s="454" t="n"/>
      <c r="K196" s="454" t="n"/>
      <c r="L196" s="454" t="n"/>
      <c r="M196" s="454" t="n"/>
      <c r="N196" s="454" t="n"/>
    </row>
    <row r="197" ht="15" customHeight="1">
      <c r="C197" s="458" t="n"/>
      <c r="D197" s="1050" t="n"/>
      <c r="E197" s="1050" t="n"/>
      <c r="F197" s="1052">
        <f>IFERROR(D197/$D$7-1,NA())</f>
        <v/>
      </c>
      <c r="G197" s="1052">
        <f>IFERROR(E197/$E$7-1,NA())</f>
        <v/>
      </c>
      <c r="H197" s="454" t="n"/>
      <c r="I197" s="454" t="n"/>
      <c r="J197" s="454" t="n"/>
      <c r="K197" s="454" t="n"/>
      <c r="L197" s="454" t="n"/>
      <c r="M197" s="454" t="n"/>
      <c r="N197" s="454" t="n"/>
    </row>
    <row r="198" ht="15" customHeight="1">
      <c r="C198" s="458" t="n"/>
      <c r="D198" s="1050" t="n"/>
      <c r="E198" s="1050" t="n"/>
      <c r="F198" s="1052">
        <f>IFERROR(D198/$D$7-1,NA())</f>
        <v/>
      </c>
      <c r="G198" s="1052">
        <f>IFERROR(E198/$E$7-1,NA())</f>
        <v/>
      </c>
      <c r="H198" s="454" t="n"/>
      <c r="I198" s="454" t="n"/>
      <c r="J198" s="454" t="n"/>
      <c r="K198" s="454" t="n"/>
      <c r="L198" s="454" t="n"/>
      <c r="M198" s="454" t="n"/>
      <c r="N198" s="454" t="n"/>
    </row>
    <row r="199" ht="15" customHeight="1">
      <c r="C199" s="458" t="n"/>
      <c r="D199" s="1050" t="n"/>
      <c r="E199" s="1050" t="n"/>
      <c r="F199" s="1052">
        <f>IFERROR(D199/$D$7-1,NA())</f>
        <v/>
      </c>
      <c r="G199" s="1052">
        <f>IFERROR(E199/$E$7-1,NA())</f>
        <v/>
      </c>
      <c r="H199" s="454" t="n"/>
      <c r="I199" s="454" t="n"/>
      <c r="J199" s="454" t="n"/>
      <c r="K199" s="454" t="n"/>
      <c r="L199" s="454" t="n"/>
      <c r="M199" s="454" t="n"/>
      <c r="N199" s="454" t="n"/>
    </row>
    <row r="200" ht="15" customHeight="1">
      <c r="C200" s="458" t="n"/>
      <c r="D200" s="1050" t="n"/>
      <c r="E200" s="1050" t="n"/>
      <c r="F200" s="1052">
        <f>IFERROR(D200/$D$7-1,NA())</f>
        <v/>
      </c>
      <c r="G200" s="1052">
        <f>IFERROR(E200/$E$7-1,NA())</f>
        <v/>
      </c>
      <c r="H200" s="454" t="n"/>
      <c r="I200" s="454" t="n"/>
      <c r="J200" s="454" t="n"/>
      <c r="K200" s="454" t="n"/>
      <c r="L200" s="454" t="n"/>
      <c r="M200" s="454" t="n"/>
      <c r="N200" s="454" t="n"/>
    </row>
    <row r="201" ht="15" customHeight="1">
      <c r="C201" s="458" t="n"/>
      <c r="D201" s="1050" t="n"/>
      <c r="E201" s="1050" t="n"/>
      <c r="F201" s="1052">
        <f>IFERROR(D201/$D$7-1,NA())</f>
        <v/>
      </c>
      <c r="G201" s="1052">
        <f>IFERROR(E201/$E$7-1,NA())</f>
        <v/>
      </c>
      <c r="H201" s="454" t="n"/>
      <c r="I201" s="454" t="n"/>
      <c r="J201" s="454" t="n"/>
      <c r="K201" s="454" t="n"/>
      <c r="L201" s="454" t="n"/>
      <c r="M201" s="454" t="n"/>
      <c r="N201" s="454" t="n"/>
    </row>
    <row r="202" ht="15" customHeight="1">
      <c r="C202" s="458" t="n"/>
      <c r="D202" s="1050" t="n"/>
      <c r="E202" s="1050" t="n"/>
      <c r="F202" s="1052">
        <f>IFERROR(D202/$D$7-1,NA())</f>
        <v/>
      </c>
      <c r="G202" s="1052">
        <f>IFERROR(E202/$E$7-1,NA())</f>
        <v/>
      </c>
      <c r="H202" s="454" t="n"/>
      <c r="I202" s="454" t="n"/>
      <c r="J202" s="454" t="n"/>
      <c r="K202" s="454" t="n"/>
      <c r="L202" s="454" t="n"/>
      <c r="M202" s="454" t="n"/>
      <c r="N202" s="454" t="n"/>
    </row>
    <row r="203" ht="15" customHeight="1">
      <c r="C203" s="458" t="n"/>
      <c r="D203" s="1050" t="n"/>
      <c r="E203" s="1050" t="n"/>
      <c r="F203" s="1052">
        <f>IFERROR(D203/$D$7-1,NA())</f>
        <v/>
      </c>
      <c r="G203" s="1052">
        <f>IFERROR(E203/$E$7-1,NA())</f>
        <v/>
      </c>
      <c r="H203" s="454" t="n"/>
      <c r="I203" s="454" t="n"/>
      <c r="J203" s="454" t="n"/>
      <c r="K203" s="454" t="n"/>
      <c r="L203" s="454" t="n"/>
      <c r="M203" s="454" t="n"/>
      <c r="N203" s="454" t="n"/>
    </row>
    <row r="204" ht="15" customHeight="1">
      <c r="C204" s="458" t="n"/>
      <c r="D204" s="1050" t="n"/>
      <c r="E204" s="1050" t="n"/>
      <c r="F204" s="1052">
        <f>IFERROR(D204/$D$7-1,NA())</f>
        <v/>
      </c>
      <c r="G204" s="1052">
        <f>IFERROR(E204/$E$7-1,NA())</f>
        <v/>
      </c>
      <c r="H204" s="454" t="n"/>
      <c r="I204" s="454" t="n"/>
      <c r="J204" s="454" t="n"/>
      <c r="K204" s="454" t="n"/>
      <c r="L204" s="454" t="n"/>
      <c r="M204" s="454" t="n"/>
      <c r="N204" s="454" t="n"/>
    </row>
    <row r="205" ht="15" customHeight="1">
      <c r="C205" s="458" t="n"/>
      <c r="D205" s="1050" t="n"/>
      <c r="E205" s="1050" t="n"/>
      <c r="F205" s="1052">
        <f>IFERROR(D205/$D$7-1,NA())</f>
        <v/>
      </c>
      <c r="G205" s="1052">
        <f>IFERROR(E205/$E$7-1,NA())</f>
        <v/>
      </c>
      <c r="H205" s="454" t="n"/>
      <c r="I205" s="454" t="n"/>
      <c r="J205" s="454" t="n"/>
      <c r="K205" s="454" t="n"/>
      <c r="L205" s="454" t="n"/>
      <c r="M205" s="454" t="n"/>
      <c r="N205" s="454" t="n"/>
    </row>
    <row r="206" ht="15" customHeight="1">
      <c r="C206" s="458" t="n"/>
      <c r="D206" s="1050" t="n"/>
      <c r="E206" s="1050" t="n"/>
      <c r="F206" s="1052">
        <f>IFERROR(D206/$D$7-1,NA())</f>
        <v/>
      </c>
      <c r="G206" s="1052">
        <f>IFERROR(E206/$E$7-1,NA())</f>
        <v/>
      </c>
      <c r="H206" s="454" t="n"/>
      <c r="I206" s="454" t="n"/>
      <c r="J206" s="454" t="n"/>
      <c r="K206" s="454" t="n"/>
      <c r="L206" s="454" t="n"/>
      <c r="M206" s="454" t="n"/>
      <c r="N206" s="454" t="n"/>
    </row>
    <row r="207" ht="15" customHeight="1">
      <c r="C207" s="458" t="n"/>
      <c r="D207" s="1050" t="n"/>
      <c r="E207" s="1050" t="n"/>
      <c r="F207" s="1052">
        <f>IFERROR(D207/$D$7-1,NA())</f>
        <v/>
      </c>
      <c r="G207" s="1052">
        <f>IFERROR(E207/$E$7-1,NA())</f>
        <v/>
      </c>
      <c r="H207" s="454" t="n"/>
      <c r="I207" s="454" t="n"/>
      <c r="J207" s="454" t="n"/>
      <c r="K207" s="454" t="n"/>
      <c r="L207" s="454" t="n"/>
      <c r="M207" s="454" t="n"/>
      <c r="N207" s="454" t="n"/>
    </row>
    <row r="208" ht="15" customHeight="1">
      <c r="C208" s="458" t="n"/>
      <c r="D208" s="1050" t="n"/>
      <c r="E208" s="1050" t="n"/>
      <c r="F208" s="1052">
        <f>IFERROR(D208/$D$7-1,NA())</f>
        <v/>
      </c>
      <c r="G208" s="1052">
        <f>IFERROR(E208/$E$7-1,NA())</f>
        <v/>
      </c>
      <c r="H208" s="454" t="n"/>
      <c r="I208" s="454" t="n"/>
      <c r="J208" s="454" t="n"/>
      <c r="K208" s="454" t="n"/>
      <c r="L208" s="454" t="n"/>
      <c r="M208" s="454" t="n"/>
      <c r="N208" s="454" t="n"/>
    </row>
    <row r="209" ht="15" customHeight="1">
      <c r="C209" s="458" t="n"/>
      <c r="D209" s="1050" t="n"/>
      <c r="E209" s="1050" t="n"/>
      <c r="F209" s="1052">
        <f>IFERROR(D209/$D$7-1,NA())</f>
        <v/>
      </c>
      <c r="G209" s="1052">
        <f>IFERROR(E209/$E$7-1,NA())</f>
        <v/>
      </c>
      <c r="H209" s="454" t="n"/>
      <c r="I209" s="454" t="n"/>
      <c r="J209" s="454" t="n"/>
      <c r="K209" s="454" t="n"/>
      <c r="L209" s="454" t="n"/>
      <c r="M209" s="454" t="n"/>
      <c r="N209" s="454" t="n"/>
    </row>
    <row r="210" ht="15" customHeight="1">
      <c r="C210" s="458" t="n"/>
      <c r="D210" s="1050" t="n"/>
      <c r="E210" s="1050" t="n"/>
      <c r="F210" s="1052">
        <f>IFERROR(D210/$D$7-1,NA())</f>
        <v/>
      </c>
      <c r="G210" s="1052">
        <f>IFERROR(E210/$E$7-1,NA())</f>
        <v/>
      </c>
      <c r="H210" s="454" t="n"/>
      <c r="I210" s="454" t="n"/>
      <c r="J210" s="454" t="n"/>
      <c r="K210" s="454" t="n"/>
      <c r="L210" s="454" t="n"/>
      <c r="M210" s="454" t="n"/>
      <c r="N210" s="454" t="n"/>
    </row>
    <row r="211" ht="15" customHeight="1">
      <c r="C211" s="458" t="n"/>
      <c r="D211" s="1050" t="n"/>
      <c r="E211" s="1050" t="n"/>
      <c r="F211" s="1052">
        <f>IFERROR(D211/$D$7-1,NA())</f>
        <v/>
      </c>
      <c r="G211" s="1052">
        <f>IFERROR(E211/$E$7-1,NA())</f>
        <v/>
      </c>
      <c r="H211" s="454" t="n"/>
      <c r="I211" s="454" t="n"/>
      <c r="J211" s="454" t="n"/>
      <c r="K211" s="454" t="n"/>
      <c r="L211" s="454" t="n"/>
      <c r="M211" s="454" t="n"/>
      <c r="N211" s="454" t="n"/>
    </row>
    <row r="212" ht="15" customHeight="1">
      <c r="C212" s="458" t="n"/>
      <c r="D212" s="1050" t="n"/>
      <c r="E212" s="1050" t="n"/>
      <c r="F212" s="1052">
        <f>IFERROR(D212/$D$7-1,NA())</f>
        <v/>
      </c>
      <c r="G212" s="1052">
        <f>IFERROR(E212/$E$7-1,NA())</f>
        <v/>
      </c>
      <c r="H212" s="454" t="n"/>
      <c r="I212" s="454" t="n"/>
      <c r="J212" s="454" t="n"/>
      <c r="K212" s="454" t="n"/>
      <c r="L212" s="454" t="n"/>
      <c r="M212" s="454" t="n"/>
      <c r="N212" s="454" t="n"/>
    </row>
    <row r="213" ht="15" customHeight="1">
      <c r="C213" s="458" t="n"/>
      <c r="D213" s="1050" t="n"/>
      <c r="E213" s="1050" t="n"/>
      <c r="F213" s="1052">
        <f>IFERROR(D213/$D$7-1,NA())</f>
        <v/>
      </c>
      <c r="G213" s="1052">
        <f>IFERROR(E213/$E$7-1,NA())</f>
        <v/>
      </c>
      <c r="H213" s="454" t="n"/>
      <c r="I213" s="454" t="n"/>
      <c r="J213" s="454" t="n"/>
      <c r="K213" s="454" t="n"/>
      <c r="L213" s="454" t="n"/>
      <c r="M213" s="454" t="n"/>
      <c r="N213" s="454" t="n"/>
    </row>
    <row r="214" ht="15" customHeight="1">
      <c r="C214" s="458" t="n"/>
      <c r="D214" s="1050" t="n"/>
      <c r="E214" s="1050" t="n"/>
      <c r="F214" s="1052">
        <f>IFERROR(D214/$D$7-1,NA())</f>
        <v/>
      </c>
      <c r="G214" s="1052">
        <f>IFERROR(E214/$E$7-1,NA())</f>
        <v/>
      </c>
      <c r="H214" s="454" t="n"/>
      <c r="I214" s="454" t="n"/>
      <c r="J214" s="454" t="n"/>
      <c r="K214" s="454" t="n"/>
      <c r="L214" s="454" t="n"/>
      <c r="M214" s="454" t="n"/>
      <c r="N214" s="454" t="n"/>
    </row>
    <row r="215" ht="15" customHeight="1">
      <c r="C215" s="458" t="n"/>
      <c r="D215" s="1050" t="n"/>
      <c r="E215" s="1050" t="n"/>
      <c r="F215" s="1052">
        <f>IFERROR(D215/$D$7-1,NA())</f>
        <v/>
      </c>
      <c r="G215" s="1052">
        <f>IFERROR(E215/$E$7-1,NA())</f>
        <v/>
      </c>
      <c r="H215" s="454" t="n"/>
      <c r="I215" s="454" t="n"/>
      <c r="J215" s="454" t="n"/>
      <c r="K215" s="454" t="n"/>
      <c r="L215" s="454" t="n"/>
      <c r="M215" s="454" t="n"/>
      <c r="N215" s="454" t="n"/>
    </row>
    <row r="216" ht="15" customHeight="1">
      <c r="C216" s="458" t="n"/>
      <c r="D216" s="1050" t="n"/>
      <c r="E216" s="1050" t="n"/>
      <c r="F216" s="1052">
        <f>IFERROR(D216/$D$7-1,NA())</f>
        <v/>
      </c>
      <c r="G216" s="1052">
        <f>IFERROR(E216/$E$7-1,NA())</f>
        <v/>
      </c>
      <c r="H216" s="454" t="n"/>
      <c r="I216" s="454" t="n"/>
      <c r="J216" s="454" t="n"/>
      <c r="K216" s="454" t="n"/>
      <c r="L216" s="454" t="n"/>
      <c r="M216" s="454" t="n"/>
      <c r="N216" s="454" t="n"/>
    </row>
    <row r="217" ht="15" customHeight="1">
      <c r="C217" s="458" t="n"/>
      <c r="D217" s="1050" t="n"/>
      <c r="E217" s="1050" t="n"/>
      <c r="F217" s="1052">
        <f>IFERROR(D217/$D$7-1,NA())</f>
        <v/>
      </c>
      <c r="G217" s="1052">
        <f>IFERROR(E217/$E$7-1,NA())</f>
        <v/>
      </c>
      <c r="H217" s="454" t="n"/>
      <c r="I217" s="454" t="n"/>
      <c r="J217" s="454" t="n"/>
      <c r="K217" s="454" t="n"/>
      <c r="L217" s="454" t="n"/>
      <c r="M217" s="454" t="n"/>
      <c r="N217" s="454" t="n"/>
    </row>
    <row r="218" ht="15" customHeight="1">
      <c r="C218" s="458" t="n"/>
      <c r="D218" s="1050" t="n"/>
      <c r="E218" s="1050" t="n"/>
      <c r="F218" s="1052">
        <f>IFERROR(D218/$D$7-1,NA())</f>
        <v/>
      </c>
      <c r="G218" s="1052">
        <f>IFERROR(E218/$E$7-1,NA())</f>
        <v/>
      </c>
      <c r="H218" s="454" t="n"/>
      <c r="I218" s="454" t="n"/>
      <c r="J218" s="454" t="n"/>
      <c r="K218" s="454" t="n"/>
      <c r="L218" s="454" t="n"/>
      <c r="M218" s="454" t="n"/>
      <c r="N218" s="454" t="n"/>
    </row>
    <row r="219" ht="15" customHeight="1">
      <c r="C219" s="458" t="n"/>
      <c r="D219" s="1050" t="n"/>
      <c r="E219" s="1050" t="n"/>
      <c r="F219" s="1052">
        <f>IFERROR(D219/$D$7-1,NA())</f>
        <v/>
      </c>
      <c r="G219" s="1052">
        <f>IFERROR(E219/$E$7-1,NA())</f>
        <v/>
      </c>
      <c r="H219" s="454" t="n"/>
      <c r="I219" s="454" t="n"/>
      <c r="J219" s="454" t="n"/>
      <c r="K219" s="454" t="n"/>
      <c r="L219" s="454" t="n"/>
      <c r="M219" s="454" t="n"/>
      <c r="N219" s="454" t="n"/>
    </row>
    <row r="220" ht="15" customHeight="1">
      <c r="C220" s="458" t="n"/>
      <c r="D220" s="1050" t="n"/>
      <c r="E220" s="1050" t="n"/>
      <c r="F220" s="1052">
        <f>IFERROR(D220/$D$7-1,NA())</f>
        <v/>
      </c>
      <c r="G220" s="1052">
        <f>IFERROR(E220/$E$7-1,NA())</f>
        <v/>
      </c>
      <c r="H220" s="454" t="n"/>
      <c r="I220" s="454" t="n"/>
      <c r="J220" s="454" t="n"/>
      <c r="K220" s="454" t="n"/>
      <c r="L220" s="454" t="n"/>
      <c r="M220" s="454" t="n"/>
      <c r="N220" s="454" t="n"/>
    </row>
    <row r="221" ht="15" customHeight="1">
      <c r="C221" s="458" t="n"/>
      <c r="D221" s="1050" t="n"/>
      <c r="E221" s="1050" t="n"/>
      <c r="F221" s="1052">
        <f>IFERROR(D221/$D$7-1,NA())</f>
        <v/>
      </c>
      <c r="G221" s="1052">
        <f>IFERROR(E221/$E$7-1,NA())</f>
        <v/>
      </c>
      <c r="H221" s="454" t="n"/>
      <c r="I221" s="454" t="n"/>
      <c r="J221" s="454" t="n"/>
      <c r="K221" s="454" t="n"/>
      <c r="L221" s="454" t="n"/>
      <c r="M221" s="454" t="n"/>
      <c r="N221" s="454" t="n"/>
    </row>
    <row r="222" ht="15" customHeight="1">
      <c r="C222" s="458" t="n"/>
      <c r="D222" s="1050" t="n"/>
      <c r="E222" s="1050" t="n"/>
      <c r="F222" s="1052">
        <f>IFERROR(D222/$D$7-1,NA())</f>
        <v/>
      </c>
      <c r="G222" s="1052">
        <f>IFERROR(E222/$E$7-1,NA())</f>
        <v/>
      </c>
      <c r="H222" s="454" t="n"/>
      <c r="I222" s="454" t="n"/>
      <c r="J222" s="454" t="n"/>
      <c r="K222" s="454" t="n"/>
      <c r="L222" s="454" t="n"/>
      <c r="M222" s="454" t="n"/>
      <c r="N222" s="454" t="n"/>
    </row>
    <row r="223" ht="15" customHeight="1">
      <c r="C223" s="458" t="n"/>
      <c r="D223" s="1050" t="n"/>
      <c r="E223" s="1050" t="n"/>
      <c r="F223" s="1052">
        <f>IFERROR(D223/$D$7-1,NA())</f>
        <v/>
      </c>
      <c r="G223" s="1052">
        <f>IFERROR(E223/$E$7-1,NA())</f>
        <v/>
      </c>
      <c r="H223" s="454" t="n"/>
      <c r="I223" s="454" t="n"/>
      <c r="J223" s="454" t="n"/>
      <c r="K223" s="454" t="n"/>
      <c r="L223" s="454" t="n"/>
      <c r="M223" s="454" t="n"/>
      <c r="N223" s="454" t="n"/>
    </row>
    <row r="224" ht="15" customHeight="1">
      <c r="C224" s="458" t="n"/>
      <c r="D224" s="1050" t="n"/>
      <c r="E224" s="1050" t="n"/>
      <c r="F224" s="1052">
        <f>IFERROR(D224/$D$7-1,NA())</f>
        <v/>
      </c>
      <c r="G224" s="1052">
        <f>IFERROR(E224/$E$7-1,NA())</f>
        <v/>
      </c>
      <c r="H224" s="454" t="n"/>
      <c r="I224" s="454" t="n"/>
      <c r="J224" s="454" t="n"/>
      <c r="K224" s="454" t="n"/>
      <c r="L224" s="454" t="n"/>
      <c r="M224" s="454" t="n"/>
      <c r="N224" s="454" t="n"/>
    </row>
    <row r="225" ht="15" customHeight="1">
      <c r="C225" s="458" t="n"/>
      <c r="D225" s="1050" t="n"/>
      <c r="E225" s="1050" t="n"/>
      <c r="F225" s="1052">
        <f>IFERROR(D225/$D$7-1,NA())</f>
        <v/>
      </c>
      <c r="G225" s="1052">
        <f>IFERROR(E225/$E$7-1,NA())</f>
        <v/>
      </c>
      <c r="H225" s="454" t="n"/>
      <c r="I225" s="454" t="n"/>
      <c r="J225" s="454" t="n"/>
      <c r="K225" s="454" t="n"/>
      <c r="L225" s="454" t="n"/>
      <c r="M225" s="454" t="n"/>
      <c r="N225" s="454" t="n"/>
    </row>
    <row r="226" ht="15" customHeight="1">
      <c r="C226" s="458" t="n"/>
      <c r="D226" s="1050" t="n"/>
      <c r="E226" s="1050" t="n"/>
      <c r="F226" s="1052">
        <f>IFERROR(D226/$D$7-1,NA())</f>
        <v/>
      </c>
      <c r="G226" s="1052">
        <f>IFERROR(E226/$E$7-1,NA())</f>
        <v/>
      </c>
      <c r="H226" s="454" t="n"/>
      <c r="I226" s="454" t="n"/>
      <c r="J226" s="454" t="n"/>
      <c r="K226" s="454" t="n"/>
      <c r="L226" s="454" t="n"/>
      <c r="M226" s="454" t="n"/>
      <c r="N226" s="454" t="n"/>
    </row>
    <row r="227" ht="15" customHeight="1">
      <c r="C227" s="458" t="n"/>
      <c r="D227" s="1050" t="n"/>
      <c r="E227" s="1050" t="n"/>
      <c r="F227" s="1052">
        <f>IFERROR(D227/$D$7-1,NA())</f>
        <v/>
      </c>
      <c r="G227" s="1052">
        <f>IFERROR(E227/$E$7-1,NA())</f>
        <v/>
      </c>
      <c r="H227" s="454" t="n"/>
      <c r="I227" s="454" t="n"/>
      <c r="J227" s="454" t="n"/>
      <c r="K227" s="454" t="n"/>
      <c r="L227" s="454" t="n"/>
      <c r="M227" s="454" t="n"/>
      <c r="N227" s="454" t="n"/>
    </row>
    <row r="228" ht="15" customHeight="1">
      <c r="C228" s="458" t="n"/>
      <c r="D228" s="1050" t="n"/>
      <c r="E228" s="1050" t="n"/>
      <c r="F228" s="1052">
        <f>IFERROR(D228/$D$7-1,NA())</f>
        <v/>
      </c>
      <c r="G228" s="1052">
        <f>IFERROR(E228/$E$7-1,NA())</f>
        <v/>
      </c>
      <c r="H228" s="454" t="n"/>
      <c r="I228" s="454" t="n"/>
      <c r="J228" s="454" t="n"/>
      <c r="K228" s="454" t="n"/>
      <c r="L228" s="454" t="n"/>
      <c r="M228" s="454" t="n"/>
      <c r="N228" s="454" t="n"/>
    </row>
    <row r="229" ht="15" customHeight="1">
      <c r="C229" s="458" t="n"/>
      <c r="D229" s="1050" t="n"/>
      <c r="E229" s="1050" t="n"/>
      <c r="F229" s="1052">
        <f>IFERROR(D229/$D$7-1,NA())</f>
        <v/>
      </c>
      <c r="G229" s="1052">
        <f>IFERROR(E229/$E$7-1,NA())</f>
        <v/>
      </c>
      <c r="H229" s="454" t="n"/>
      <c r="I229" s="454" t="n"/>
      <c r="J229" s="454" t="n"/>
      <c r="K229" s="454" t="n"/>
      <c r="L229" s="454" t="n"/>
      <c r="M229" s="454" t="n"/>
      <c r="N229" s="454" t="n"/>
    </row>
    <row r="230" ht="15" customHeight="1">
      <c r="C230" s="458" t="n"/>
      <c r="D230" s="1050" t="n"/>
      <c r="E230" s="1050" t="n"/>
      <c r="F230" s="1052">
        <f>IFERROR(D230/$D$7-1,NA())</f>
        <v/>
      </c>
      <c r="G230" s="1052">
        <f>IFERROR(E230/$E$7-1,NA())</f>
        <v/>
      </c>
      <c r="H230" s="454" t="n"/>
      <c r="I230" s="454" t="n"/>
      <c r="J230" s="454" t="n"/>
      <c r="K230" s="454" t="n"/>
      <c r="L230" s="454" t="n"/>
      <c r="M230" s="454" t="n"/>
      <c r="N230" s="454" t="n"/>
    </row>
    <row r="231" ht="15" customHeight="1">
      <c r="C231" s="458" t="n"/>
      <c r="D231" s="1050" t="n"/>
      <c r="E231" s="1050" t="n"/>
      <c r="F231" s="1052">
        <f>IFERROR(D231/$D$7-1,NA())</f>
        <v/>
      </c>
      <c r="G231" s="1052">
        <f>IFERROR(E231/$E$7-1,NA())</f>
        <v/>
      </c>
      <c r="H231" s="454" t="n"/>
      <c r="I231" s="454" t="n"/>
      <c r="J231" s="454" t="n"/>
      <c r="K231" s="454" t="n"/>
      <c r="L231" s="454" t="n"/>
      <c r="M231" s="454" t="n"/>
      <c r="N231" s="454" t="n"/>
    </row>
    <row r="232" ht="15" customHeight="1">
      <c r="C232" s="458" t="n"/>
      <c r="D232" s="1050" t="n"/>
      <c r="E232" s="1050" t="n"/>
      <c r="F232" s="1052">
        <f>IFERROR(D232/$D$7-1,NA())</f>
        <v/>
      </c>
      <c r="G232" s="1052">
        <f>IFERROR(E232/$E$7-1,NA())</f>
        <v/>
      </c>
      <c r="H232" s="454" t="n"/>
      <c r="I232" s="454" t="n"/>
      <c r="J232" s="454" t="n"/>
      <c r="K232" s="454" t="n"/>
      <c r="L232" s="454" t="n"/>
      <c r="M232" s="454" t="n"/>
      <c r="N232" s="454" t="n"/>
    </row>
    <row r="233" ht="15" customHeight="1">
      <c r="C233" s="458" t="n"/>
      <c r="D233" s="1050" t="n"/>
      <c r="E233" s="1050" t="n"/>
      <c r="F233" s="1052">
        <f>IFERROR(D233/$D$7-1,NA())</f>
        <v/>
      </c>
      <c r="G233" s="1052">
        <f>IFERROR(E233/$E$7-1,NA())</f>
        <v/>
      </c>
      <c r="H233" s="454" t="n"/>
      <c r="I233" s="454" t="n"/>
      <c r="J233" s="454" t="n"/>
      <c r="K233" s="454" t="n"/>
      <c r="L233" s="454" t="n"/>
      <c r="M233" s="454" t="n"/>
      <c r="N233" s="454" t="n"/>
    </row>
    <row r="234" ht="15" customHeight="1">
      <c r="C234" s="458" t="n"/>
      <c r="D234" s="1050" t="n"/>
      <c r="E234" s="1050" t="n"/>
      <c r="F234" s="1052">
        <f>IFERROR(D234/$D$7-1,NA())</f>
        <v/>
      </c>
      <c r="G234" s="1052">
        <f>IFERROR(E234/$E$7-1,NA())</f>
        <v/>
      </c>
      <c r="H234" s="454" t="n"/>
      <c r="I234" s="454" t="n"/>
      <c r="J234" s="454" t="n"/>
      <c r="K234" s="454" t="n"/>
      <c r="L234" s="454" t="n"/>
      <c r="M234" s="454" t="n"/>
      <c r="N234" s="454" t="n"/>
    </row>
    <row r="235" ht="15" customHeight="1">
      <c r="C235" s="458" t="n"/>
      <c r="D235" s="1050" t="n"/>
      <c r="E235" s="1050" t="n"/>
      <c r="F235" s="1052">
        <f>IFERROR(D235/$D$7-1,NA())</f>
        <v/>
      </c>
      <c r="G235" s="1052">
        <f>IFERROR(E235/$E$7-1,NA())</f>
        <v/>
      </c>
      <c r="H235" s="454" t="n"/>
      <c r="I235" s="454" t="n"/>
      <c r="J235" s="454" t="n"/>
      <c r="K235" s="454" t="n"/>
      <c r="L235" s="454" t="n"/>
      <c r="M235" s="454" t="n"/>
      <c r="N235" s="454" t="n"/>
    </row>
    <row r="236" ht="15" customHeight="1">
      <c r="C236" s="458" t="n"/>
      <c r="D236" s="1050" t="n"/>
      <c r="E236" s="1050" t="n"/>
      <c r="F236" s="1052">
        <f>IFERROR(D236/$D$7-1,NA())</f>
        <v/>
      </c>
      <c r="G236" s="1052">
        <f>IFERROR(E236/$E$7-1,NA())</f>
        <v/>
      </c>
      <c r="H236" s="454" t="n"/>
      <c r="I236" s="454" t="n"/>
      <c r="J236" s="454" t="n"/>
      <c r="K236" s="454" t="n"/>
      <c r="L236" s="454" t="n"/>
      <c r="M236" s="454" t="n"/>
      <c r="N236" s="454" t="n"/>
    </row>
    <row r="237" ht="15" customHeight="1">
      <c r="C237" s="458" t="n"/>
      <c r="D237" s="1050" t="n"/>
      <c r="E237" s="1050" t="n"/>
      <c r="F237" s="1052">
        <f>IFERROR(D237/$D$7-1,NA())</f>
        <v/>
      </c>
      <c r="G237" s="1052">
        <f>IFERROR(E237/$E$7-1,NA())</f>
        <v/>
      </c>
      <c r="H237" s="454" t="n"/>
      <c r="I237" s="454" t="n"/>
      <c r="J237" s="454" t="n"/>
      <c r="K237" s="454" t="n"/>
      <c r="L237" s="454" t="n"/>
      <c r="M237" s="454" t="n"/>
      <c r="N237" s="454" t="n"/>
    </row>
    <row r="238" ht="15" customHeight="1">
      <c r="C238" s="458" t="n"/>
      <c r="D238" s="1050" t="n"/>
      <c r="E238" s="1050" t="n"/>
      <c r="F238" s="1052">
        <f>IFERROR(D238/$D$7-1,NA())</f>
        <v/>
      </c>
      <c r="G238" s="1052">
        <f>IFERROR(E238/$E$7-1,NA())</f>
        <v/>
      </c>
      <c r="H238" s="454" t="n"/>
      <c r="I238" s="454" t="n"/>
      <c r="J238" s="454" t="n"/>
      <c r="K238" s="454" t="n"/>
      <c r="L238" s="454" t="n"/>
      <c r="M238" s="454" t="n"/>
      <c r="N238" s="454" t="n"/>
    </row>
    <row r="239" ht="15" customHeight="1">
      <c r="C239" s="458" t="n"/>
      <c r="D239" s="1050" t="n"/>
      <c r="E239" s="1050" t="n"/>
      <c r="F239" s="1052">
        <f>IFERROR(D239/$D$7-1,NA())</f>
        <v/>
      </c>
      <c r="G239" s="1052">
        <f>IFERROR(E239/$E$7-1,NA())</f>
        <v/>
      </c>
      <c r="H239" s="454" t="n"/>
      <c r="I239" s="454" t="n"/>
      <c r="J239" s="454" t="n"/>
      <c r="K239" s="454" t="n"/>
      <c r="L239" s="454" t="n"/>
      <c r="M239" s="454" t="n"/>
      <c r="N239" s="454" t="n"/>
    </row>
    <row r="240" ht="15" customHeight="1">
      <c r="C240" s="458" t="n"/>
      <c r="D240" s="1050" t="n"/>
      <c r="E240" s="1050" t="n"/>
      <c r="F240" s="1052">
        <f>IFERROR(D240/$D$7-1,NA())</f>
        <v/>
      </c>
      <c r="G240" s="1052">
        <f>IFERROR(E240/$E$7-1,NA())</f>
        <v/>
      </c>
      <c r="H240" s="454" t="n"/>
      <c r="I240" s="454" t="n"/>
      <c r="J240" s="454" t="n"/>
      <c r="K240" s="454" t="n"/>
      <c r="L240" s="454" t="n"/>
      <c r="M240" s="454" t="n"/>
      <c r="N240" s="454" t="n"/>
    </row>
    <row r="241" ht="15" customHeight="1">
      <c r="C241" s="458" t="n"/>
      <c r="D241" s="1050" t="n"/>
      <c r="E241" s="1050" t="n"/>
      <c r="F241" s="1052">
        <f>IFERROR(D241/$D$7-1,NA())</f>
        <v/>
      </c>
      <c r="G241" s="1052">
        <f>IFERROR(E241/$E$7-1,NA())</f>
        <v/>
      </c>
      <c r="H241" s="454" t="n"/>
      <c r="I241" s="454" t="n"/>
      <c r="J241" s="454" t="n"/>
      <c r="K241" s="454" t="n"/>
      <c r="L241" s="454" t="n"/>
      <c r="M241" s="454" t="n"/>
      <c r="N241" s="454" t="n"/>
    </row>
    <row r="242" ht="15" customHeight="1">
      <c r="C242" s="458" t="n"/>
      <c r="D242" s="1050" t="n"/>
      <c r="E242" s="1050" t="n"/>
      <c r="F242" s="1052">
        <f>IFERROR(D242/$D$7-1,NA())</f>
        <v/>
      </c>
      <c r="G242" s="1052">
        <f>IFERROR(E242/$E$7-1,NA())</f>
        <v/>
      </c>
      <c r="H242" s="454" t="n"/>
      <c r="I242" s="454" t="n"/>
      <c r="J242" s="454" t="n"/>
      <c r="K242" s="454" t="n"/>
      <c r="L242" s="454" t="n"/>
      <c r="M242" s="454" t="n"/>
      <c r="N242" s="454" t="n"/>
    </row>
    <row r="243" ht="15" customHeight="1">
      <c r="C243" s="458" t="n"/>
      <c r="D243" s="1050" t="n"/>
      <c r="E243" s="1050" t="n"/>
      <c r="F243" s="1052">
        <f>IFERROR(D243/$D$7-1,NA())</f>
        <v/>
      </c>
      <c r="G243" s="1052">
        <f>IFERROR(E243/$E$7-1,NA())</f>
        <v/>
      </c>
      <c r="H243" s="454" t="n"/>
      <c r="I243" s="454" t="n"/>
      <c r="J243" s="454" t="n"/>
      <c r="K243" s="454" t="n"/>
      <c r="L243" s="454" t="n"/>
      <c r="M243" s="454" t="n"/>
      <c r="N243" s="454" t="n"/>
    </row>
    <row r="244" ht="15" customHeight="1">
      <c r="C244" s="458" t="n"/>
      <c r="D244" s="1050" t="n"/>
      <c r="E244" s="1050" t="n"/>
      <c r="F244" s="1052">
        <f>IFERROR(D244/$D$7-1,NA())</f>
        <v/>
      </c>
      <c r="G244" s="1052">
        <f>IFERROR(E244/$E$7-1,NA())</f>
        <v/>
      </c>
      <c r="H244" s="454" t="n"/>
      <c r="I244" s="454" t="n"/>
      <c r="J244" s="454" t="n"/>
      <c r="K244" s="454" t="n"/>
      <c r="L244" s="454" t="n"/>
      <c r="M244" s="454" t="n"/>
      <c r="N244" s="454" t="n"/>
    </row>
    <row r="245" ht="15" customHeight="1">
      <c r="C245" s="458" t="n"/>
      <c r="D245" s="1050" t="n"/>
      <c r="E245" s="1050" t="n"/>
      <c r="F245" s="1052">
        <f>IFERROR(D245/$D$7-1,NA())</f>
        <v/>
      </c>
      <c r="G245" s="1052">
        <f>IFERROR(E245/$E$7-1,NA())</f>
        <v/>
      </c>
      <c r="H245" s="454" t="n"/>
      <c r="I245" s="454" t="n"/>
      <c r="J245" s="454" t="n"/>
      <c r="K245" s="454" t="n"/>
      <c r="L245" s="454" t="n"/>
      <c r="M245" s="454" t="n"/>
      <c r="N245" s="454" t="n"/>
    </row>
    <row r="246" ht="15" customHeight="1">
      <c r="C246" s="458" t="n"/>
      <c r="D246" s="1050" t="n"/>
      <c r="E246" s="1050" t="n"/>
      <c r="F246" s="1052">
        <f>IFERROR(D246/$D$7-1,NA())</f>
        <v/>
      </c>
      <c r="G246" s="1052">
        <f>IFERROR(E246/$E$7-1,NA())</f>
        <v/>
      </c>
      <c r="H246" s="454" t="n"/>
      <c r="I246" s="454" t="n"/>
      <c r="J246" s="454" t="n"/>
      <c r="K246" s="454" t="n"/>
      <c r="L246" s="454" t="n"/>
      <c r="M246" s="454" t="n"/>
      <c r="N246" s="454" t="n"/>
    </row>
    <row r="247" ht="15" customHeight="1">
      <c r="C247" s="458" t="n"/>
      <c r="D247" s="1050" t="n"/>
      <c r="E247" s="1050" t="n"/>
      <c r="F247" s="1052">
        <f>IFERROR(D247/$D$7-1,NA())</f>
        <v/>
      </c>
      <c r="G247" s="1052">
        <f>IFERROR(E247/$E$7-1,NA())</f>
        <v/>
      </c>
      <c r="H247" s="454" t="n"/>
      <c r="I247" s="454" t="n"/>
      <c r="J247" s="454" t="n"/>
      <c r="K247" s="454" t="n"/>
      <c r="L247" s="454" t="n"/>
      <c r="M247" s="454" t="n"/>
      <c r="N247" s="454" t="n"/>
    </row>
    <row r="248" ht="15" customHeight="1">
      <c r="C248" s="458" t="n"/>
      <c r="D248" s="1050" t="n"/>
      <c r="E248" s="1050" t="n"/>
      <c r="F248" s="1052">
        <f>IFERROR(D248/$D$7-1,NA())</f>
        <v/>
      </c>
      <c r="G248" s="1052">
        <f>IFERROR(E248/$E$7-1,NA())</f>
        <v/>
      </c>
      <c r="H248" s="454" t="n"/>
      <c r="I248" s="454" t="n"/>
      <c r="J248" s="454" t="n"/>
      <c r="K248" s="454" t="n"/>
      <c r="L248" s="454" t="n"/>
      <c r="M248" s="454" t="n"/>
      <c r="N248" s="454" t="n"/>
    </row>
    <row r="249" ht="15" customHeight="1">
      <c r="C249" s="458" t="n"/>
      <c r="D249" s="1050" t="n"/>
      <c r="E249" s="1050" t="n"/>
      <c r="F249" s="1052">
        <f>IFERROR(D249/$D$7-1,NA())</f>
        <v/>
      </c>
      <c r="G249" s="1052">
        <f>IFERROR(E249/$E$7-1,NA())</f>
        <v/>
      </c>
      <c r="H249" s="454" t="n"/>
      <c r="I249" s="454" t="n"/>
      <c r="J249" s="454" t="n"/>
      <c r="K249" s="454" t="n"/>
      <c r="L249" s="454" t="n"/>
      <c r="M249" s="454" t="n"/>
      <c r="N249" s="454" t="n"/>
    </row>
    <row r="250" ht="15" customHeight="1">
      <c r="C250" s="458" t="n"/>
      <c r="D250" s="1050" t="n"/>
      <c r="E250" s="1050" t="n"/>
      <c r="F250" s="1052">
        <f>IFERROR(D250/$D$7-1,NA())</f>
        <v/>
      </c>
      <c r="G250" s="1052">
        <f>IFERROR(E250/$E$7-1,NA())</f>
        <v/>
      </c>
      <c r="H250" s="454" t="n"/>
      <c r="I250" s="454" t="n"/>
      <c r="J250" s="454" t="n"/>
      <c r="K250" s="454" t="n"/>
      <c r="L250" s="454" t="n"/>
      <c r="M250" s="454" t="n"/>
      <c r="N250" s="454" t="n"/>
    </row>
    <row r="251" ht="15" customHeight="1">
      <c r="C251" s="458" t="n"/>
      <c r="D251" s="1050" t="n"/>
      <c r="E251" s="1050" t="n"/>
      <c r="F251" s="1052">
        <f>IFERROR(D251/$D$7-1,NA())</f>
        <v/>
      </c>
      <c r="G251" s="1052">
        <f>IFERROR(E251/$E$7-1,NA())</f>
        <v/>
      </c>
      <c r="H251" s="454" t="n"/>
      <c r="I251" s="454" t="n"/>
      <c r="J251" s="454" t="n"/>
      <c r="K251" s="454" t="n"/>
      <c r="L251" s="454" t="n"/>
      <c r="M251" s="454" t="n"/>
      <c r="N251" s="454" t="n"/>
    </row>
    <row r="252" ht="15" customHeight="1">
      <c r="C252" s="458" t="n"/>
      <c r="D252" s="1050" t="n"/>
      <c r="E252" s="1050" t="n"/>
      <c r="F252" s="1052">
        <f>IFERROR(D252/$D$7-1,NA())</f>
        <v/>
      </c>
      <c r="G252" s="1052">
        <f>IFERROR(E252/$E$7-1,NA())</f>
        <v/>
      </c>
      <c r="H252" s="454" t="n"/>
      <c r="I252" s="454" t="n"/>
      <c r="J252" s="454" t="n"/>
      <c r="K252" s="454" t="n"/>
      <c r="L252" s="454" t="n"/>
      <c r="M252" s="454" t="n"/>
      <c r="N252" s="454" t="n"/>
    </row>
    <row r="253" ht="15" customHeight="1">
      <c r="C253" s="458" t="n"/>
      <c r="D253" s="1050" t="n"/>
      <c r="E253" s="1050" t="n"/>
      <c r="F253" s="1052">
        <f>IFERROR(D253/$D$7-1,NA())</f>
        <v/>
      </c>
      <c r="G253" s="1052">
        <f>IFERROR(E253/$E$7-1,NA())</f>
        <v/>
      </c>
      <c r="H253" s="454" t="n"/>
      <c r="I253" s="454" t="n"/>
      <c r="J253" s="454" t="n"/>
      <c r="K253" s="454" t="n"/>
      <c r="L253" s="454" t="n"/>
      <c r="M253" s="454" t="n"/>
      <c r="N253" s="454" t="n"/>
    </row>
    <row r="254" ht="15" customHeight="1">
      <c r="C254" s="458" t="n"/>
      <c r="D254" s="1050" t="n"/>
      <c r="E254" s="1050" t="n"/>
      <c r="F254" s="1052">
        <f>IFERROR(D254/$D$7-1,NA())</f>
        <v/>
      </c>
      <c r="G254" s="1052">
        <f>IFERROR(E254/$E$7-1,NA())</f>
        <v/>
      </c>
      <c r="H254" s="454" t="n"/>
      <c r="I254" s="454" t="n"/>
      <c r="J254" s="454" t="n"/>
      <c r="K254" s="454" t="n"/>
      <c r="L254" s="454" t="n"/>
      <c r="M254" s="454" t="n"/>
      <c r="N254" s="454" t="n"/>
    </row>
    <row r="255" ht="15" customHeight="1">
      <c r="C255" s="458" t="n"/>
      <c r="D255" s="1050" t="n"/>
      <c r="E255" s="1050" t="n"/>
      <c r="F255" s="1052">
        <f>IFERROR(D255/$D$7-1,NA())</f>
        <v/>
      </c>
      <c r="G255" s="1052">
        <f>IFERROR(E255/$E$7-1,NA())</f>
        <v/>
      </c>
      <c r="H255" s="454" t="n"/>
      <c r="I255" s="454" t="n"/>
      <c r="J255" s="454" t="n"/>
      <c r="K255" s="454" t="n"/>
      <c r="L255" s="454" t="n"/>
      <c r="M255" s="454" t="n"/>
      <c r="N255" s="454" t="n"/>
    </row>
    <row r="256" ht="15" customHeight="1">
      <c r="C256" s="458" t="n"/>
      <c r="D256" s="1050" t="n"/>
      <c r="E256" s="1050" t="n"/>
      <c r="F256" s="1052">
        <f>IFERROR(D256/$D$7-1,NA())</f>
        <v/>
      </c>
      <c r="G256" s="1052">
        <f>IFERROR(E256/$E$7-1,NA())</f>
        <v/>
      </c>
      <c r="H256" s="454" t="n"/>
      <c r="I256" s="454" t="n"/>
      <c r="J256" s="454" t="n"/>
      <c r="K256" s="454" t="n"/>
      <c r="L256" s="454" t="n"/>
      <c r="M256" s="454" t="n"/>
      <c r="N256" s="454" t="n"/>
    </row>
    <row r="257" ht="15" customHeight="1">
      <c r="C257" s="458" t="n"/>
      <c r="D257" s="1050" t="n"/>
      <c r="E257" s="1050" t="n"/>
      <c r="F257" s="1052">
        <f>IFERROR(D257/$D$7-1,NA())</f>
        <v/>
      </c>
      <c r="G257" s="1052">
        <f>IFERROR(E257/$E$7-1,NA())</f>
        <v/>
      </c>
      <c r="H257" s="454" t="n"/>
      <c r="I257" s="454" t="n"/>
      <c r="J257" s="454" t="n"/>
      <c r="K257" s="454" t="n"/>
      <c r="L257" s="454" t="n"/>
      <c r="M257" s="454" t="n"/>
      <c r="N257" s="454" t="n"/>
    </row>
    <row r="258" ht="15" customHeight="1">
      <c r="A258" s="450" t="inlineStr">
        <is>
          <t>x</t>
        </is>
      </c>
      <c r="B258" s="445" t="inlineStr">
        <is>
          <t>x</t>
        </is>
      </c>
      <c r="C258" s="458" t="n"/>
      <c r="D258" s="1050" t="n"/>
      <c r="E258" s="1050" t="n"/>
      <c r="F258" s="1052">
        <f>IFERROR(D258/$D$7-1,NA())</f>
        <v/>
      </c>
      <c r="G258" s="1052">
        <f>IFERROR(E258/$E$7-1,NA())</f>
        <v/>
      </c>
      <c r="H258" s="454" t="n"/>
      <c r="I258" s="454" t="n"/>
      <c r="J258" s="454" t="n"/>
      <c r="K258" s="454" t="n"/>
      <c r="L258" s="454" t="n"/>
      <c r="M258" s="454" t="n"/>
      <c r="N258" s="454" t="n"/>
    </row>
    <row r="259" ht="15" customHeight="1">
      <c r="A259" s="450" t="inlineStr">
        <is>
          <t>End</t>
        </is>
      </c>
      <c r="H259" s="454" t="n"/>
      <c r="I259" s="454" t="n"/>
      <c r="J259" s="454" t="n"/>
      <c r="K259" s="454" t="n"/>
      <c r="L259" s="454" t="n"/>
      <c r="M259" s="454" t="n"/>
      <c r="N259" s="454" t="n"/>
    </row>
  </sheetData>
  <hyperlinks>
    <hyperlink ref="B1" location="'Cover Page'!A1" display="'Cover Page'!A1"/>
  </hyperlinks>
  <pageMargins left="0.7" right="0.7" top="0.75" bottom="0.75" header="0.3" footer="0.3"/>
  <pageSetup orientation="portrait" scale="17"/>
  <drawing xmlns:r="http://schemas.openxmlformats.org/officeDocument/2006/relationships" r:id="rId1"/>
  <legacyDrawing xmlns:r="http://schemas.openxmlformats.org/officeDocument/2006/relationships" r:id="anysvml"/>
</worksheet>
</file>

<file path=xl/worksheets/sheet24.xml><?xml version="1.0" encoding="utf-8"?>
<worksheet xmlns="http://schemas.openxmlformats.org/spreadsheetml/2006/main">
  <sheetPr>
    <tabColor theme="2" tint="-0.499984740745262"/>
    <outlinePr summaryBelow="1" summaryRight="1"/>
    <pageSetUpPr/>
  </sheetPr>
  <dimension ref="A1:B1"/>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453125" customWidth="1" style="445" min="1" max="2"/>
    <col width="13.453125" customWidth="1" style="445" min="3" max="3"/>
    <col width="13.453125" customWidth="1" style="445" min="4" max="16384"/>
  </cols>
  <sheetData>
    <row r="1" ht="15" customHeight="1">
      <c r="A1" s="443" t="inlineStr">
        <is>
          <t>VII. Valuation Football Fields</t>
        </is>
      </c>
      <c r="B1" s="444">
        <f>'Cover Page'!A1</f>
        <v/>
      </c>
    </row>
  </sheetData>
  <hyperlinks>
    <hyperlink ref="B1" location="'Cover Page'!A1" display="'Cover Page'!A1"/>
  </hyperlinks>
  <pageMargins left="0.7" right="0.7" top="0.75" bottom="0.75" header="0.3" footer="0.3"/>
  <pageSetup orientation="portrait"/>
</worksheet>
</file>

<file path=xl/worksheets/sheet25.xml><?xml version="1.0" encoding="utf-8"?>
<worksheet xmlns="http://schemas.openxmlformats.org/spreadsheetml/2006/main">
  <sheetPr>
    <tabColor theme="2" tint="-0.499984740745262"/>
    <outlinePr summaryBelow="1" summaryRight="1"/>
    <pageSetUpPr fitToPage="1"/>
  </sheetPr>
  <dimension ref="A1:L48"/>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453125" customWidth="1" style="445" min="1" max="2"/>
    <col width="13.453125" customWidth="1" style="445" min="3" max="8"/>
    <col width="1.453125" customWidth="1" style="445" min="9" max="9"/>
    <col width="13.453125" customWidth="1" style="445" min="10" max="15"/>
    <col width="13.453125" customWidth="1" style="445" min="16" max="16384"/>
  </cols>
  <sheetData>
    <row r="1" ht="15" customHeight="1">
      <c r="A1" s="443">
        <f>C2</f>
        <v/>
      </c>
      <c r="B1" s="444">
        <f>'Cover Page'!A1</f>
        <v/>
      </c>
    </row>
    <row r="2" ht="15" customHeight="1">
      <c r="C2" s="446">
        <f>"$"&amp;'[1]Cover Page'!E16&amp;" Valuation FF"</f>
        <v/>
      </c>
      <c r="D2" s="446" t="n"/>
      <c r="E2" s="446" t="n"/>
      <c r="F2" s="463" t="n"/>
      <c r="G2" s="463" t="n"/>
      <c r="H2" s="447">
        <f>'[1]Cover Page'!C2</f>
        <v/>
      </c>
      <c r="I2" s="448" t="n"/>
      <c r="J2" s="448" t="n"/>
      <c r="K2" s="448" t="n"/>
      <c r="L2" s="448" t="n"/>
    </row>
    <row r="3" ht="15" customHeight="1">
      <c r="C3" s="449" t="inlineStr">
        <is>
          <t>All Values in Millions ($USD), Except Per-Share Values</t>
        </is>
      </c>
    </row>
    <row r="5" ht="15" customHeight="1">
      <c r="A5" s="450" t="inlineStr">
        <is>
          <t>x</t>
        </is>
      </c>
      <c r="B5" s="450" t="inlineStr">
        <is>
          <t>x</t>
        </is>
      </c>
      <c r="C5" s="464">
        <f>'[1]$FRSH Comparable Companies'!C12</f>
        <v/>
      </c>
      <c r="D5" s="465" t="n"/>
      <c r="E5" s="466" t="inlineStr">
        <is>
          <t>Weight</t>
        </is>
      </c>
      <c r="F5" s="467" t="inlineStr">
        <is>
          <t>Price per Share</t>
        </is>
      </c>
      <c r="G5" s="468" t="n"/>
      <c r="H5" s="468" t="n"/>
    </row>
    <row r="6" ht="15" customHeight="1">
      <c r="C6" s="469" t="n"/>
      <c r="D6" s="470" t="n"/>
      <c r="E6" s="470" t="n"/>
      <c r="F6" s="471" t="inlineStr">
        <is>
          <t>Low</t>
        </is>
      </c>
      <c r="G6" s="471" t="inlineStr">
        <is>
          <t>Difference</t>
        </is>
      </c>
      <c r="H6" s="471" t="inlineStr">
        <is>
          <t>High</t>
        </is>
      </c>
    </row>
    <row r="7" ht="15" customHeight="1">
      <c r="C7" s="472" t="inlineStr">
        <is>
          <t>EV/FCF NTM</t>
        </is>
      </c>
      <c r="D7" s="470" t="n"/>
      <c r="E7" s="473" t="n">
        <v>0.143</v>
      </c>
      <c r="F7" s="1053">
        <f>'[1]$FRSH Comparable Companies'!AD30</f>
        <v/>
      </c>
      <c r="G7" s="1054">
        <f>H7-F7</f>
        <v/>
      </c>
      <c r="H7" s="1053">
        <f>'[1]$FRSH Comparable Companies'!AD31</f>
        <v/>
      </c>
    </row>
    <row r="8" ht="15" customHeight="1">
      <c r="C8" s="476" t="inlineStr">
        <is>
          <t>EV/EBITDA NTM</t>
        </is>
      </c>
      <c r="D8" s="470" t="n"/>
      <c r="E8" s="473" t="n">
        <v>0.143</v>
      </c>
      <c r="F8" s="1053">
        <f>'[1]$FRSH Comparable Companies'!X30</f>
        <v/>
      </c>
      <c r="G8" s="1054">
        <f>H8-F8</f>
        <v/>
      </c>
      <c r="H8" s="1053">
        <f>'[1]$FRSH Comparable Companies'!X31</f>
        <v/>
      </c>
    </row>
    <row r="9" ht="15" customHeight="1">
      <c r="C9" s="472" t="inlineStr">
        <is>
          <t>EV/Revenue NTM</t>
        </is>
      </c>
      <c r="D9" s="470" t="n"/>
      <c r="E9" s="473" t="n">
        <v>0.143</v>
      </c>
      <c r="F9" s="1053">
        <f>'[1]$FRSH Comparable Companies'!AB30</f>
        <v/>
      </c>
      <c r="G9" s="1054">
        <f>H9-F9</f>
        <v/>
      </c>
      <c r="H9" s="1053">
        <f>'[1]$FRSH Comparable Companies'!AB31</f>
        <v/>
      </c>
    </row>
    <row r="10" ht="15" customHeight="1">
      <c r="C10" s="476" t="inlineStr">
        <is>
          <t>EV/EBIT NTM</t>
        </is>
      </c>
      <c r="D10" s="470" t="n"/>
      <c r="E10" s="473" t="n">
        <v>0.143</v>
      </c>
      <c r="F10" s="1053">
        <f>'[1]$FRSH Comparable Companies'!Z30</f>
        <v/>
      </c>
      <c r="G10" s="1054">
        <f>H10-F10</f>
        <v/>
      </c>
      <c r="H10" s="1053">
        <f>'[1]$FRSH Comparable Companies'!Z31</f>
        <v/>
      </c>
    </row>
    <row r="11" ht="15" customHeight="1">
      <c r="C11" s="476" t="inlineStr">
        <is>
          <t>DCF Gordon Growth</t>
        </is>
      </c>
      <c r="D11" s="470" t="n"/>
      <c r="E11" s="473" t="n">
        <v>0.143</v>
      </c>
      <c r="F11" s="1053">
        <f>'[1]$FRSH DCF'!J99</f>
        <v/>
      </c>
      <c r="G11" s="1054">
        <f>H11-F11</f>
        <v/>
      </c>
      <c r="H11" s="1053">
        <f>'[1]$FRSH DCF'!H101</f>
        <v/>
      </c>
    </row>
    <row r="12" ht="15" customHeight="1">
      <c r="C12" s="476" t="inlineStr">
        <is>
          <t>DCF Exit Multiple Method</t>
        </is>
      </c>
      <c r="D12" s="470" t="n"/>
      <c r="E12" s="473" t="n">
        <v>0.143</v>
      </c>
      <c r="F12" s="1053">
        <f>'[1]$FRSH DCF'!H73</f>
        <v/>
      </c>
      <c r="G12" s="1054">
        <f>H12-F12</f>
        <v/>
      </c>
      <c r="H12" s="1053">
        <f>'[1]$FRSH DCF'!J75</f>
        <v/>
      </c>
    </row>
    <row r="13" ht="15" customHeight="1">
      <c r="C13" s="476" t="inlineStr">
        <is>
          <t>Precedent Transactions</t>
        </is>
      </c>
      <c r="D13" s="470" t="n"/>
      <c r="E13" s="473" t="n">
        <v>0.143</v>
      </c>
      <c r="F13" s="1053">
        <f>'[1]Precendent Transactions'!J33</f>
        <v/>
      </c>
      <c r="G13" s="1054">
        <f>H13-F13</f>
        <v/>
      </c>
      <c r="H13" s="1053">
        <f>'[1]Precendent Transactions'!J34</f>
        <v/>
      </c>
    </row>
    <row r="14" ht="15" customHeight="1">
      <c r="C14" s="472" t="inlineStr">
        <is>
          <t>52-Week Range</t>
        </is>
      </c>
      <c r="D14" s="470" t="n"/>
      <c r="E14" s="477" t="n"/>
      <c r="F14" s="1055">
        <f t="array" ref="F14">_xll.FDS('[1]$FRSH Comparable Companies'!E12,"FF_PRICE_LOW_52WK")</f>
        <v/>
      </c>
      <c r="G14" s="1054">
        <f>H14-F14</f>
        <v/>
      </c>
      <c r="H14" s="1056">
        <f t="array" ref="H14">_xll.FDS('[1]$FRSH Comparable Companies'!E12,"FF_PRICE_HIGH_52WK")</f>
        <v/>
      </c>
    </row>
    <row r="15" ht="15" customHeight="1">
      <c r="C15" s="470" t="n"/>
      <c r="D15" s="470" t="n"/>
      <c r="E15" s="470" t="n"/>
      <c r="F15" s="470" t="n"/>
      <c r="G15" s="470" t="n"/>
      <c r="H15" s="470" t="n"/>
    </row>
    <row r="16" ht="15" customHeight="1">
      <c r="C16" s="480" t="inlineStr">
        <is>
          <t>Implied Price Per Share - Low</t>
        </is>
      </c>
      <c r="D16" s="481" t="n"/>
      <c r="E16" s="482" t="n"/>
      <c r="F16" s="482" t="n"/>
      <c r="G16" s="482" t="n"/>
      <c r="H16" s="1057">
        <f>SUMPRODUCT(E7:E14,F7:F14)</f>
        <v/>
      </c>
    </row>
    <row r="17" ht="15" customHeight="1">
      <c r="C17" s="484" t="inlineStr">
        <is>
          <t>Implied Price Per Share - High</t>
        </is>
      </c>
      <c r="D17" s="485" t="n"/>
      <c r="E17" s="485" t="n"/>
      <c r="F17" s="485" t="n"/>
      <c r="G17" s="485" t="n"/>
      <c r="H17" s="1058">
        <f>SUMPRODUCT(E7:E14,H7:H14)</f>
        <v/>
      </c>
    </row>
    <row r="18" ht="15" customHeight="1">
      <c r="C18" s="487" t="n"/>
      <c r="D18" s="470" t="n"/>
      <c r="E18" s="470" t="n"/>
      <c r="F18" s="470" t="n"/>
      <c r="G18" s="470" t="n"/>
      <c r="H18" s="1059" t="n"/>
    </row>
    <row r="19" ht="15" customHeight="1">
      <c r="C19" s="480" t="inlineStr">
        <is>
          <t>Implied Equity Value - Low</t>
        </is>
      </c>
      <c r="D19" s="481" t="n"/>
      <c r="E19" s="481" t="n"/>
      <c r="F19" s="481" t="n"/>
      <c r="G19" s="481" t="n"/>
      <c r="H19" s="1060">
        <f>H16*'[1]$FRSH Comparable Companies'!$G$12</f>
        <v/>
      </c>
    </row>
    <row r="20" ht="15" customHeight="1">
      <c r="C20" s="484" t="inlineStr">
        <is>
          <t>Implied Equity Value - High</t>
        </is>
      </c>
      <c r="D20" s="485" t="n"/>
      <c r="E20" s="485" t="n"/>
      <c r="F20" s="485" t="n"/>
      <c r="G20" s="485" t="n"/>
      <c r="H20" s="1061">
        <f>H17*'[1]$FRSH Comparable Companies'!$G$12</f>
        <v/>
      </c>
    </row>
    <row r="21" ht="15" customHeight="1">
      <c r="C21" s="487" t="n"/>
      <c r="D21" s="470" t="n"/>
      <c r="E21" s="470" t="n"/>
      <c r="F21" s="470" t="n"/>
      <c r="G21" s="470" t="n"/>
      <c r="H21" s="1059" t="n"/>
    </row>
    <row r="22" ht="15" customHeight="1">
      <c r="C22" s="480" t="inlineStr">
        <is>
          <t>Implied Enterprise Value - Low</t>
        </is>
      </c>
      <c r="D22" s="481" t="n"/>
      <c r="E22" s="481" t="n"/>
      <c r="F22" s="481" t="n"/>
      <c r="G22" s="481" t="n"/>
      <c r="H22" s="1060">
        <f>(H19+'[1]$FRSH Comparable Companies'!$J$12-'[1]$FRSH Comparable Companies'!$K$12)</f>
        <v/>
      </c>
    </row>
    <row r="23" ht="15" customHeight="1">
      <c r="C23" s="484" t="inlineStr">
        <is>
          <t>Implied Enterprise Value - High</t>
        </is>
      </c>
      <c r="D23" s="485" t="n"/>
      <c r="E23" s="485" t="n"/>
      <c r="F23" s="485" t="n"/>
      <c r="G23" s="485" t="n"/>
      <c r="H23" s="1061">
        <f>(H20+'[1]$FRSH Comparable Companies'!$J$12-'[1]$FRSH Comparable Companies'!$K$12)</f>
        <v/>
      </c>
    </row>
    <row r="24" ht="15" customHeight="1">
      <c r="C24" s="487" t="n"/>
      <c r="D24" s="470" t="n"/>
      <c r="E24" s="470" t="n"/>
      <c r="F24" s="470" t="n"/>
      <c r="G24" s="470" t="n"/>
      <c r="H24" s="1059" t="n"/>
    </row>
    <row r="25" ht="15" customHeight="1">
      <c r="C25" s="480" t="inlineStr">
        <is>
          <t>Implied EV/NTM Adj. EBITDA - Low</t>
        </is>
      </c>
      <c r="D25" s="481" t="n"/>
      <c r="E25" s="481" t="n"/>
      <c r="F25" s="481" t="n"/>
      <c r="G25" s="481" t="n"/>
      <c r="H25" s="1062">
        <f>H22/'[1]$FRSH Standalone 3SM'!$M$38</f>
        <v/>
      </c>
      <c r="I25" s="450" t="n"/>
    </row>
    <row r="26" ht="15" customHeight="1">
      <c r="C26" s="484" t="inlineStr">
        <is>
          <t>Implied EV/NTM Adj. EBITDA - High</t>
        </is>
      </c>
      <c r="D26" s="485" t="n"/>
      <c r="E26" s="485" t="n"/>
      <c r="F26" s="485" t="n"/>
      <c r="G26" s="485" t="n"/>
      <c r="H26" s="1063">
        <f>H23/'[1]$FRSH Standalone 3SM'!$M$38</f>
        <v/>
      </c>
    </row>
    <row r="27" ht="15" customHeight="1">
      <c r="C27" s="470" t="n"/>
      <c r="D27" s="470" t="n"/>
      <c r="E27" s="470" t="n"/>
      <c r="F27" s="470" t="n"/>
      <c r="G27" s="470" t="n"/>
      <c r="H27" s="470" t="n"/>
    </row>
    <row r="28" ht="15" customHeight="1">
      <c r="C28" s="480" t="inlineStr">
        <is>
          <t>Implied Upside (Downside) to Purchase Price - Low</t>
        </is>
      </c>
      <c r="D28" s="481" t="n"/>
      <c r="E28" s="481" t="n"/>
      <c r="F28" s="481" t="n"/>
      <c r="G28" s="481" t="n"/>
      <c r="H28" s="493">
        <f>(H16-'[1]Transaction Summary'!$G$15)/'[1]Transaction Summary'!$G$15</f>
        <v/>
      </c>
    </row>
    <row r="29" ht="15" customHeight="1">
      <c r="B29" s="450" t="inlineStr">
        <is>
          <t>x</t>
        </is>
      </c>
      <c r="C29" s="484" t="inlineStr">
        <is>
          <t>Implied Upside (Downside) to Purchase Price - High</t>
        </is>
      </c>
      <c r="D29" s="485" t="n"/>
      <c r="E29" s="485" t="n"/>
      <c r="F29" s="485" t="n"/>
      <c r="G29" s="485" t="n"/>
      <c r="H29" s="494">
        <f>(H17-'[1]Transaction Summary'!$G$15)/'[1]Transaction Summary'!$G$15</f>
        <v/>
      </c>
    </row>
    <row r="47" ht="15" customHeight="1">
      <c r="A47" s="450" t="inlineStr">
        <is>
          <t>x</t>
        </is>
      </c>
      <c r="B47" s="450" t="inlineStr">
        <is>
          <t>x</t>
        </is>
      </c>
    </row>
    <row r="48" ht="15" customHeight="1">
      <c r="A48" s="450" t="inlineStr">
        <is>
          <t>End</t>
        </is>
      </c>
    </row>
  </sheetData>
  <hyperlinks>
    <hyperlink ref="B1" location="'Cover Page'!A1" display="'Cover Page'!A1"/>
  </hyperlinks>
  <pageMargins left="0.7" right="0.7" top="0.75" bottom="0.75" header="0.3" footer="0.3"/>
  <pageSetup orientation="portrait" scale="97"/>
  <drawing xmlns:r="http://schemas.openxmlformats.org/officeDocument/2006/relationships" r:id="rId1"/>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M6"/>
  <sheetViews>
    <sheetView showGridLines="0" tabSelected="0" workbookViewId="0">
      <selection activeCell="A1" sqref="A1"/>
    </sheetView>
  </sheetViews>
  <sheetFormatPr baseColWidth="8" defaultRowHeight="14.5"/>
  <cols>
    <col width="1.73" customWidth="1" min="1" max="1"/>
    <col width="1.73" customWidth="1" min="2" max="2"/>
  </cols>
  <sheetData>
    <row r="1" ht="12.75" customHeight="1">
      <c r="A1" s="924">
        <f>C3</f>
        <v/>
      </c>
      <c r="B1" s="925">
        <f>'Cover Page'!A1</f>
        <v/>
      </c>
    </row>
    <row r="2" ht="12.75" customHeight="1"/>
    <row r="3" ht="14.25" customHeight="1">
      <c r="C3" s="926" t="inlineStr">
        <is>
          <t>Charts</t>
        </is>
      </c>
      <c r="D3" s="927" t="n"/>
      <c r="E3" s="927" t="n"/>
      <c r="F3" s="927" t="n"/>
      <c r="G3" s="927" t="n"/>
      <c r="H3" s="927" t="n"/>
      <c r="I3" s="927" t="n"/>
      <c r="J3" s="927" t="n"/>
      <c r="K3" s="927" t="n"/>
      <c r="L3" s="927" t="n"/>
      <c r="M3" s="928" t="inlineStr">
        <is>
          <t>Xerox Holdings Corporation</t>
        </is>
      </c>
    </row>
    <row r="4" ht="12.75" customHeight="1">
      <c r="C4" s="929" t="inlineStr">
        <is>
          <t>All values in $ millions (USD)</t>
        </is>
      </c>
    </row>
    <row r="6">
      <c r="C6" s="1049" t="inlineStr">
        <is>
          <t>Placeholder - to be built (see notes in model summary).</t>
        </is>
      </c>
    </row>
  </sheetData>
  <hyperlinks>
    <hyperlink ref="B1" location="'Cover Page'!A1" display="'Cover Page'!A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Abedi, Steph</dc:creator>
  <dc:language xmlns:dc="http://purl.org/dc/elements/1.1/">en-US</dc:language>
  <dcterms:created xmlns:dcterms="http://purl.org/dc/terms/" xmlns:xsi="http://www.w3.org/2001/XMLSchema-instance" xsi:type="dcterms:W3CDTF">2026-10-16T18:10:53Z</dcterms:created>
  <dcterms:modified xmlns:dcterms="http://purl.org/dc/terms/" xmlns:xsi="http://www.w3.org/2001/XMLSchema-instance" xsi:type="dcterms:W3CDTF">2026-10-17T16:44:49Z</dcterms:modified>
  <cp:lastModifiedBy>Abedi, Stephan</cp:lastModifiedBy>
  <cp:revision>0</cp:revision>
</cp:coreProperties>
</file>