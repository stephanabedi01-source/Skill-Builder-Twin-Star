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Financial Statements &gt;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IS Out" sheetId="4" state="visible" r:id="rId4"/>
    <sheet xmlns:r="http://schemas.openxmlformats.org/officeDocument/2006/relationships" name="CFS" sheetId="5" state="visible" r:id="rId5"/>
    <sheet xmlns:r="http://schemas.openxmlformats.org/officeDocument/2006/relationships" name="CFS Out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BS Out" sheetId="8" state="visible" r:id="rId8"/>
    <sheet xmlns:r="http://schemas.openxmlformats.org/officeDocument/2006/relationships" name="Credit Analysis &gt;" sheetId="9" state="visible" r:id="rId9"/>
    <sheet xmlns:r="http://schemas.openxmlformats.org/officeDocument/2006/relationships" name="NWC" sheetId="10" state="visible" r:id="rId10"/>
    <sheet xmlns:r="http://schemas.openxmlformats.org/officeDocument/2006/relationships" name="Quarterly NWC" sheetId="11" state="visible" r:id="rId11"/>
    <sheet xmlns:r="http://schemas.openxmlformats.org/officeDocument/2006/relationships" name="Capital Structure" sheetId="12" state="visible" r:id="rId12"/>
    <sheet xmlns:r="http://schemas.openxmlformats.org/officeDocument/2006/relationships" name="Maturity Schedule" sheetId="13" state="visible" r:id="rId13"/>
    <sheet xmlns:r="http://schemas.openxmlformats.org/officeDocument/2006/relationships" name="Pricing" sheetId="14" state="visible" r:id="rId14"/>
    <sheet xmlns:r="http://schemas.openxmlformats.org/officeDocument/2006/relationships" name="References &gt;" sheetId="15" state="visible" r:id="rId15"/>
    <sheet xmlns:r="http://schemas.openxmlformats.org/officeDocument/2006/relationships" name="Sources" sheetId="16" state="visible" r:id="rId16"/>
  </sheets>
  <definedNames>
    <definedName name="_xlnm.Print_Area" localSheetId="0">'Cover Page'!$A$1:$L$34</definedName>
    <definedName name="_xlnm.Print_Area" localSheetId="2">'IS'!$A$1:$AI$83</definedName>
    <definedName name="_xlnm.Print_Area" localSheetId="3">'IS Out'!$A$1:$K$54</definedName>
    <definedName name="_xlnm.Print_Area" localSheetId="4">'CFS'!$C$2:$AJ$86</definedName>
    <definedName name="_xlnm.Print_Area" localSheetId="5">'CFS Out'!$C$2:$N$69</definedName>
    <definedName name="_xlnm.Print_Area" localSheetId="6">'BS'!$C$2:$AH$86</definedName>
    <definedName name="_xlnm.Print_Area" localSheetId="7">'BS Out'!$C$2:$L$62</definedName>
    <definedName name="_xlnm.Print_Area" localSheetId="11">'Capital Structure'!$B$2:$T$48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3">
    <numFmt numFmtId="164" formatCode="yyyy\-mm\-dd"/>
    <numFmt numFmtId="165" formatCode="\$#,##0_);&quot;($&quot;#,##0\);\-_)"/>
    <numFmt numFmtId="166" formatCode="#,##0_);\(#,##0\);\-_)"/>
    <numFmt numFmtId="167" formatCode="\$0.00_);&quot;($&quot;0.00\);\-_)"/>
    <numFmt numFmtId="168" formatCode="0.0%_);\(0.0%\);\-_)"/>
    <numFmt numFmtId="169" formatCode="mmm\-yy"/>
    <numFmt numFmtId="170" formatCode="\$#,##0_);&quot;($&quot;#,##0\);\-"/>
    <numFmt numFmtId="171" formatCode="#,##0_);\(#,##0\);\-"/>
    <numFmt numFmtId="172" formatCode="#,##0.000_);\(#,##0.000\);\-"/>
    <numFmt numFmtId="173" formatCode="#,##0.0%_);\(#,##0.0%\);\-"/>
    <numFmt numFmtId="174" formatCode="0.0\x"/>
    <numFmt numFmtId="175" formatCode="&quot;$&quot;#,##0_);\(&quot;$&quot;#,##0\);\ \-_)"/>
    <numFmt numFmtId="176" formatCode="&quot;$&quot;#,##0_);\(&quot;$&quot;#,##0\)"/>
    <numFmt numFmtId="177" formatCode="#,##0_);\(#,##0\);\ \-_)"/>
    <numFmt numFmtId="178" formatCode="#,##0_);\(#,##0\)"/>
    <numFmt numFmtId="179" formatCode="#,##0.0_);\(#,##0.0\);\ \-_)"/>
    <numFmt numFmtId="180" formatCode="&quot;$&quot;#,##0.000_);\(&quot;$&quot;#,##0.000\);\ \-_)"/>
    <numFmt numFmtId="181" formatCode="&quot;Data as of &quot;mm/dd/yyyy"/>
    <numFmt numFmtId="182" formatCode="&quot;$&quot;#,##0_);\(&quot;$&quot;#,##0\);&quot;$&quot;\ \–?"/>
    <numFmt numFmtId="183" formatCode="0.0\x_);\(0.0\x\);0.0\x_);@_)"/>
    <numFmt numFmtId="184" formatCode="&quot;S + &quot;#"/>
    <numFmt numFmtId="185" formatCode="#,##0.000%_);\(#,##0.000%\);#,##0.000%_)"/>
    <numFmt numFmtId="186" formatCode="0.0"/>
    <numFmt numFmtId="187" formatCode="#,##0.0%_);\(#,##0.0%\);#,##0.0%_)"/>
    <numFmt numFmtId="188" formatCode="&quot;S + &quot;0.0"/>
    <numFmt numFmtId="189" formatCode="[$$-409]#,##0_);\([$$-409]#,##0\);[$$-409]\ \–?;@_)"/>
    <numFmt numFmtId="190" formatCode="#,##0_);\(#,##0\);\–?"/>
    <numFmt numFmtId="191" formatCode="0.0\x;\(0.0\x\)"/>
    <numFmt numFmtId="192" formatCode="&quot;$&quot;#,##0_);(&quot;$&quot;#,##0);&quot;$&quot;\-_)"/>
    <numFmt numFmtId="193" formatCode="#,##0_);(#,##0);\-"/>
    <numFmt numFmtId="194" formatCode="[$-409]mmm\-yy;@"/>
    <numFmt numFmtId="195" formatCode="_([$$]#,##0_)_%;\([$$]#,##0\)_%;_(&quot;–&quot;_)_%;_(@_)_%"/>
    <numFmt numFmtId="196" formatCode="_(#,##0_)_%;\(#,##0\)_%;_(&quot;–&quot;_)_%;_(@_)_%"/>
    <numFmt numFmtId="197" formatCode="_([$$]#,##0.00_)_%;\([$$]#,##0.00\)_%;_(&quot;–&quot;_)_%;_(@_)_%"/>
    <numFmt numFmtId="198" formatCode="_(#,##0.0%_);\(#,##0.0%\);_(&quot;–&quot;_)_%;_(@_)_%"/>
    <numFmt numFmtId="199" formatCode=";;;"/>
    <numFmt numFmtId="200" formatCode="_(#,##0.000_)_%;\(#,##0.000\)_%;_(&quot;–&quot;_)_%;_(@_)_%"/>
    <numFmt numFmtId="201" formatCode="_(#,##0.0&quot;x&quot;_)_%;\(#,##0.0&quot;x&quot;\)_%;_(&quot;–&quot;_)_%;_(@_)_%"/>
    <numFmt numFmtId="202" formatCode="_([$$]#,##0.000_)_%;\([$$]#,##0.000\)_%;_(&quot;–&quot;_)_%;_(@_)_%"/>
    <numFmt numFmtId="203" formatCode="_(#,##0.0_)_%;\(#,##0.0\)_%;_(&quot;–&quot;_)_%;_(@_)_%"/>
    <numFmt numFmtId="204" formatCode="_(#,##0.000%_);\(#,##0.000%\);_(&quot;–&quot;_)_%;_(@_)_%"/>
    <numFmt numFmtId="205" formatCode="_(#,##0.00%_);\(#,##0.00%\);_(&quot;–&quot;_)_%;_(@_)_%"/>
    <numFmt numFmtId="206" formatCode="m/d/yy;@"/>
  </numFmts>
  <fonts count="7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color theme="1"/>
      <sz val="9"/>
    </font>
    <font>
      <name val="Segoe UI"/>
      <charset val="1"/>
      <family val="0"/>
      <b val="1"/>
      <color rgb="FF525766"/>
      <sz val="11"/>
    </font>
    <font>
      <name val="Segoe UI"/>
      <charset val="1"/>
      <family val="0"/>
      <b val="1"/>
      <color rgb="FFFF0000"/>
      <sz val="9"/>
    </font>
    <font>
      <name val="Segoe UI"/>
      <charset val="1"/>
      <family val="0"/>
      <color rgb="FF525766"/>
      <sz val="9"/>
    </font>
    <font>
      <name val="Segoe UI"/>
      <charset val="1"/>
      <family val="0"/>
      <i val="1"/>
      <color rgb="FF525766"/>
      <sz val="9"/>
    </font>
    <font>
      <name val="Segoe UI"/>
      <charset val="1"/>
      <family val="0"/>
      <b val="1"/>
      <color rgb="FF525766"/>
      <sz val="9"/>
    </font>
    <font>
      <name val="Segoe UI"/>
      <charset val="1"/>
      <family val="0"/>
      <color rgb="FF0000FF"/>
      <sz val="9"/>
    </font>
    <font>
      <name val="Segoe UI"/>
      <charset val="1"/>
      <family val="0"/>
      <i val="1"/>
      <color rgb="FFFF0000"/>
      <sz val="9"/>
    </font>
    <font>
      <name val="Segoe UI"/>
      <charset val="1"/>
      <family val="0"/>
      <color rgb="FF00B050"/>
      <sz val="9"/>
    </font>
    <font>
      <name val="Arial"/>
      <family val="2"/>
      <sz val="10"/>
    </font>
    <font>
      <name val="Segoe UI"/>
      <charset val="1"/>
      <family val="0"/>
      <b val="1"/>
      <color rgb="FFC00000"/>
      <sz val="9"/>
    </font>
    <font>
      <name val="Segoe UI"/>
      <charset val="1"/>
      <family val="0"/>
      <i val="1"/>
      <color rgb="FF00B050"/>
      <sz val="9"/>
    </font>
    <font>
      <name val="Segoe UI"/>
      <charset val="1"/>
      <family val="0"/>
      <b val="1"/>
      <color rgb="FF525766"/>
      <sz val="10"/>
    </font>
    <font>
      <name val="Segoe UI"/>
      <charset val="1"/>
      <family val="0"/>
      <b val="1"/>
      <color rgb="FFFF0000"/>
      <sz val="10"/>
    </font>
    <font>
      <name val="Segoe UI"/>
      <charset val="1"/>
      <family val="0"/>
      <color rgb="FF525766"/>
      <sz val="10"/>
    </font>
    <font>
      <name val="Segoe UI"/>
      <charset val="1"/>
      <family val="0"/>
      <b val="1"/>
      <color rgb="FF525766"/>
      <sz val="8"/>
    </font>
    <font>
      <name val="Segoe UI"/>
      <charset val="1"/>
      <family val="0"/>
      <i val="1"/>
      <color rgb="FF0000FF"/>
      <sz val="9"/>
    </font>
    <font>
      <name val="Segoe UI"/>
      <charset val="1"/>
      <family val="0"/>
      <b val="1"/>
      <i val="1"/>
      <color rgb="FF525766"/>
      <sz val="9"/>
    </font>
    <font>
      <name val="Segoe UI"/>
      <b val="1"/>
      <color rgb="FF525766"/>
      <sz val="9"/>
    </font>
    <font>
      <name val="Segoe UI"/>
      <b val="1"/>
      <color rgb="FFC00000"/>
      <sz val="9"/>
    </font>
    <font>
      <name val="Segoe UI"/>
      <i val="1"/>
      <color rgb="FF525766"/>
      <sz val="9"/>
    </font>
    <font>
      <name val="Segoe UI"/>
      <b val="1"/>
      <color rgb="FF0000FF"/>
      <sz val="9"/>
    </font>
    <font>
      <name val="Segoe UI"/>
      <color rgb="FF525766"/>
      <sz val="9"/>
    </font>
    <font>
      <name val="Segoe UI"/>
      <color rgb="FF00B050"/>
      <sz val="9"/>
    </font>
    <font>
      <name val="Segoe UI"/>
      <i val="1"/>
      <color rgb="FFFF0000"/>
      <sz val="9"/>
    </font>
    <font>
      <name val="Segoe UI"/>
      <color rgb="FF0000FF"/>
      <sz val="9"/>
    </font>
    <font>
      <name val="Segoe UI"/>
      <i val="1"/>
      <color rgb="FF525766"/>
      <sz val="7"/>
    </font>
    <font>
      <name val="Segoe UI"/>
      <b val="1"/>
      <color rgb="FF0067A5"/>
      <sz val="9"/>
    </font>
    <font>
      <name val="Segoe UI"/>
      <b val="1"/>
      <color rgb="FF525766"/>
      <sz val="8"/>
    </font>
    <font>
      <name val="Segoe UI"/>
      <color rgb="FF525766"/>
      <sz val="8"/>
    </font>
    <font>
      <name val="Segoe UI"/>
      <color rgb="FF0000FF"/>
      <sz val="8"/>
    </font>
    <font>
      <name val="Segoe UI"/>
      <b val="1"/>
      <color rgb="FFC00000"/>
      <sz val="8"/>
    </font>
    <font>
      <name val="Segoe UI"/>
      <i val="1"/>
      <color rgb="FF525766"/>
      <sz val="8"/>
    </font>
    <font>
      <name val="Segoe UI Semibold"/>
      <b val="1"/>
      <color rgb="FF525766"/>
      <sz val="8"/>
    </font>
    <font>
      <name val="Arial"/>
      <i val="1"/>
      <color rgb="FFC00000"/>
      <sz val="10"/>
    </font>
    <font>
      <name val="Arial"/>
      <color rgb="FF525766"/>
      <sz val="10"/>
    </font>
    <font>
      <name val="arial"/>
      <b val="1"/>
      <color rgb="FF0067A5"/>
      <sz val="10"/>
    </font>
    <font>
      <name val="Calibri"/>
      <b val="1"/>
      <color rgb="FFFFFFFF"/>
      <sz val="11"/>
    </font>
    <font>
      <name val="Arial"/>
      <sz val="10"/>
    </font>
    <font>
      <name val="Segoe UI"/>
      <color rgb="FF008000"/>
      <sz val="8"/>
    </font>
    <font>
      <name val="Segoe UI"/>
      <b val="1"/>
      <color rgb="00525766"/>
      <sz val="11"/>
    </font>
    <font>
      <name val="Segoe UI"/>
      <color rgb="00525766"/>
      <sz val="11"/>
    </font>
    <font>
      <name val="Segoe UI"/>
      <i val="1"/>
      <color rgb="00525766"/>
      <sz val="11"/>
    </font>
    <font>
      <name val="Segoe UI"/>
      <b val="1"/>
      <color rgb="00C00000"/>
      <sz val="11"/>
    </font>
    <font>
      <name val="Segoe UI"/>
      <color rgb="00008000"/>
      <sz val="11"/>
    </font>
    <font>
      <name val="Garamond"/>
      <color rgb="00000000"/>
      <sz val="10"/>
    </font>
    <font>
      <name val="Garamond"/>
      <b val="1"/>
      <color rgb="00000000"/>
      <sz val="10"/>
    </font>
    <font>
      <name val="Garamond"/>
      <b val="1"/>
      <color rgb="00FF0000"/>
      <sz val="10"/>
    </font>
    <font>
      <name val="Garamond"/>
      <i val="1"/>
      <color rgb="00000000"/>
      <sz val="10"/>
    </font>
    <font>
      <name val="Garamond"/>
      <color rgb="000000FF"/>
      <sz val="10"/>
    </font>
    <font>
      <name val="Garamond"/>
      <i val="1"/>
      <color rgb="00FF0000"/>
      <sz val="10"/>
    </font>
    <font>
      <name val="Garamond"/>
      <color rgb="00008000"/>
      <sz val="10"/>
    </font>
    <font>
      <name val="Garamond"/>
      <i val="1"/>
      <color rgb="00A6A6A6"/>
      <sz val="10"/>
    </font>
    <font>
      <name val="Garamond"/>
      <i val="1"/>
      <color rgb="00FFFFFF"/>
      <sz val="10"/>
    </font>
    <font>
      <name val="Garamond"/>
      <b val="1"/>
      <color rgb="00FFFFFF"/>
      <sz val="10"/>
    </font>
    <font>
      <name val="Garamond"/>
      <color rgb="00A0A0A0"/>
      <sz val="10"/>
    </font>
    <font>
      <name val="Garamond"/>
      <color rgb="000563C1"/>
      <sz val="10"/>
    </font>
    <font>
      <name val="Garamond"/>
      <i val="1"/>
      <color rgb="00008000"/>
      <sz val="10"/>
    </font>
    <font>
      <name val="Garamond"/>
      <i val="1"/>
      <color rgb="000000FF"/>
      <sz val="10"/>
    </font>
    <font>
      <name val="Garamond"/>
      <b val="1"/>
      <i val="1"/>
      <color rgb="00000000"/>
      <sz val="10"/>
    </font>
    <font>
      <name val="Garamond"/>
      <b val="1"/>
      <color rgb="000000FF"/>
      <sz val="10"/>
    </font>
    <font>
      <name val="Garamond"/>
      <color rgb="00FFFFFF"/>
      <sz val="10"/>
    </font>
    <font>
      <name val="Garamond"/>
      <sz val="10"/>
    </font>
    <font>
      <name val="Garamond"/>
      <b val="1"/>
      <color rgb="00002060"/>
      <sz val="22"/>
    </font>
    <font>
      <name val="Garamond"/>
      <i val="1"/>
      <color rgb="00808080"/>
      <sz val="12"/>
    </font>
    <font>
      <name val="Garamond"/>
      <b val="1"/>
      <sz val="10"/>
    </font>
    <font>
      <name val="Garamond"/>
      <color rgb="00FF0000"/>
      <sz val="10"/>
    </font>
    <font>
      <name val="Garamond"/>
      <i val="1"/>
      <sz val="10"/>
    </font>
    <font>
      <name val="Garamond"/>
      <b val="1"/>
      <sz val="10"/>
      <u val="single"/>
    </font>
  </fonts>
  <fills count="14">
    <fill>
      <patternFill/>
    </fill>
    <fill>
      <patternFill patternType="gray125"/>
    </fill>
    <fill>
      <patternFill patternType="solid">
        <fgColor rgb="FFF2F2F2"/>
        <bgColor rgb="FFF2F2F4"/>
      </patternFill>
    </fill>
    <fill>
      <patternFill patternType="solid">
        <fgColor rgb="FFFFFFCC"/>
        <bgColor rgb="FFFFFFFF"/>
      </patternFill>
    </fill>
    <fill>
      <patternFill patternType="solid">
        <fgColor rgb="FFDCE8F4"/>
        <bgColor rgb="FFD3EFEF"/>
      </patternFill>
    </fill>
    <fill>
      <patternFill patternType="solid">
        <fgColor rgb="FFD3EFEF"/>
        <bgColor rgb="FFCEF5F5"/>
      </patternFill>
    </fill>
    <fill>
      <patternFill patternType="solid">
        <fgColor rgb="FFCEF5F5"/>
        <bgColor rgb="FFD3EFEF"/>
      </patternFill>
    </fill>
    <fill>
      <patternFill patternType="solid">
        <fgColor rgb="FFF2F2F4"/>
        <bgColor rgb="FFF2F2F2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DCE8F4"/>
      </patternFill>
    </fill>
    <fill>
      <patternFill patternType="solid">
        <fgColor rgb="00FFF2CC"/>
      </patternFill>
    </fill>
    <fill>
      <patternFill patternType="solid">
        <fgColor rgb="00002060"/>
      </patternFill>
    </fill>
    <fill>
      <patternFill patternType="solid">
        <fgColor rgb="00808080"/>
      </patternFill>
    </fill>
  </fills>
  <borders count="114"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medium">
        <color rgb="FFBCBFC6"/>
      </bottom>
      <diagonal/>
    </border>
    <border>
      <left style="thin">
        <color rgb="FFBCBFC6"/>
      </left>
      <right/>
      <top style="thin">
        <color rgb="FFBCBFC6"/>
      </top>
      <bottom style="thin">
        <color rgb="FFBCBFC6"/>
      </bottom>
      <diagonal/>
    </border>
    <border>
      <left/>
      <right/>
      <top style="thin">
        <color rgb="FFBCBFC6"/>
      </top>
      <bottom style="thin">
        <color rgb="FFBCBFC6"/>
      </bottom>
      <diagonal/>
    </border>
    <border>
      <left/>
      <right style="thin">
        <color rgb="FFBCBFC6"/>
      </right>
      <top style="thin">
        <color rgb="FFBCBFC6"/>
      </top>
      <bottom style="thin">
        <color rgb="FFBCBFC6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/>
      <right/>
      <top style="thin">
        <color rgb="FFBCBFC6"/>
      </top>
      <bottom/>
      <diagonal/>
    </border>
    <border>
      <left style="dotted">
        <color rgb="FFA6A6A6"/>
      </left>
      <right/>
      <top style="dotted">
        <color rgb="FFA6A6A6"/>
      </top>
      <bottom/>
      <diagonal/>
    </border>
    <border>
      <left/>
      <right/>
      <top style="dotted">
        <color rgb="FFA6A6A6"/>
      </top>
      <bottom/>
      <diagonal/>
    </border>
    <border>
      <left/>
      <right style="dotted">
        <color rgb="FFA6A6A6"/>
      </right>
      <top style="dotted">
        <color rgb="FFA6A6A6"/>
      </top>
      <bottom/>
      <diagonal/>
    </border>
    <border>
      <left style="dotted">
        <color rgb="FFA6A6A6"/>
      </left>
      <right/>
      <top/>
      <bottom/>
      <diagonal/>
    </border>
    <border>
      <left/>
      <right style="dotted">
        <color rgb="FFA6A6A6"/>
      </right>
      <top/>
      <bottom/>
      <diagonal/>
    </border>
    <border>
      <left style="dotted">
        <color rgb="FFA6A6A6"/>
      </left>
      <right/>
      <top/>
      <bottom style="dotted">
        <color rgb="FFA6A6A6"/>
      </bottom>
      <diagonal/>
    </border>
    <border>
      <left/>
      <right/>
      <top/>
      <bottom style="dotted">
        <color rgb="FFA6A6A6"/>
      </bottom>
      <diagonal/>
    </border>
    <border>
      <left/>
      <right style="dotted">
        <color rgb="FFA6A6A6"/>
      </right>
      <top/>
      <bottom style="dotted">
        <color rgb="FFA6A6A6"/>
      </bottom>
      <diagonal/>
    </border>
    <border>
      <left style="mediumDashed">
        <color rgb="FFBFBFBF"/>
      </left>
      <right style="mediumDashed">
        <color rgb="FFBFBFBF"/>
      </right>
      <top style="mediumDashed">
        <color rgb="FFBFBFBF"/>
      </top>
      <bottom style="medium">
        <color rgb="FFBFBFBF"/>
      </bottom>
      <diagonal/>
    </border>
    <border>
      <left style="mediumDashed">
        <color rgb="FFBFBFBF"/>
      </left>
      <right/>
      <top/>
      <bottom/>
      <diagonal/>
    </border>
    <border>
      <left/>
      <right style="mediumDashed">
        <color rgb="FFBFBFBF"/>
      </right>
      <top/>
      <bottom/>
      <diagonal/>
    </border>
    <border>
      <left style="mediumDashed">
        <color rgb="FFBFBFBF"/>
      </left>
      <right/>
      <top style="thin">
        <color rgb="FFBCBFC6"/>
      </top>
      <bottom style="thin">
        <color rgb="FFBCBFC6"/>
      </bottom>
      <diagonal/>
    </border>
    <border>
      <left/>
      <right style="mediumDashed">
        <color rgb="FFBFBFBF"/>
      </right>
      <top style="thin">
        <color rgb="FFBCBFC6"/>
      </top>
      <bottom style="thin">
        <color rgb="FFBCBFC6"/>
      </bottom>
      <diagonal/>
    </border>
    <border>
      <left style="mediumDashed">
        <color rgb="FFBFBFB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Dashed">
        <color rgb="FFBFBFBF"/>
      </right>
      <top/>
      <bottom style="thin">
        <color rgb="FF0000FF"/>
      </bottom>
      <diagonal/>
    </border>
    <border>
      <left style="mediumDashed">
        <color rgb="FFBFBFBF"/>
      </left>
      <right/>
      <top style="dotted">
        <color rgb="FFA6A6A6"/>
      </top>
      <bottom/>
      <diagonal/>
    </border>
    <border>
      <left/>
      <right style="mediumDashed">
        <color rgb="FFBFBFBF"/>
      </right>
      <top style="dotted">
        <color rgb="FFA6A6A6"/>
      </top>
      <bottom/>
      <diagonal/>
    </border>
    <border>
      <left style="mediumDashed">
        <color rgb="FFBFBFBF"/>
      </left>
      <right/>
      <top/>
      <bottom style="mediumDashed">
        <color rgb="FFBFBFBF"/>
      </bottom>
      <diagonal/>
    </border>
    <border>
      <left/>
      <right style="mediumDashed">
        <color rgb="FFBFBFBF"/>
      </right>
      <top/>
      <bottom style="mediumDashed">
        <color rgb="FFBFBFBF"/>
      </bottom>
      <diagonal/>
    </border>
    <border>
      <left/>
      <right/>
      <top/>
      <bottom style="medium">
        <color rgb="FFBCBFC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Dashed">
        <color rgb="FFBFBFBF"/>
      </left>
      <right style="mediumDashed">
        <color rgb="FFBFBFBF"/>
      </right>
      <top style="mediumDashed">
        <color rgb="FFBFBFBF"/>
      </top>
      <bottom/>
      <diagonal/>
    </border>
    <border>
      <left style="mediumDashed">
        <color rgb="FFBFBFBF"/>
      </left>
      <right style="mediumDashed">
        <color rgb="FFBFBFBF"/>
      </right>
      <top/>
      <bottom/>
      <diagonal/>
    </border>
    <border>
      <left style="mediumDashed">
        <color rgb="FFBFBFBF"/>
      </left>
      <right style="mediumDashed">
        <color rgb="FFBFBFBF"/>
      </right>
      <top/>
      <bottom style="medium">
        <color rgb="FFBCBFC6"/>
      </bottom>
      <diagonal/>
    </border>
    <border>
      <left style="mediumDashed">
        <color rgb="FFBFBFBF"/>
      </left>
      <right style="mediumDashed">
        <color rgb="FFBFBFBF"/>
      </right>
      <top style="thin">
        <color rgb="FFBFBFBF"/>
      </top>
      <bottom style="thin">
        <color rgb="FFBFBFBF"/>
      </bottom>
      <diagonal/>
    </border>
    <border>
      <left style="mediumDashed">
        <color rgb="FFBFBFBF"/>
      </left>
      <right style="mediumDashed">
        <color rgb="FFBFBFBF"/>
      </right>
      <top/>
      <bottom style="thin">
        <color rgb="FF0000FF"/>
      </bottom>
      <diagonal/>
    </border>
    <border>
      <left style="mediumDashed">
        <color rgb="FFBFBFBF"/>
      </left>
      <right style="mediumDashed">
        <color rgb="FFBFBFBF"/>
      </right>
      <top style="thin">
        <color rgb="FFBFBFBF"/>
      </top>
      <bottom style="mediumDashed">
        <color rgb="FFBFBFB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 style="mediumDashed">
        <color rgb="FFBFBFBF"/>
      </left>
      <right style="mediumDashed">
        <color rgb="FFBFBFBF"/>
      </right>
      <top style="mediumDashed">
        <color rgb="FFBFBFBF"/>
      </top>
      <bottom style="thin">
        <color rgb="FFBFBFBF"/>
      </bottom>
      <diagonal/>
    </border>
    <border>
      <left style="mediumDashed">
        <color rgb="FFBFBFBF"/>
      </left>
      <right/>
      <top/>
      <bottom style="medium">
        <color rgb="FFBCBFC6"/>
      </bottom>
      <diagonal/>
    </border>
    <border>
      <left/>
      <right style="mediumDashed">
        <color rgb="FFBFBFBF"/>
      </right>
      <top/>
      <bottom style="medium">
        <color rgb="FFBCBFC6"/>
      </bottom>
      <diagonal/>
    </border>
    <border>
      <left style="thin">
        <color rgb="FFFFFFFF"/>
      </left>
      <right style="mediumDashed">
        <color rgb="FFBFBFBF"/>
      </right>
      <top/>
      <bottom/>
      <diagonal/>
    </border>
    <border>
      <left style="mediumDashed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Dashed">
        <color rgb="FFBFBFBF"/>
      </right>
      <top style="thin">
        <color rgb="FFBFBFBF"/>
      </top>
      <bottom style="thin">
        <color rgb="FFBFBFBF"/>
      </bottom>
      <diagonal/>
    </border>
    <border>
      <left style="dotted">
        <color rgb="FFBFBFBF"/>
      </left>
      <right/>
      <top style="dotted">
        <color rgb="FFBFBFBF"/>
      </top>
      <bottom/>
      <diagonal/>
    </border>
    <border>
      <left/>
      <right/>
      <top style="dotted">
        <color rgb="FFBFBFBF"/>
      </top>
      <bottom/>
      <diagonal/>
    </border>
    <border>
      <left style="mediumDashed">
        <color rgb="FFBFBFBF"/>
      </left>
      <right/>
      <top style="dotted">
        <color rgb="FFBFBFBF"/>
      </top>
      <bottom/>
      <diagonal/>
    </border>
    <border>
      <left/>
      <right style="mediumDashed">
        <color rgb="FFBFBFBF"/>
      </right>
      <top style="dotted">
        <color rgb="FFBFBFBF"/>
      </top>
      <bottom/>
      <diagonal/>
    </border>
    <border>
      <left style="dotted">
        <color rgb="FFBFBFBF"/>
      </left>
      <right/>
      <top/>
      <bottom/>
      <diagonal/>
    </border>
    <border>
      <left style="dotted">
        <color rgb="FFBFBFBF"/>
      </left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/>
      <top style="mediumDashed">
        <color rgb="FFBFBFBF"/>
      </top>
      <bottom/>
      <diagonal/>
    </border>
    <border>
      <left/>
      <right style="mediumDashed">
        <color rgb="FFBFBFBF"/>
      </right>
      <top style="mediumDashed">
        <color rgb="FFBFBFBF"/>
      </top>
      <bottom/>
      <diagonal/>
    </border>
    <border>
      <left/>
      <right style="mediumDashed">
        <color rgb="FFBFBFBF"/>
      </right>
      <top style="mediumDashed">
        <color rgb="FFBFBFBF"/>
      </top>
      <bottom style="medium">
        <color rgb="FFBFBFBF"/>
      </bottom>
      <diagonal/>
    </border>
    <border>
      <left/>
      <right style="mediumDashed">
        <color rgb="FFBFBFBF"/>
      </right>
      <top style="mediumDashed">
        <color rgb="FFBFBFBF"/>
      </top>
      <bottom style="thin">
        <color rgb="FFBFBFBF"/>
      </bottom>
      <diagonal/>
    </border>
    <border>
      <left/>
      <right/>
      <top/>
      <bottom style="medium">
        <color rgb="FFBCBFC6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/>
      <right style="thick">
        <color rgb="FFFFFFFF"/>
      </right>
      <top/>
      <bottom style="medium">
        <color rgb="FFBCBFC6"/>
      </bottom>
    </border>
    <border>
      <left style="mediumDashed">
        <color rgb="FFBCBFC6"/>
      </left>
      <right/>
      <top/>
      <bottom style="medium">
        <color rgb="FFBCBFC6"/>
      </bottom>
    </border>
    <border>
      <left/>
      <right style="mediumDashed">
        <color rgb="FFBCBFC6"/>
      </right>
      <top/>
      <bottom style="medium">
        <color rgb="FFBCBFC6"/>
      </bottom>
    </border>
    <border>
      <left style="mediumDashed">
        <color rgb="FFBCBFC6"/>
      </left>
      <right/>
      <top/>
      <bottom/>
    </border>
    <border>
      <left/>
      <right style="mediumDashed">
        <color rgb="FFBCBFC6"/>
      </right>
      <top/>
      <bottom/>
    </border>
    <border>
      <left style="thin">
        <color rgb="FFBCBFC6"/>
      </left>
      <right/>
      <top style="thin">
        <color rgb="FFBCBFC6"/>
      </top>
      <bottom style="thin">
        <color rgb="FFBCBFC6"/>
      </bottom>
    </border>
    <border>
      <left/>
      <right/>
      <top style="thin">
        <color rgb="FFBCBFC6"/>
      </top>
      <bottom style="thin">
        <color rgb="FFBCBFC6"/>
      </bottom>
    </border>
    <border>
      <left/>
      <right style="thin">
        <color rgb="FFBCBFC6"/>
      </right>
      <top style="thin">
        <color rgb="FFBCBFC6"/>
      </top>
      <bottom style="thin">
        <color rgb="FFBCBFC6"/>
      </bottom>
    </border>
    <border>
      <left style="mediumDashed">
        <color rgb="FFBCBFC6"/>
      </left>
      <right/>
      <top style="thin">
        <color rgb="FFBCBFC6"/>
      </top>
      <bottom style="mediumDashed">
        <color rgb="FFBCBFC6"/>
      </bottom>
    </border>
    <border>
      <left/>
      <right style="mediumDashed">
        <color rgb="FFBCBFC6"/>
      </right>
      <top style="thin">
        <color rgb="FFBCBFC6"/>
      </top>
      <bottom style="mediumDashed">
        <color rgb="FFBCBFC6"/>
      </bottom>
    </border>
    <border>
      <left style="thin">
        <color rgb="FFBCBFC6"/>
      </left>
      <right/>
      <top style="thin">
        <color rgb="FFBCBFC6"/>
      </top>
      <bottom/>
    </border>
    <border>
      <left style="thin">
        <color rgb="FFBCBFC6"/>
      </left>
      <right/>
      <top/>
      <bottom style="thin">
        <color rgb="FFBCBFC6"/>
      </bottom>
    </border>
    <border>
      <left/>
      <right/>
      <top style="thin">
        <color rgb="FFBCBFC6"/>
      </top>
      <bottom/>
    </border>
    <border>
      <left/>
      <right/>
      <top/>
      <bottom style="thin">
        <color rgb="FFBCBFC6"/>
      </bottom>
    </border>
    <border>
      <left/>
      <right style="thin">
        <color rgb="FFBCBFC6"/>
      </right>
      <top style="thin">
        <color rgb="FFBCBFC6"/>
      </top>
      <bottom/>
    </border>
    <border>
      <left/>
      <right style="thin">
        <color rgb="FFBCBFC6"/>
      </right>
      <top/>
      <bottom style="thin">
        <color rgb="FFBCBFC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/>
      <bottom style="medium">
        <color rgb="FFBCBFC6"/>
      </bottom>
    </border>
    <border>
      <left style="dotted">
        <color rgb="FFBCBFC6"/>
      </left>
      <right/>
      <top style="dotted">
        <color rgb="FFBCBFC6"/>
      </top>
      <bottom style="dotted">
        <color rgb="FFBCBFC6"/>
      </bottom>
    </border>
    <border>
      <left/>
      <right style="dotted">
        <color rgb="FFBCBFC6"/>
      </right>
      <top style="dotted">
        <color rgb="FFBCBFC6"/>
      </top>
      <bottom style="dotted">
        <color rgb="FFBCBFC6"/>
      </bottom>
    </border>
    <border>
      <bottom style="thin">
        <color rgb="00BCBFC6"/>
      </bottom>
    </border>
    <border>
      <bottom style="medium">
        <color rgb="00BCBFC6"/>
      </bottom>
    </border>
    <border>
      <top style="thin">
        <color rgb="00BCBFC6"/>
      </top>
    </border>
    <border>
      <left/>
      <right/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</border>
    <border>
      <left style="hair">
        <color rgb="00000000"/>
      </left>
      <right/>
      <top style="hair">
        <color rgb="00000000"/>
      </top>
      <bottom/>
    </border>
    <border>
      <left/>
      <right/>
      <top style="hair">
        <color rgb="00000000"/>
      </top>
      <bottom/>
    </border>
    <border>
      <left/>
      <right style="hair">
        <color rgb="00000000"/>
      </right>
      <top style="hair">
        <color rgb="00000000"/>
      </top>
      <bottom/>
    </border>
    <border>
      <left style="hair">
        <color rgb="00000000"/>
      </left>
      <right/>
      <top/>
      <bottom/>
    </border>
    <border>
      <left/>
      <right style="hair">
        <color rgb="00000000"/>
      </right>
      <top/>
      <bottom/>
    </border>
    <border>
      <left style="hair">
        <color rgb="00000000"/>
      </left>
      <right/>
      <top/>
      <bottom style="hair">
        <color rgb="00000000"/>
      </bottom>
    </border>
    <border>
      <left/>
      <right/>
      <top/>
      <bottom style="hair">
        <color rgb="00000000"/>
      </bottom>
    </border>
    <border>
      <left/>
      <right style="hair">
        <color rgb="00000000"/>
      </right>
      <top/>
      <bottom style="hair">
        <color rgb="00000000"/>
      </bottom>
    </border>
    <border/>
    <border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hair">
        <color rgb="00000000"/>
      </top>
      <bottom/>
    </border>
    <border>
      <left/>
      <right style="thin">
        <color rgb="00000000"/>
      </right>
      <top style="hair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/>
    </border>
    <border>
      <left style="hair">
        <color rgb="00000000"/>
      </left>
      <right/>
      <top style="hair">
        <color rgb="00000000"/>
      </top>
      <bottom style="hair">
        <color rgb="00000000"/>
      </bottom>
    </border>
    <border>
      <left/>
      <right style="hair">
        <color rgb="00000000"/>
      </right>
      <top style="hair">
        <color rgb="00000000"/>
      </top>
      <bottom style="hair">
        <color rgb="00000000"/>
      </bottom>
    </border>
    <border>
      <top style="thin">
        <color rgb="00000000"/>
      </top>
      <bottom style="thin">
        <color rgb="00000000"/>
      </bottom>
    </border>
  </borders>
  <cellStyleXfs count="6">
    <xf numFmtId="0" fontId="66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165" fontId="10" fillId="0" borderId="0" applyAlignment="1" pivotButton="0" quotePrefix="0" xfId="0">
      <alignment horizontal="general" vertical="center"/>
    </xf>
    <xf numFmtId="165" fontId="7" fillId="0" borderId="0" applyAlignment="1" pivotButton="0" quotePrefix="0" xfId="0">
      <alignment horizontal="general" vertical="center"/>
    </xf>
    <xf numFmtId="166" fontId="10" fillId="0" borderId="0" applyAlignment="1" pivotButton="0" quotePrefix="0" xfId="0">
      <alignment horizontal="general" vertical="center"/>
    </xf>
    <xf numFmtId="166" fontId="7" fillId="0" borderId="0" applyAlignment="1" pivotButton="0" quotePrefix="0" xfId="0">
      <alignment horizontal="general" vertical="center"/>
    </xf>
    <xf numFmtId="0" fontId="9" fillId="2" borderId="3" applyAlignment="1" pivotButton="0" quotePrefix="0" xfId="0">
      <alignment horizontal="general" vertical="center"/>
    </xf>
    <xf numFmtId="165" fontId="9" fillId="2" borderId="4" applyAlignment="1" pivotButton="0" quotePrefix="0" xfId="0">
      <alignment horizontal="general" vertical="center"/>
    </xf>
    <xf numFmtId="165" fontId="9" fillId="2" borderId="5" applyAlignment="1" pivotButton="0" quotePrefix="0" xfId="0">
      <alignment horizontal="general" vertical="center"/>
    </xf>
    <xf numFmtId="165" fontId="9" fillId="2" borderId="3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 indent="1"/>
    </xf>
    <xf numFmtId="166" fontId="10" fillId="3" borderId="6" applyAlignment="1" pivotButton="0" quotePrefix="0" xfId="0">
      <alignment horizontal="general" vertical="center"/>
    </xf>
    <xf numFmtId="166" fontId="4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166" fontId="7" fillId="0" borderId="7" applyAlignment="1" pivotButton="0" quotePrefix="0" xfId="0">
      <alignment horizontal="general" vertical="center"/>
    </xf>
    <xf numFmtId="167" fontId="10" fillId="0" borderId="0" applyAlignment="1" pivotButton="0" quotePrefix="0" xfId="0">
      <alignment horizontal="general" vertical="center"/>
    </xf>
    <xf numFmtId="167" fontId="4" fillId="0" borderId="0" applyAlignment="1" pivotButton="0" quotePrefix="0" xfId="0">
      <alignment horizontal="general" vertical="center"/>
    </xf>
    <xf numFmtId="166" fontId="12" fillId="0" borderId="0" applyAlignment="1" pivotButton="0" quotePrefix="0" xfId="0">
      <alignment horizontal="general" vertical="center"/>
    </xf>
    <xf numFmtId="166" fontId="9" fillId="0" borderId="7" applyAlignment="1" pivotButton="0" quotePrefix="0" xfId="0">
      <alignment horizontal="general" vertical="center"/>
    </xf>
    <xf numFmtId="0" fontId="9" fillId="4" borderId="3" applyAlignment="1" pivotButton="0" quotePrefix="0" xfId="0">
      <alignment horizontal="general" vertical="center"/>
    </xf>
    <xf numFmtId="165" fontId="9" fillId="4" borderId="4" applyAlignment="1" pivotButton="0" quotePrefix="0" xfId="0">
      <alignment horizontal="general" vertical="center"/>
    </xf>
    <xf numFmtId="165" fontId="9" fillId="4" borderId="5" applyAlignment="1" pivotButton="0" quotePrefix="0" xfId="0">
      <alignment horizontal="general" vertical="center"/>
    </xf>
    <xf numFmtId="165" fontId="9" fillId="4" borderId="3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166" fontId="4" fillId="2" borderId="9" applyAlignment="1" pivotButton="0" quotePrefix="0" xfId="0">
      <alignment horizontal="general" vertical="center"/>
    </xf>
    <xf numFmtId="0" fontId="4" fillId="2" borderId="9" applyAlignment="1" pivotButton="0" quotePrefix="0" xfId="0">
      <alignment horizontal="general" vertical="center"/>
    </xf>
    <xf numFmtId="166" fontId="4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 indent="1"/>
    </xf>
    <xf numFmtId="168" fontId="8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168" fontId="8" fillId="2" borderId="12" applyAlignment="1" pivotButton="0" quotePrefix="0" xfId="0">
      <alignment horizontal="general" vertical="center"/>
    </xf>
    <xf numFmtId="0" fontId="8" fillId="2" borderId="13" applyAlignment="1" pivotButton="0" quotePrefix="0" xfId="0">
      <alignment horizontal="general" vertical="center" indent="1"/>
    </xf>
    <xf numFmtId="168" fontId="8" fillId="2" borderId="14" applyAlignment="1" pivotButton="0" quotePrefix="0" xfId="0">
      <alignment horizontal="general" vertical="center"/>
    </xf>
    <xf numFmtId="0" fontId="4" fillId="2" borderId="14" applyAlignment="1" pivotButton="0" quotePrefix="0" xfId="0">
      <alignment horizontal="general" vertical="center"/>
    </xf>
    <xf numFmtId="168" fontId="8" fillId="2" borderId="15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4" fillId="0" borderId="17" applyAlignment="1" pivotButton="0" quotePrefix="0" xfId="0">
      <alignment horizontal="general" vertical="center"/>
    </xf>
    <xf numFmtId="0" fontId="4" fillId="0" borderId="18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general" vertical="center"/>
    </xf>
    <xf numFmtId="165" fontId="12" fillId="0" borderId="17" applyAlignment="1" pivotButton="0" quotePrefix="0" xfId="0">
      <alignment horizontal="general" vertical="center"/>
    </xf>
    <xf numFmtId="165" fontId="12" fillId="0" borderId="18" applyAlignment="1" pivotButton="0" quotePrefix="0" xfId="0">
      <alignment horizontal="general" vertical="center"/>
    </xf>
    <xf numFmtId="166" fontId="12" fillId="0" borderId="17" applyAlignment="1" pivotButton="0" quotePrefix="0" xfId="0">
      <alignment horizontal="general" vertical="center"/>
    </xf>
    <xf numFmtId="166" fontId="12" fillId="0" borderId="18" applyAlignment="1" pivotButton="0" quotePrefix="0" xfId="0">
      <alignment horizontal="general" vertical="center"/>
    </xf>
    <xf numFmtId="0" fontId="9" fillId="2" borderId="3" applyAlignment="1" pivotButton="0" quotePrefix="0" xfId="0">
      <alignment horizontal="left" vertical="center"/>
    </xf>
    <xf numFmtId="165" fontId="9" fillId="2" borderId="19" applyAlignment="1" pivotButton="0" quotePrefix="0" xfId="0">
      <alignment horizontal="general" vertical="center"/>
    </xf>
    <xf numFmtId="165" fontId="9" fillId="2" borderId="20" applyAlignment="1" pivotButton="0" quotePrefix="0" xfId="0">
      <alignment horizontal="general" vertical="center"/>
    </xf>
    <xf numFmtId="0" fontId="9" fillId="4" borderId="3" applyAlignment="1" pivotButton="0" quotePrefix="0" xfId="0">
      <alignment horizontal="left" vertical="center"/>
    </xf>
    <xf numFmtId="165" fontId="9" fillId="4" borderId="19" applyAlignment="1" pivotButton="0" quotePrefix="0" xfId="0">
      <alignment horizontal="general" vertical="center"/>
    </xf>
    <xf numFmtId="165" fontId="9" fillId="4" borderId="20" applyAlignment="1" pivotButton="0" quotePrefix="0" xfId="0">
      <alignment horizontal="general" vertical="center"/>
    </xf>
    <xf numFmtId="0" fontId="15" fillId="0" borderId="0" applyAlignment="1" pivotButton="0" quotePrefix="0" xfId="0">
      <alignment horizontal="left" vertical="center" indent="1"/>
    </xf>
    <xf numFmtId="165" fontId="15" fillId="3" borderId="6" applyAlignment="1" pivotButton="0" quotePrefix="0" xfId="0">
      <alignment horizontal="general" vertical="center"/>
    </xf>
    <xf numFmtId="165" fontId="15" fillId="3" borderId="21" applyAlignment="1" pivotButton="0" quotePrefix="0" xfId="0">
      <alignment horizontal="general" vertical="center"/>
    </xf>
    <xf numFmtId="165" fontId="15" fillId="3" borderId="22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165" fontId="11" fillId="0" borderId="0" applyAlignment="1" pivotButton="0" quotePrefix="0" xfId="0">
      <alignment horizontal="general" vertical="center"/>
    </xf>
    <xf numFmtId="165" fontId="11" fillId="0" borderId="17" applyAlignment="1" pivotButton="0" quotePrefix="0" xfId="0">
      <alignment horizontal="general" vertical="center"/>
    </xf>
    <xf numFmtId="165" fontId="11" fillId="0" borderId="18" applyAlignment="1" pivotButton="0" quotePrefix="0" xfId="0">
      <alignment horizontal="general" vertical="center"/>
    </xf>
    <xf numFmtId="0" fontId="9" fillId="2" borderId="8" applyAlignment="1" pivotButton="0" quotePrefix="0" xfId="0">
      <alignment horizontal="left" vertical="center"/>
    </xf>
    <xf numFmtId="0" fontId="4" fillId="2" borderId="23" applyAlignment="1" pivotButton="0" quotePrefix="0" xfId="0">
      <alignment horizontal="general" vertical="center"/>
    </xf>
    <xf numFmtId="0" fontId="4" fillId="2" borderId="24" applyAlignment="1" pivotButton="0" quotePrefix="0" xfId="0">
      <alignment horizontal="general" vertical="center"/>
    </xf>
    <xf numFmtId="0" fontId="8" fillId="2" borderId="11" applyAlignment="1" pivotButton="0" quotePrefix="0" xfId="0">
      <alignment horizontal="left" vertical="center" indent="1"/>
    </xf>
    <xf numFmtId="168" fontId="8" fillId="2" borderId="17" applyAlignment="1" pivotButton="0" quotePrefix="0" xfId="0">
      <alignment horizontal="general" vertical="center"/>
    </xf>
    <xf numFmtId="168" fontId="8" fillId="2" borderId="18" applyAlignment="1" pivotButton="0" quotePrefix="0" xfId="0">
      <alignment horizontal="general" vertical="center"/>
    </xf>
    <xf numFmtId="0" fontId="8" fillId="2" borderId="13" applyAlignment="1" pivotButton="0" quotePrefix="0" xfId="0">
      <alignment horizontal="left" vertical="center" indent="1"/>
    </xf>
    <xf numFmtId="168" fontId="8" fillId="2" borderId="25" applyAlignment="1" pivotButton="0" quotePrefix="0" xfId="0">
      <alignment horizontal="general" vertical="center"/>
    </xf>
    <xf numFmtId="168" fontId="8" fillId="2" borderId="26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right" vertical="center"/>
    </xf>
    <xf numFmtId="0" fontId="1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right" vertical="center"/>
    </xf>
    <xf numFmtId="169" fontId="7" fillId="0" borderId="0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12" fillId="0" borderId="0" applyAlignment="1" pivotButton="0" quotePrefix="0" xfId="0">
      <alignment horizontal="general" vertical="bottom"/>
    </xf>
    <xf numFmtId="0" fontId="9" fillId="2" borderId="28" applyAlignment="1" pivotButton="0" quotePrefix="0" xfId="0">
      <alignment horizontal="general" vertical="bottom"/>
    </xf>
    <xf numFmtId="0" fontId="0" fillId="2" borderId="29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right" vertical="bottom"/>
    </xf>
    <xf numFmtId="170" fontId="9" fillId="2" borderId="30" applyAlignment="1" pivotButton="0" quotePrefix="0" xfId="0">
      <alignment horizontal="right" vertical="bottom"/>
    </xf>
    <xf numFmtId="170" fontId="9" fillId="2" borderId="28" applyAlignment="1" pivotButton="0" quotePrefix="0" xfId="0">
      <alignment horizontal="right" vertical="bottom"/>
    </xf>
    <xf numFmtId="170" fontId="9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 indent="1"/>
    </xf>
    <xf numFmtId="170" fontId="10" fillId="3" borderId="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 indent="1"/>
    </xf>
    <xf numFmtId="171" fontId="7" fillId="3" borderId="0" applyAlignment="1" pivotButton="0" quotePrefix="0" xfId="0">
      <alignment horizontal="general" vertical="bottom"/>
    </xf>
    <xf numFmtId="0" fontId="9" fillId="4" borderId="28" applyAlignment="1" pivotButton="0" quotePrefix="0" xfId="0">
      <alignment horizontal="general" vertical="bottom"/>
    </xf>
    <xf numFmtId="0" fontId="0" fillId="4" borderId="29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right" vertical="bottom"/>
    </xf>
    <xf numFmtId="170" fontId="9" fillId="4" borderId="30" applyAlignment="1" pivotButton="0" quotePrefix="0" xfId="0">
      <alignment horizontal="right" vertical="bottom"/>
    </xf>
    <xf numFmtId="170" fontId="9" fillId="4" borderId="28" applyAlignment="1" pivotButton="0" quotePrefix="0" xfId="0">
      <alignment horizontal="right" vertical="bottom"/>
    </xf>
    <xf numFmtId="172" fontId="11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1"/>
    </xf>
    <xf numFmtId="0" fontId="9" fillId="5" borderId="28" applyAlignment="1" pivotButton="0" quotePrefix="0" xfId="0">
      <alignment horizontal="general" vertical="bottom"/>
    </xf>
    <xf numFmtId="0" fontId="0" fillId="5" borderId="29" applyAlignment="1" pivotButton="0" quotePrefix="0" xfId="0">
      <alignment horizontal="general" vertical="bottom"/>
    </xf>
    <xf numFmtId="170" fontId="9" fillId="5" borderId="29" applyAlignment="1" pivotButton="0" quotePrefix="0" xfId="0">
      <alignment horizontal="right" vertical="bottom"/>
    </xf>
    <xf numFmtId="170" fontId="9" fillId="5" borderId="30" applyAlignment="1" pivotButton="0" quotePrefix="0" xfId="0">
      <alignment horizontal="right" vertical="bottom"/>
    </xf>
    <xf numFmtId="170" fontId="9" fillId="5" borderId="28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center"/>
    </xf>
    <xf numFmtId="0" fontId="8" fillId="0" borderId="27" applyAlignment="1" pivotButton="0" quotePrefix="0" xfId="0">
      <alignment horizontal="general" vertical="center"/>
    </xf>
    <xf numFmtId="0" fontId="0" fillId="0" borderId="27" applyAlignment="1" pivotButton="0" quotePrefix="0" xfId="0">
      <alignment horizontal="general" vertical="center"/>
    </xf>
    <xf numFmtId="0" fontId="14" fillId="0" borderId="27" applyAlignment="1" pivotButton="0" quotePrefix="0" xfId="0">
      <alignment horizontal="right" vertical="center"/>
    </xf>
    <xf numFmtId="0" fontId="0" fillId="0" borderId="31" applyAlignment="1" pivotButton="0" quotePrefix="0" xfId="0">
      <alignment horizontal="general" vertical="center"/>
    </xf>
    <xf numFmtId="0" fontId="0" fillId="0" borderId="32" applyAlignment="1" pivotButton="0" quotePrefix="0" xfId="0">
      <alignment horizontal="general" vertical="center"/>
    </xf>
    <xf numFmtId="0" fontId="9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0" fontId="9" fillId="0" borderId="32" applyAlignment="1" pivotButton="0" quotePrefix="0" xfId="0">
      <alignment horizontal="general" vertical="bottom"/>
    </xf>
    <xf numFmtId="171" fontId="7" fillId="0" borderId="3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2"/>
    </xf>
    <xf numFmtId="170" fontId="9" fillId="2" borderId="34" applyAlignment="1" pivotButton="0" quotePrefix="0" xfId="0">
      <alignment horizontal="right" vertical="bottom"/>
    </xf>
    <xf numFmtId="170" fontId="20" fillId="3" borderId="6" applyAlignment="1" pivotButton="0" quotePrefix="0" xfId="0">
      <alignment horizontal="general" vertical="bottom"/>
    </xf>
    <xf numFmtId="170" fontId="20" fillId="3" borderId="35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0" fontId="11" fillId="0" borderId="32" applyAlignment="1" pivotButton="0" quotePrefix="0" xfId="0">
      <alignment horizontal="general" vertical="bottom"/>
    </xf>
    <xf numFmtId="170" fontId="7" fillId="0" borderId="32" applyAlignment="1" pivotButton="0" quotePrefix="0" xfId="0">
      <alignment horizontal="general" vertical="bottom"/>
    </xf>
    <xf numFmtId="170" fontId="9" fillId="4" borderId="34" applyAlignment="1" pivotButton="0" quotePrefix="0" xfId="0">
      <alignment horizontal="right" vertical="bottom"/>
    </xf>
    <xf numFmtId="170" fontId="9" fillId="5" borderId="36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center"/>
    </xf>
    <xf numFmtId="170" fontId="10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3" fontId="7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general" vertical="bottom"/>
    </xf>
    <xf numFmtId="170" fontId="9" fillId="2" borderId="30" applyAlignment="1" pivotButton="0" quotePrefix="0" xfId="0">
      <alignment horizontal="general" vertical="bottom"/>
    </xf>
    <xf numFmtId="170" fontId="9" fillId="2" borderId="28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171" fontId="10" fillId="3" borderId="6" applyAlignment="1" pivotButton="0" quotePrefix="0" xfId="0">
      <alignment horizontal="general" vertical="bottom"/>
    </xf>
    <xf numFmtId="171" fontId="7" fillId="3" borderId="6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171" fontId="8" fillId="0" borderId="0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general" vertical="bottom"/>
    </xf>
    <xf numFmtId="170" fontId="9" fillId="4" borderId="30" applyAlignment="1" pivotButton="0" quotePrefix="0" xfId="0">
      <alignment horizontal="general" vertical="bottom"/>
    </xf>
    <xf numFmtId="170" fontId="9" fillId="4" borderId="28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72" fontId="8" fillId="0" borderId="0" applyAlignment="1" pivotButton="0" quotePrefix="0" xfId="0">
      <alignment horizontal="general" vertical="bottom"/>
    </xf>
    <xf numFmtId="0" fontId="9" fillId="6" borderId="28" applyAlignment="1" pivotButton="0" quotePrefix="0" xfId="0">
      <alignment horizontal="general" vertical="bottom"/>
    </xf>
    <xf numFmtId="0" fontId="0" fillId="6" borderId="29" applyAlignment="1" pivotButton="0" quotePrefix="0" xfId="0">
      <alignment horizontal="general" vertical="bottom"/>
    </xf>
    <xf numFmtId="170" fontId="9" fillId="6" borderId="29" applyAlignment="1" pivotButton="0" quotePrefix="0" xfId="0">
      <alignment horizontal="general" vertical="bottom"/>
    </xf>
    <xf numFmtId="170" fontId="9" fillId="6" borderId="30" applyAlignment="1" pivotButton="0" quotePrefix="0" xfId="0">
      <alignment horizontal="general" vertical="bottom"/>
    </xf>
    <xf numFmtId="170" fontId="9" fillId="6" borderId="28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0" fontId="9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17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9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170" fontId="7" fillId="0" borderId="17" applyAlignment="1" pivotButton="0" quotePrefix="0" xfId="0">
      <alignment horizontal="general" vertical="bottom"/>
    </xf>
    <xf numFmtId="170" fontId="7" fillId="0" borderId="18" applyAlignment="1" pivotButton="0" quotePrefix="0" xfId="0">
      <alignment horizontal="general" vertical="bottom"/>
    </xf>
    <xf numFmtId="171" fontId="7" fillId="0" borderId="17" applyAlignment="1" pivotButton="0" quotePrefix="0" xfId="0">
      <alignment horizontal="general" vertical="bottom"/>
    </xf>
    <xf numFmtId="171" fontId="7" fillId="0" borderId="18" applyAlignment="1" pivotButton="0" quotePrefix="0" xfId="0">
      <alignment horizontal="general" vertical="bottom"/>
    </xf>
    <xf numFmtId="0" fontId="9" fillId="7" borderId="28" applyAlignment="1" pivotButton="0" quotePrefix="0" xfId="0">
      <alignment horizontal="general" vertical="bottom"/>
    </xf>
    <xf numFmtId="170" fontId="9" fillId="7" borderId="29" applyAlignment="1" pivotButton="0" quotePrefix="0" xfId="0">
      <alignment horizontal="general" vertical="bottom"/>
    </xf>
    <xf numFmtId="170" fontId="9" fillId="7" borderId="30" applyAlignment="1" pivotButton="0" quotePrefix="0" xfId="0">
      <alignment horizontal="general" vertical="bottom"/>
    </xf>
    <xf numFmtId="170" fontId="9" fillId="7" borderId="43" applyAlignment="1" pivotButton="0" quotePrefix="0" xfId="0">
      <alignment horizontal="general" vertical="bottom"/>
    </xf>
    <xf numFmtId="170" fontId="9" fillId="7" borderId="44" applyAlignment="1" pivotButton="0" quotePrefix="0" xfId="0">
      <alignment horizontal="general" vertical="bottom"/>
    </xf>
    <xf numFmtId="170" fontId="9" fillId="4" borderId="43" applyAlignment="1" pivotButton="0" quotePrefix="0" xfId="0">
      <alignment horizontal="general" vertical="bottom"/>
    </xf>
    <xf numFmtId="170" fontId="9" fillId="4" borderId="44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170" fontId="9" fillId="6" borderId="43" applyAlignment="1" pivotButton="0" quotePrefix="0" xfId="0">
      <alignment horizontal="general" vertical="bottom"/>
    </xf>
    <xf numFmtId="170" fontId="9" fillId="6" borderId="44" applyAlignment="1" pivotButton="0" quotePrefix="0" xfId="0">
      <alignment horizontal="general" vertical="bottom"/>
    </xf>
    <xf numFmtId="171" fontId="11" fillId="0" borderId="17" applyAlignment="1" pivotButton="0" quotePrefix="0" xfId="0">
      <alignment horizontal="general" vertical="bottom"/>
    </xf>
    <xf numFmtId="171" fontId="11" fillId="0" borderId="18" applyAlignment="1" pivotButton="0" quotePrefix="0" xfId="0">
      <alignment horizontal="general" vertical="bottom"/>
    </xf>
    <xf numFmtId="0" fontId="21" fillId="7" borderId="45" applyAlignment="1" pivotButton="0" quotePrefix="0" xfId="0">
      <alignment horizontal="general" vertical="bottom"/>
    </xf>
    <xf numFmtId="0" fontId="0" fillId="7" borderId="46" applyAlignment="1" pivotButton="0" quotePrefix="0" xfId="0">
      <alignment horizontal="general" vertical="bottom"/>
    </xf>
    <xf numFmtId="0" fontId="0" fillId="7" borderId="47" applyAlignment="1" pivotButton="0" quotePrefix="0" xfId="0">
      <alignment horizontal="general" vertical="bottom"/>
    </xf>
    <xf numFmtId="0" fontId="0" fillId="7" borderId="48" applyAlignment="1" pivotButton="0" quotePrefix="0" xfId="0">
      <alignment horizontal="general" vertical="bottom"/>
    </xf>
    <xf numFmtId="0" fontId="7" fillId="7" borderId="49" applyAlignment="1" pivotButton="0" quotePrefix="0" xfId="0">
      <alignment horizontal="general" vertical="bottom" indent="1"/>
    </xf>
    <xf numFmtId="170" fontId="12" fillId="7" borderId="0" applyAlignment="1" pivotButton="0" quotePrefix="0" xfId="0">
      <alignment horizontal="general" vertical="bottom"/>
    </xf>
    <xf numFmtId="170" fontId="12" fillId="7" borderId="17" applyAlignment="1" pivotButton="0" quotePrefix="0" xfId="0">
      <alignment horizontal="general" vertical="bottom"/>
    </xf>
    <xf numFmtId="170" fontId="12" fillId="7" borderId="18" applyAlignment="1" pivotButton="0" quotePrefix="0" xfId="0">
      <alignment horizontal="general" vertical="bottom"/>
    </xf>
    <xf numFmtId="174" fontId="7" fillId="7" borderId="0" applyAlignment="1" pivotButton="0" quotePrefix="0" xfId="0">
      <alignment horizontal="general" vertical="bottom"/>
    </xf>
    <xf numFmtId="174" fontId="7" fillId="7" borderId="17" applyAlignment="1" pivotButton="0" quotePrefix="0" xfId="0">
      <alignment horizontal="general" vertical="bottom"/>
    </xf>
    <xf numFmtId="174" fontId="7" fillId="7" borderId="18" applyAlignment="1" pivotButton="0" quotePrefix="0" xfId="0">
      <alignment horizontal="general" vertical="bottom"/>
    </xf>
    <xf numFmtId="0" fontId="7" fillId="7" borderId="50" applyAlignment="1" pivotButton="0" quotePrefix="0" xfId="0">
      <alignment horizontal="general" vertical="bottom" indent="1"/>
    </xf>
    <xf numFmtId="174" fontId="7" fillId="7" borderId="51" applyAlignment="1" pivotButton="0" quotePrefix="0" xfId="0">
      <alignment horizontal="general" vertical="bottom"/>
    </xf>
    <xf numFmtId="174" fontId="7" fillId="7" borderId="25" applyAlignment="1" pivotButton="0" quotePrefix="0" xfId="0">
      <alignment horizontal="general" vertical="bottom"/>
    </xf>
    <xf numFmtId="174" fontId="7" fillId="7" borderId="2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27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165" fontId="10" fillId="0" borderId="0" applyAlignment="1" pivotButton="0" quotePrefix="0" xfId="0">
      <alignment horizontal="general" vertical="center"/>
    </xf>
    <xf numFmtId="165" fontId="7" fillId="0" borderId="0" applyAlignment="1" pivotButton="0" quotePrefix="0" xfId="0">
      <alignment horizontal="general" vertical="center"/>
    </xf>
    <xf numFmtId="166" fontId="10" fillId="0" borderId="0" applyAlignment="1" pivotButton="0" quotePrefix="0" xfId="0">
      <alignment horizontal="general" vertical="center"/>
    </xf>
    <xf numFmtId="166" fontId="7" fillId="0" borderId="0" applyAlignment="1" pivotButton="0" quotePrefix="0" xfId="0">
      <alignment horizontal="general" vertical="center"/>
    </xf>
    <xf numFmtId="0" fontId="9" fillId="2" borderId="3" applyAlignment="1" pivotButton="0" quotePrefix="0" xfId="0">
      <alignment horizontal="general" vertical="center"/>
    </xf>
    <xf numFmtId="165" fontId="9" fillId="2" borderId="4" applyAlignment="1" pivotButton="0" quotePrefix="0" xfId="0">
      <alignment horizontal="general" vertical="center"/>
    </xf>
    <xf numFmtId="165" fontId="9" fillId="2" borderId="5" applyAlignment="1" pivotButton="0" quotePrefix="0" xfId="0">
      <alignment horizontal="general" vertical="center"/>
    </xf>
    <xf numFmtId="165" fontId="9" fillId="2" borderId="3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 indent="1"/>
    </xf>
    <xf numFmtId="166" fontId="10" fillId="3" borderId="6" applyAlignment="1" pivotButton="0" quotePrefix="0" xfId="0">
      <alignment horizontal="general" vertical="center"/>
    </xf>
    <xf numFmtId="166" fontId="4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166" fontId="7" fillId="0" borderId="7" applyAlignment="1" pivotButton="0" quotePrefix="0" xfId="0">
      <alignment horizontal="general" vertical="center"/>
    </xf>
    <xf numFmtId="167" fontId="10" fillId="0" borderId="0" applyAlignment="1" pivotButton="0" quotePrefix="0" xfId="0">
      <alignment horizontal="general" vertical="center"/>
    </xf>
    <xf numFmtId="167" fontId="4" fillId="0" borderId="0" applyAlignment="1" pivotButton="0" quotePrefix="0" xfId="0">
      <alignment horizontal="general" vertical="center"/>
    </xf>
    <xf numFmtId="166" fontId="12" fillId="0" borderId="0" applyAlignment="1" pivotButton="0" quotePrefix="0" xfId="0">
      <alignment horizontal="general" vertical="center"/>
    </xf>
    <xf numFmtId="166" fontId="9" fillId="0" borderId="7" applyAlignment="1" pivotButton="0" quotePrefix="0" xfId="0">
      <alignment horizontal="general" vertical="center"/>
    </xf>
    <xf numFmtId="0" fontId="9" fillId="4" borderId="3" applyAlignment="1" pivotButton="0" quotePrefix="0" xfId="0">
      <alignment horizontal="general" vertical="center"/>
    </xf>
    <xf numFmtId="165" fontId="9" fillId="4" borderId="4" applyAlignment="1" pivotButton="0" quotePrefix="0" xfId="0">
      <alignment horizontal="general" vertical="center"/>
    </xf>
    <xf numFmtId="165" fontId="9" fillId="4" borderId="5" applyAlignment="1" pivotButton="0" quotePrefix="0" xfId="0">
      <alignment horizontal="general" vertical="center"/>
    </xf>
    <xf numFmtId="165" fontId="9" fillId="4" borderId="3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166" fontId="4" fillId="2" borderId="9" applyAlignment="1" pivotButton="0" quotePrefix="0" xfId="0">
      <alignment horizontal="general" vertical="center"/>
    </xf>
    <xf numFmtId="0" fontId="4" fillId="2" borderId="9" applyAlignment="1" pivotButton="0" quotePrefix="0" xfId="0">
      <alignment horizontal="general" vertical="center"/>
    </xf>
    <xf numFmtId="166" fontId="4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 indent="1"/>
    </xf>
    <xf numFmtId="168" fontId="8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168" fontId="8" fillId="2" borderId="12" applyAlignment="1" pivotButton="0" quotePrefix="0" xfId="0">
      <alignment horizontal="general" vertical="center"/>
    </xf>
    <xf numFmtId="0" fontId="8" fillId="2" borderId="13" applyAlignment="1" pivotButton="0" quotePrefix="0" xfId="0">
      <alignment horizontal="general" vertical="center" indent="1"/>
    </xf>
    <xf numFmtId="168" fontId="8" fillId="2" borderId="14" applyAlignment="1" pivotButton="0" quotePrefix="0" xfId="0">
      <alignment horizontal="general" vertical="center"/>
    </xf>
    <xf numFmtId="0" fontId="4" fillId="2" borderId="14" applyAlignment="1" pivotButton="0" quotePrefix="0" xfId="0">
      <alignment horizontal="general" vertical="center"/>
    </xf>
    <xf numFmtId="168" fontId="8" fillId="2" borderId="15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6" applyAlignment="1" pivotButton="0" quotePrefix="0" xfId="0">
      <alignment horizontal="center" vertical="center"/>
    </xf>
    <xf numFmtId="0" fontId="0" fillId="0" borderId="54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4" fillId="0" borderId="17" applyAlignment="1" pivotButton="0" quotePrefix="0" xfId="0">
      <alignment horizontal="general" vertical="center"/>
    </xf>
    <xf numFmtId="0" fontId="4" fillId="0" borderId="18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general" vertical="center"/>
    </xf>
    <xf numFmtId="165" fontId="12" fillId="0" borderId="17" applyAlignment="1" pivotButton="0" quotePrefix="0" xfId="0">
      <alignment horizontal="general" vertical="center"/>
    </xf>
    <xf numFmtId="165" fontId="12" fillId="0" borderId="18" applyAlignment="1" pivotButton="0" quotePrefix="0" xfId="0">
      <alignment horizontal="general" vertical="center"/>
    </xf>
    <xf numFmtId="166" fontId="12" fillId="0" borderId="17" applyAlignment="1" pivotButton="0" quotePrefix="0" xfId="0">
      <alignment horizontal="general" vertical="center"/>
    </xf>
    <xf numFmtId="166" fontId="12" fillId="0" borderId="18" applyAlignment="1" pivotButton="0" quotePrefix="0" xfId="0">
      <alignment horizontal="general" vertical="center"/>
    </xf>
    <xf numFmtId="0" fontId="9" fillId="2" borderId="3" applyAlignment="1" pivotButton="0" quotePrefix="0" xfId="0">
      <alignment horizontal="left" vertical="center"/>
    </xf>
    <xf numFmtId="165" fontId="9" fillId="2" borderId="19" applyAlignment="1" pivotButton="0" quotePrefix="0" xfId="0">
      <alignment horizontal="general" vertical="center"/>
    </xf>
    <xf numFmtId="165" fontId="9" fillId="2" borderId="20" applyAlignment="1" pivotButton="0" quotePrefix="0" xfId="0">
      <alignment horizontal="general" vertical="center"/>
    </xf>
    <xf numFmtId="0" fontId="9" fillId="4" borderId="3" applyAlignment="1" pivotButton="0" quotePrefix="0" xfId="0">
      <alignment horizontal="left" vertical="center"/>
    </xf>
    <xf numFmtId="165" fontId="9" fillId="4" borderId="19" applyAlignment="1" pivotButton="0" quotePrefix="0" xfId="0">
      <alignment horizontal="general" vertical="center"/>
    </xf>
    <xf numFmtId="165" fontId="9" fillId="4" borderId="20" applyAlignment="1" pivotButton="0" quotePrefix="0" xfId="0">
      <alignment horizontal="general" vertical="center"/>
    </xf>
    <xf numFmtId="0" fontId="15" fillId="0" borderId="0" applyAlignment="1" pivotButton="0" quotePrefix="0" xfId="0">
      <alignment horizontal="left" vertical="center" indent="1"/>
    </xf>
    <xf numFmtId="165" fontId="15" fillId="3" borderId="6" applyAlignment="1" pivotButton="0" quotePrefix="0" xfId="0">
      <alignment horizontal="general" vertical="center"/>
    </xf>
    <xf numFmtId="165" fontId="15" fillId="3" borderId="21" applyAlignment="1" pivotButton="0" quotePrefix="0" xfId="0">
      <alignment horizontal="general" vertical="center"/>
    </xf>
    <xf numFmtId="165" fontId="15" fillId="3" borderId="22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165" fontId="11" fillId="0" borderId="0" applyAlignment="1" pivotButton="0" quotePrefix="0" xfId="0">
      <alignment horizontal="general" vertical="center"/>
    </xf>
    <xf numFmtId="165" fontId="11" fillId="0" borderId="17" applyAlignment="1" pivotButton="0" quotePrefix="0" xfId="0">
      <alignment horizontal="general" vertical="center"/>
    </xf>
    <xf numFmtId="165" fontId="11" fillId="0" borderId="18" applyAlignment="1" pivotButton="0" quotePrefix="0" xfId="0">
      <alignment horizontal="general" vertical="center"/>
    </xf>
    <xf numFmtId="0" fontId="9" fillId="2" borderId="8" applyAlignment="1" pivotButton="0" quotePrefix="0" xfId="0">
      <alignment horizontal="left" vertical="center"/>
    </xf>
    <xf numFmtId="0" fontId="4" fillId="2" borderId="23" applyAlignment="1" pivotButton="0" quotePrefix="0" xfId="0">
      <alignment horizontal="general" vertical="center"/>
    </xf>
    <xf numFmtId="0" fontId="4" fillId="2" borderId="24" applyAlignment="1" pivotButton="0" quotePrefix="0" xfId="0">
      <alignment horizontal="general" vertical="center"/>
    </xf>
    <xf numFmtId="0" fontId="8" fillId="2" borderId="11" applyAlignment="1" pivotButton="0" quotePrefix="0" xfId="0">
      <alignment horizontal="left" vertical="center" indent="1"/>
    </xf>
    <xf numFmtId="168" fontId="8" fillId="2" borderId="17" applyAlignment="1" pivotButton="0" quotePrefix="0" xfId="0">
      <alignment horizontal="general" vertical="center"/>
    </xf>
    <xf numFmtId="168" fontId="8" fillId="2" borderId="18" applyAlignment="1" pivotButton="0" quotePrefix="0" xfId="0">
      <alignment horizontal="general" vertical="center"/>
    </xf>
    <xf numFmtId="0" fontId="8" fillId="2" borderId="13" applyAlignment="1" pivotButton="0" quotePrefix="0" xfId="0">
      <alignment horizontal="left" vertical="center" indent="1"/>
    </xf>
    <xf numFmtId="168" fontId="8" fillId="2" borderId="25" applyAlignment="1" pivotButton="0" quotePrefix="0" xfId="0">
      <alignment horizontal="general" vertical="center"/>
    </xf>
    <xf numFmtId="168" fontId="8" fillId="2" borderId="26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right" vertical="center"/>
    </xf>
    <xf numFmtId="0" fontId="1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right" vertical="center"/>
    </xf>
    <xf numFmtId="169" fontId="7" fillId="0" borderId="0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12" fillId="0" borderId="0" applyAlignment="1" pivotButton="0" quotePrefix="0" xfId="0">
      <alignment horizontal="general" vertical="bottom"/>
    </xf>
    <xf numFmtId="0" fontId="9" fillId="2" borderId="28" applyAlignment="1" pivotButton="0" quotePrefix="0" xfId="0">
      <alignment horizontal="general" vertical="bottom"/>
    </xf>
    <xf numFmtId="0" fontId="0" fillId="2" borderId="29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right" vertical="bottom"/>
    </xf>
    <xf numFmtId="170" fontId="9" fillId="2" borderId="30" applyAlignment="1" pivotButton="0" quotePrefix="0" xfId="0">
      <alignment horizontal="right" vertical="bottom"/>
    </xf>
    <xf numFmtId="170" fontId="9" fillId="2" borderId="28" applyAlignment="1" pivotButton="0" quotePrefix="0" xfId="0">
      <alignment horizontal="right" vertical="bottom"/>
    </xf>
    <xf numFmtId="170" fontId="9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 indent="1"/>
    </xf>
    <xf numFmtId="170" fontId="10" fillId="3" borderId="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 indent="1"/>
    </xf>
    <xf numFmtId="171" fontId="7" fillId="3" borderId="0" applyAlignment="1" pivotButton="0" quotePrefix="0" xfId="0">
      <alignment horizontal="general" vertical="bottom"/>
    </xf>
    <xf numFmtId="0" fontId="9" fillId="4" borderId="28" applyAlignment="1" pivotButton="0" quotePrefix="0" xfId="0">
      <alignment horizontal="general" vertical="bottom"/>
    </xf>
    <xf numFmtId="0" fontId="0" fillId="4" borderId="29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right" vertical="bottom"/>
    </xf>
    <xf numFmtId="170" fontId="9" fillId="4" borderId="30" applyAlignment="1" pivotButton="0" quotePrefix="0" xfId="0">
      <alignment horizontal="right" vertical="bottom"/>
    </xf>
    <xf numFmtId="170" fontId="9" fillId="4" borderId="28" applyAlignment="1" pivotButton="0" quotePrefix="0" xfId="0">
      <alignment horizontal="right" vertical="bottom"/>
    </xf>
    <xf numFmtId="172" fontId="11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1"/>
    </xf>
    <xf numFmtId="0" fontId="9" fillId="5" borderId="28" applyAlignment="1" pivotButton="0" quotePrefix="0" xfId="0">
      <alignment horizontal="general" vertical="bottom"/>
    </xf>
    <xf numFmtId="0" fontId="0" fillId="5" borderId="29" applyAlignment="1" pivotButton="0" quotePrefix="0" xfId="0">
      <alignment horizontal="general" vertical="bottom"/>
    </xf>
    <xf numFmtId="170" fontId="9" fillId="5" borderId="29" applyAlignment="1" pivotButton="0" quotePrefix="0" xfId="0">
      <alignment horizontal="right" vertical="bottom"/>
    </xf>
    <xf numFmtId="170" fontId="9" fillId="5" borderId="30" applyAlignment="1" pivotButton="0" quotePrefix="0" xfId="0">
      <alignment horizontal="right" vertical="bottom"/>
    </xf>
    <xf numFmtId="170" fontId="9" fillId="5" borderId="28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center"/>
    </xf>
    <xf numFmtId="0" fontId="8" fillId="0" borderId="27" applyAlignment="1" pivotButton="0" quotePrefix="0" xfId="0">
      <alignment horizontal="general" vertical="center"/>
    </xf>
    <xf numFmtId="0" fontId="0" fillId="0" borderId="27" applyAlignment="1" pivotButton="0" quotePrefix="0" xfId="0">
      <alignment horizontal="general" vertical="center"/>
    </xf>
    <xf numFmtId="0" fontId="14" fillId="0" borderId="27" applyAlignment="1" pivotButton="0" quotePrefix="0" xfId="0">
      <alignment horizontal="right" vertical="center"/>
    </xf>
    <xf numFmtId="0" fontId="0" fillId="0" borderId="27" pivotButton="0" quotePrefix="0" xfId="0"/>
    <xf numFmtId="0" fontId="0" fillId="0" borderId="31" applyAlignment="1" pivotButton="0" quotePrefix="0" xfId="0">
      <alignment horizontal="general" vertical="center"/>
    </xf>
    <xf numFmtId="0" fontId="0" fillId="0" borderId="32" applyAlignment="1" pivotButton="0" quotePrefix="0" xfId="0">
      <alignment horizontal="general" vertical="center"/>
    </xf>
    <xf numFmtId="0" fontId="9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0" fontId="9" fillId="0" borderId="32" applyAlignment="1" pivotButton="0" quotePrefix="0" xfId="0">
      <alignment horizontal="general" vertical="bottom"/>
    </xf>
    <xf numFmtId="171" fontId="7" fillId="0" borderId="3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2"/>
    </xf>
    <xf numFmtId="170" fontId="9" fillId="2" borderId="34" applyAlignment="1" pivotButton="0" quotePrefix="0" xfId="0">
      <alignment horizontal="right" vertical="bottom"/>
    </xf>
    <xf numFmtId="170" fontId="20" fillId="3" borderId="6" applyAlignment="1" pivotButton="0" quotePrefix="0" xfId="0">
      <alignment horizontal="general" vertical="bottom"/>
    </xf>
    <xf numFmtId="170" fontId="20" fillId="3" borderId="35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0" fontId="11" fillId="0" borderId="32" applyAlignment="1" pivotButton="0" quotePrefix="0" xfId="0">
      <alignment horizontal="general" vertical="bottom"/>
    </xf>
    <xf numFmtId="170" fontId="7" fillId="0" borderId="32" applyAlignment="1" pivotButton="0" quotePrefix="0" xfId="0">
      <alignment horizontal="general" vertical="bottom"/>
    </xf>
    <xf numFmtId="170" fontId="9" fillId="4" borderId="34" applyAlignment="1" pivotButton="0" quotePrefix="0" xfId="0">
      <alignment horizontal="right" vertical="bottom"/>
    </xf>
    <xf numFmtId="170" fontId="9" fillId="5" borderId="36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center"/>
    </xf>
    <xf numFmtId="173" fontId="7" fillId="0" borderId="0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general" vertical="bottom"/>
    </xf>
    <xf numFmtId="170" fontId="9" fillId="2" borderId="30" applyAlignment="1" pivotButton="0" quotePrefix="0" xfId="0">
      <alignment horizontal="general" vertical="bottom"/>
    </xf>
    <xf numFmtId="170" fontId="9" fillId="2" borderId="28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171" fontId="10" fillId="3" borderId="6" applyAlignment="1" pivotButton="0" quotePrefix="0" xfId="0">
      <alignment horizontal="general" vertical="bottom"/>
    </xf>
    <xf numFmtId="171" fontId="7" fillId="3" borderId="6" applyAlignment="1" pivotButton="0" quotePrefix="0" xfId="0">
      <alignment horizontal="general" vertical="bottom"/>
    </xf>
    <xf numFmtId="171" fontId="8" fillId="0" borderId="0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general" vertical="bottom"/>
    </xf>
    <xf numFmtId="170" fontId="9" fillId="4" borderId="30" applyAlignment="1" pivotButton="0" quotePrefix="0" xfId="0">
      <alignment horizontal="general" vertical="bottom"/>
    </xf>
    <xf numFmtId="170" fontId="9" fillId="4" borderId="28" applyAlignment="1" pivotButton="0" quotePrefix="0" xfId="0">
      <alignment horizontal="general" vertical="bottom"/>
    </xf>
    <xf numFmtId="172" fontId="8" fillId="0" borderId="0" applyAlignment="1" pivotButton="0" quotePrefix="0" xfId="0">
      <alignment horizontal="general" vertical="bottom"/>
    </xf>
    <xf numFmtId="0" fontId="9" fillId="6" borderId="28" applyAlignment="1" pivotButton="0" quotePrefix="0" xfId="0">
      <alignment horizontal="general" vertical="bottom"/>
    </xf>
    <xf numFmtId="0" fontId="0" fillId="6" borderId="29" applyAlignment="1" pivotButton="0" quotePrefix="0" xfId="0">
      <alignment horizontal="general" vertical="bottom"/>
    </xf>
    <xf numFmtId="170" fontId="9" fillId="6" borderId="29" applyAlignment="1" pivotButton="0" quotePrefix="0" xfId="0">
      <alignment horizontal="general" vertical="bottom"/>
    </xf>
    <xf numFmtId="170" fontId="9" fillId="6" borderId="30" applyAlignment="1" pivotButton="0" quotePrefix="0" xfId="0">
      <alignment horizontal="general" vertical="bottom"/>
    </xf>
    <xf numFmtId="170" fontId="9" fillId="6" borderId="28" applyAlignment="1" pivotButton="0" quotePrefix="0" xfId="0">
      <alignment horizontal="general" vertical="bottom"/>
    </xf>
    <xf numFmtId="0" fontId="9" fillId="0" borderId="38" applyAlignment="1" pivotButton="0" quotePrefix="0" xfId="0">
      <alignment horizontal="center" vertical="center"/>
    </xf>
    <xf numFmtId="0" fontId="0" fillId="0" borderId="38" pivotButton="0" quotePrefix="0" xfId="0"/>
    <xf numFmtId="0" fontId="9" fillId="0" borderId="3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17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9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170" fontId="7" fillId="0" borderId="17" applyAlignment="1" pivotButton="0" quotePrefix="0" xfId="0">
      <alignment horizontal="general" vertical="bottom"/>
    </xf>
    <xf numFmtId="170" fontId="7" fillId="0" borderId="18" applyAlignment="1" pivotButton="0" quotePrefix="0" xfId="0">
      <alignment horizontal="general" vertical="bottom"/>
    </xf>
    <xf numFmtId="171" fontId="7" fillId="0" borderId="17" applyAlignment="1" pivotButton="0" quotePrefix="0" xfId="0">
      <alignment horizontal="general" vertical="bottom"/>
    </xf>
    <xf numFmtId="171" fontId="7" fillId="0" borderId="18" applyAlignment="1" pivotButton="0" quotePrefix="0" xfId="0">
      <alignment horizontal="general" vertical="bottom"/>
    </xf>
    <xf numFmtId="0" fontId="9" fillId="7" borderId="28" applyAlignment="1" pivotButton="0" quotePrefix="0" xfId="0">
      <alignment horizontal="general" vertical="bottom"/>
    </xf>
    <xf numFmtId="170" fontId="9" fillId="7" borderId="29" applyAlignment="1" pivotButton="0" quotePrefix="0" xfId="0">
      <alignment horizontal="general" vertical="bottom"/>
    </xf>
    <xf numFmtId="170" fontId="9" fillId="7" borderId="30" applyAlignment="1" pivotButton="0" quotePrefix="0" xfId="0">
      <alignment horizontal="general" vertical="bottom"/>
    </xf>
    <xf numFmtId="170" fontId="9" fillId="7" borderId="43" applyAlignment="1" pivotButton="0" quotePrefix="0" xfId="0">
      <alignment horizontal="general" vertical="bottom"/>
    </xf>
    <xf numFmtId="170" fontId="9" fillId="7" borderId="44" applyAlignment="1" pivotButton="0" quotePrefix="0" xfId="0">
      <alignment horizontal="general" vertical="bottom"/>
    </xf>
    <xf numFmtId="170" fontId="9" fillId="4" borderId="43" applyAlignment="1" pivotButton="0" quotePrefix="0" xfId="0">
      <alignment horizontal="general" vertical="bottom"/>
    </xf>
    <xf numFmtId="170" fontId="9" fillId="4" borderId="44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170" fontId="9" fillId="6" borderId="43" applyAlignment="1" pivotButton="0" quotePrefix="0" xfId="0">
      <alignment horizontal="general" vertical="bottom"/>
    </xf>
    <xf numFmtId="170" fontId="9" fillId="6" borderId="44" applyAlignment="1" pivotButton="0" quotePrefix="0" xfId="0">
      <alignment horizontal="general" vertical="bottom"/>
    </xf>
    <xf numFmtId="171" fontId="11" fillId="0" borderId="17" applyAlignment="1" pivotButton="0" quotePrefix="0" xfId="0">
      <alignment horizontal="general" vertical="bottom"/>
    </xf>
    <xf numFmtId="171" fontId="11" fillId="0" borderId="18" applyAlignment="1" pivotButton="0" quotePrefix="0" xfId="0">
      <alignment horizontal="general" vertical="bottom"/>
    </xf>
    <xf numFmtId="0" fontId="21" fillId="7" borderId="45" applyAlignment="1" pivotButton="0" quotePrefix="0" xfId="0">
      <alignment horizontal="general" vertical="bottom"/>
    </xf>
    <xf numFmtId="0" fontId="0" fillId="7" borderId="46" applyAlignment="1" pivotButton="0" quotePrefix="0" xfId="0">
      <alignment horizontal="general" vertical="bottom"/>
    </xf>
    <xf numFmtId="0" fontId="0" fillId="7" borderId="47" applyAlignment="1" pivotButton="0" quotePrefix="0" xfId="0">
      <alignment horizontal="general" vertical="bottom"/>
    </xf>
    <xf numFmtId="0" fontId="0" fillId="7" borderId="48" applyAlignment="1" pivotButton="0" quotePrefix="0" xfId="0">
      <alignment horizontal="general" vertical="bottom"/>
    </xf>
    <xf numFmtId="0" fontId="7" fillId="7" borderId="49" applyAlignment="1" pivotButton="0" quotePrefix="0" xfId="0">
      <alignment horizontal="general" vertical="bottom" indent="1"/>
    </xf>
    <xf numFmtId="170" fontId="12" fillId="7" borderId="0" applyAlignment="1" pivotButton="0" quotePrefix="0" xfId="0">
      <alignment horizontal="general" vertical="bottom"/>
    </xf>
    <xf numFmtId="170" fontId="12" fillId="7" borderId="17" applyAlignment="1" pivotButton="0" quotePrefix="0" xfId="0">
      <alignment horizontal="general" vertical="bottom"/>
    </xf>
    <xf numFmtId="170" fontId="12" fillId="7" borderId="18" applyAlignment="1" pivotButton="0" quotePrefix="0" xfId="0">
      <alignment horizontal="general" vertical="bottom"/>
    </xf>
    <xf numFmtId="174" fontId="7" fillId="7" borderId="0" applyAlignment="1" pivotButton="0" quotePrefix="0" xfId="0">
      <alignment horizontal="general" vertical="bottom"/>
    </xf>
    <xf numFmtId="174" fontId="7" fillId="7" borderId="17" applyAlignment="1" pivotButton="0" quotePrefix="0" xfId="0">
      <alignment horizontal="general" vertical="bottom"/>
    </xf>
    <xf numFmtId="174" fontId="7" fillId="7" borderId="18" applyAlignment="1" pivotButton="0" quotePrefix="0" xfId="0">
      <alignment horizontal="general" vertical="bottom"/>
    </xf>
    <xf numFmtId="0" fontId="7" fillId="7" borderId="50" applyAlignment="1" pivotButton="0" quotePrefix="0" xfId="0">
      <alignment horizontal="general" vertical="bottom" indent="1"/>
    </xf>
    <xf numFmtId="174" fontId="7" fillId="7" borderId="51" applyAlignment="1" pivotButton="0" quotePrefix="0" xfId="0">
      <alignment horizontal="general" vertical="bottom"/>
    </xf>
    <xf numFmtId="174" fontId="7" fillId="7" borderId="25" applyAlignment="1" pivotButton="0" quotePrefix="0" xfId="0">
      <alignment horizontal="general" vertical="bottom"/>
    </xf>
    <xf numFmtId="174" fontId="7" fillId="7" borderId="2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27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22" fillId="0" borderId="0" pivotButton="0" quotePrefix="0" xfId="0"/>
    <xf numFmtId="0" fontId="23" fillId="0" borderId="0" applyAlignment="1" pivotButton="0" quotePrefix="0" xfId="0">
      <alignment horizontal="right"/>
    </xf>
    <xf numFmtId="0" fontId="24" fillId="0" borderId="56" pivotButton="0" quotePrefix="0" xfId="0"/>
    <xf numFmtId="0" fontId="0" fillId="0" borderId="56" pivotButton="0" quotePrefix="0" xfId="0"/>
    <xf numFmtId="0" fontId="25" fillId="8" borderId="57" applyAlignment="1" pivotButton="0" quotePrefix="0" xfId="0">
      <alignment horizontal="center"/>
    </xf>
    <xf numFmtId="0" fontId="23" fillId="0" borderId="56" applyAlignment="1" pivotButton="0" quotePrefix="0" xfId="0">
      <alignment horizontal="right"/>
    </xf>
    <xf numFmtId="0" fontId="26" fillId="0" borderId="0" pivotButton="0" quotePrefix="0" xfId="0"/>
    <xf numFmtId="0" fontId="24" fillId="0" borderId="0" pivotButton="0" quotePrefix="0" xfId="0"/>
    <xf numFmtId="0" fontId="22" fillId="0" borderId="56" applyAlignment="1" pivotButton="0" quotePrefix="0" xfId="0">
      <alignment horizontal="centerContinuous"/>
    </xf>
    <xf numFmtId="0" fontId="22" fillId="0" borderId="58" applyAlignment="1" pivotButton="0" quotePrefix="0" xfId="0">
      <alignment horizontal="center"/>
    </xf>
    <xf numFmtId="0" fontId="22" fillId="0" borderId="56" applyAlignment="1" pivotButton="0" quotePrefix="0" xfId="0">
      <alignment horizontal="center"/>
    </xf>
    <xf numFmtId="0" fontId="22" fillId="0" borderId="59" applyAlignment="1" pivotButton="0" quotePrefix="0" xfId="0">
      <alignment horizontal="center"/>
    </xf>
    <xf numFmtId="0" fontId="22" fillId="0" borderId="6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75" fontId="27" fillId="0" borderId="0" pivotButton="0" quotePrefix="0" xfId="0"/>
    <xf numFmtId="175" fontId="27" fillId="0" borderId="61" pivotButton="0" quotePrefix="0" xfId="0"/>
    <xf numFmtId="175" fontId="27" fillId="0" borderId="62" pivotButton="0" quotePrefix="0" xfId="0"/>
    <xf numFmtId="176" fontId="26" fillId="0" borderId="0" pivotButton="0" quotePrefix="0" xfId="0"/>
    <xf numFmtId="177" fontId="27" fillId="0" borderId="0" pivotButton="0" quotePrefix="0" xfId="0"/>
    <xf numFmtId="177" fontId="27" fillId="0" borderId="61" pivotButton="0" quotePrefix="0" xfId="0"/>
    <xf numFmtId="177" fontId="27" fillId="0" borderId="62" pivotButton="0" quotePrefix="0" xfId="0"/>
    <xf numFmtId="178" fontId="26" fillId="0" borderId="0" pivotButton="0" quotePrefix="0" xfId="0"/>
    <xf numFmtId="0" fontId="22" fillId="9" borderId="63" applyAlignment="1" pivotButton="0" quotePrefix="0" xfId="0">
      <alignment horizontal="left"/>
    </xf>
    <xf numFmtId="0" fontId="22" fillId="9" borderId="64" pivotButton="0" quotePrefix="0" xfId="0"/>
    <xf numFmtId="175" fontId="22" fillId="9" borderId="64" pivotButton="0" quotePrefix="0" xfId="0"/>
    <xf numFmtId="175" fontId="22" fillId="9" borderId="65" pivotButton="0" quotePrefix="0" xfId="0"/>
    <xf numFmtId="0" fontId="22" fillId="10" borderId="63" applyAlignment="1" pivotButton="0" quotePrefix="0" xfId="0">
      <alignment horizontal="left"/>
    </xf>
    <xf numFmtId="0" fontId="22" fillId="10" borderId="64" pivotButton="0" quotePrefix="0" xfId="0"/>
    <xf numFmtId="175" fontId="22" fillId="10" borderId="64" pivotButton="0" quotePrefix="0" xfId="0"/>
    <xf numFmtId="175" fontId="22" fillId="10" borderId="66" pivotButton="0" quotePrefix="0" xfId="0"/>
    <xf numFmtId="175" fontId="22" fillId="10" borderId="67" pivotButton="0" quotePrefix="0" xfId="0"/>
    <xf numFmtId="0" fontId="28" fillId="0" borderId="0" pivotButton="0" quotePrefix="0" xfId="0"/>
    <xf numFmtId="0" fontId="22" fillId="0" borderId="0" applyAlignment="1" pivotButton="0" quotePrefix="0" xfId="0">
      <alignment horizontal="left"/>
    </xf>
    <xf numFmtId="0" fontId="24" fillId="9" borderId="68" applyAlignment="1" pivotButton="0" quotePrefix="0" xfId="0">
      <alignment horizontal="left"/>
    </xf>
    <xf numFmtId="0" fontId="24" fillId="9" borderId="70" pivotButton="0" quotePrefix="0" xfId="0"/>
    <xf numFmtId="179" fontId="24" fillId="9" borderId="70" pivotButton="0" quotePrefix="0" xfId="0"/>
    <xf numFmtId="179" fontId="24" fillId="9" borderId="72" pivotButton="0" quotePrefix="0" xfId="0"/>
    <xf numFmtId="0" fontId="24" fillId="9" borderId="69" applyAlignment="1" pivotButton="0" quotePrefix="0" xfId="0">
      <alignment horizontal="left"/>
    </xf>
    <xf numFmtId="0" fontId="24" fillId="9" borderId="71" pivotButton="0" quotePrefix="0" xfId="0"/>
    <xf numFmtId="179" fontId="24" fillId="9" borderId="71" pivotButton="0" quotePrefix="0" xfId="0"/>
    <xf numFmtId="179" fontId="24" fillId="9" borderId="73" pivotButton="0" quotePrefix="0" xfId="0"/>
    <xf numFmtId="177" fontId="27" fillId="8" borderId="57" pivotButton="0" quotePrefix="0" xfId="0"/>
    <xf numFmtId="177" fontId="29" fillId="8" borderId="57" pivotButton="0" quotePrefix="0" xfId="0"/>
    <xf numFmtId="0" fontId="30" fillId="0" borderId="0" pivotButton="0" quotePrefix="0" xfId="0"/>
    <xf numFmtId="0" fontId="22" fillId="0" borderId="58" applyAlignment="1" pivotButton="0" quotePrefix="0" xfId="0">
      <alignment horizontal="centerContinuous"/>
    </xf>
    <xf numFmtId="0" fontId="31" fillId="0" borderId="0" pivotButton="0" quotePrefix="0" xfId="0"/>
    <xf numFmtId="176" fontId="27" fillId="0" borderId="0" pivotButton="0" quotePrefix="0" xfId="0"/>
    <xf numFmtId="176" fontId="22" fillId="9" borderId="64" pivotButton="0" quotePrefix="0" xfId="0"/>
    <xf numFmtId="176" fontId="22" fillId="9" borderId="65" pivotButton="0" quotePrefix="0" xfId="0"/>
    <xf numFmtId="176" fontId="22" fillId="10" borderId="64" pivotButton="0" quotePrefix="0" xfId="0"/>
    <xf numFmtId="176" fontId="22" fillId="10" borderId="65" pivotButton="0" quotePrefix="0" xfId="0"/>
    <xf numFmtId="0" fontId="24" fillId="0" borderId="0" applyAlignment="1" pivotButton="0" quotePrefix="0" xfId="0">
      <alignment horizontal="left"/>
    </xf>
    <xf numFmtId="178" fontId="24" fillId="0" borderId="0" pivotButton="0" quotePrefix="0" xfId="0"/>
    <xf numFmtId="180" fontId="28" fillId="0" borderId="0" pivotButton="0" quotePrefix="0" xfId="0"/>
    <xf numFmtId="0" fontId="32" fillId="0" borderId="74" applyAlignment="1" pivotButton="0" quotePrefix="0" xfId="0">
      <alignment vertical="center"/>
    </xf>
    <xf numFmtId="0" fontId="33" fillId="0" borderId="74" applyAlignment="1" pivotButton="0" quotePrefix="0" xfId="0">
      <alignment vertical="center"/>
    </xf>
    <xf numFmtId="14" fontId="34" fillId="0" borderId="75" applyAlignment="1" pivotButton="0" quotePrefix="0" xfId="0">
      <alignment vertical="center"/>
    </xf>
    <xf numFmtId="0" fontId="35" fillId="0" borderId="74" applyAlignment="1" pivotButton="0" quotePrefix="0" xfId="0">
      <alignment horizontal="right" vertical="center"/>
    </xf>
    <xf numFmtId="0" fontId="36" fillId="0" borderId="56" applyAlignment="1" pivotButton="0" quotePrefix="0" xfId="0">
      <alignment vertical="center"/>
    </xf>
    <xf numFmtId="0" fontId="33" fillId="0" borderId="56" pivotButton="0" quotePrefix="0" xfId="0"/>
    <xf numFmtId="0" fontId="35" fillId="0" borderId="56" applyAlignment="1" pivotButton="0" quotePrefix="0" xfId="0">
      <alignment horizontal="right" vertical="center"/>
    </xf>
    <xf numFmtId="181" fontId="33" fillId="0" borderId="74" applyAlignment="1" pivotButton="0" quotePrefix="0" xfId="0">
      <alignment horizontal="left" vertical="center"/>
    </xf>
    <xf numFmtId="0" fontId="36" fillId="0" borderId="74" pivotButton="0" quotePrefix="0" xfId="0"/>
    <xf numFmtId="0" fontId="37" fillId="0" borderId="74" applyAlignment="1" pivotButton="0" quotePrefix="0" xfId="0">
      <alignment horizontal="center" vertical="center"/>
    </xf>
    <xf numFmtId="0" fontId="32" fillId="0" borderId="56" applyAlignment="1" pivotButton="0" quotePrefix="0" xfId="0">
      <alignment horizontal="centerContinuous" vertical="center"/>
    </xf>
    <xf numFmtId="0" fontId="33" fillId="0" borderId="56" applyAlignment="1" pivotButton="0" quotePrefix="0" xfId="0">
      <alignment horizontal="centerContinuous" vertical="center"/>
    </xf>
    <xf numFmtId="0" fontId="37" fillId="0" borderId="76" applyAlignment="1" pivotButton="0" quotePrefix="0" xfId="0">
      <alignment vertical="center"/>
    </xf>
    <xf numFmtId="0" fontId="37" fillId="0" borderId="76" applyAlignment="1" pivotButton="0" quotePrefix="0" xfId="0">
      <alignment horizontal="center" vertical="center"/>
    </xf>
    <xf numFmtId="0" fontId="33" fillId="0" borderId="74" pivotButton="0" quotePrefix="0" xfId="0"/>
    <xf numFmtId="0" fontId="33" fillId="0" borderId="74" applyAlignment="1" pivotButton="0" quotePrefix="0" xfId="0">
      <alignment horizontal="left" vertical="center" indent="1"/>
    </xf>
    <xf numFmtId="182" fontId="33" fillId="0" borderId="74" applyAlignment="1" pivotButton="0" quotePrefix="0" xfId="0">
      <alignment horizontal="right" vertical="center"/>
    </xf>
    <xf numFmtId="183" fontId="33" fillId="0" borderId="74" applyAlignment="1" pivotButton="0" quotePrefix="0" xfId="0">
      <alignment horizontal="center" vertical="center"/>
    </xf>
    <xf numFmtId="184" fontId="33" fillId="0" borderId="74" applyAlignment="1" pivotButton="0" quotePrefix="0" xfId="0">
      <alignment horizontal="center" vertical="center"/>
    </xf>
    <xf numFmtId="185" fontId="33" fillId="0" borderId="74" applyAlignment="1" pivotButton="0" quotePrefix="0" xfId="0">
      <alignment horizontal="center" vertical="center"/>
    </xf>
    <xf numFmtId="17" fontId="33" fillId="0" borderId="74" applyAlignment="1" pivotButton="0" quotePrefix="0" xfId="0">
      <alignment horizontal="center" vertical="center"/>
    </xf>
    <xf numFmtId="1" fontId="33" fillId="0" borderId="74" applyAlignment="1" pivotButton="0" quotePrefix="0" xfId="0">
      <alignment horizontal="center" vertical="center"/>
    </xf>
    <xf numFmtId="186" fontId="33" fillId="0" borderId="74" applyAlignment="1" pivotButton="0" quotePrefix="0" xfId="0">
      <alignment horizontal="center" vertical="center"/>
    </xf>
    <xf numFmtId="187" fontId="33" fillId="0" borderId="74" applyAlignment="1" pivotButton="0" quotePrefix="0" xfId="0">
      <alignment horizontal="center" vertical="center"/>
    </xf>
    <xf numFmtId="182" fontId="33" fillId="0" borderId="74" applyAlignment="1" pivotButton="0" quotePrefix="0" xfId="0">
      <alignment horizontal="center" vertical="center"/>
    </xf>
    <xf numFmtId="10" fontId="34" fillId="0" borderId="74" applyAlignment="1" pivotButton="0" quotePrefix="0" xfId="0">
      <alignment horizontal="center" vertical="center"/>
    </xf>
    <xf numFmtId="10" fontId="33" fillId="0" borderId="74" applyAlignment="1" pivotButton="0" quotePrefix="0" xfId="0">
      <alignment horizontal="center" vertical="center"/>
    </xf>
    <xf numFmtId="188" fontId="33" fillId="0" borderId="74" applyAlignment="1" pivotButton="0" quotePrefix="0" xfId="0">
      <alignment horizontal="center" vertical="center"/>
    </xf>
    <xf numFmtId="0" fontId="32" fillId="0" borderId="63" applyAlignment="1" pivotButton="0" quotePrefix="0" xfId="0">
      <alignment vertical="center"/>
    </xf>
    <xf numFmtId="176" fontId="32" fillId="0" borderId="64" applyAlignment="1" pivotButton="0" quotePrefix="0" xfId="0">
      <alignment horizontal="right" vertical="center"/>
    </xf>
    <xf numFmtId="174" fontId="32" fillId="0" borderId="64" applyAlignment="1" pivotButton="0" quotePrefix="0" xfId="0">
      <alignment horizontal="center" vertical="center"/>
    </xf>
    <xf numFmtId="0" fontId="33" fillId="0" borderId="64" pivotButton="0" quotePrefix="0" xfId="0"/>
    <xf numFmtId="0" fontId="32" fillId="0" borderId="64" applyAlignment="1" pivotButton="0" quotePrefix="0" xfId="0">
      <alignment horizontal="center"/>
    </xf>
    <xf numFmtId="186" fontId="32" fillId="0" borderId="64" applyAlignment="1" pivotButton="0" quotePrefix="0" xfId="0">
      <alignment horizontal="center"/>
    </xf>
    <xf numFmtId="0" fontId="33" fillId="0" borderId="65" pivotButton="0" quotePrefix="0" xfId="0"/>
    <xf numFmtId="189" fontId="32" fillId="0" borderId="64" applyAlignment="1" pivotButton="0" quotePrefix="0" xfId="0">
      <alignment horizontal="center" vertical="center"/>
    </xf>
    <xf numFmtId="183" fontId="32" fillId="0" borderId="65" applyAlignment="1" pivotButton="0" quotePrefix="0" xfId="0">
      <alignment horizontal="center" vertical="center"/>
    </xf>
    <xf numFmtId="190" fontId="43" fillId="0" borderId="74" applyAlignment="1" pivotButton="0" quotePrefix="0" xfId="0">
      <alignment horizontal="right" vertical="center"/>
    </xf>
    <xf numFmtId="191" fontId="33" fillId="0" borderId="74" applyAlignment="1" pivotButton="0" quotePrefix="0" xfId="0">
      <alignment horizontal="center" vertical="center"/>
    </xf>
    <xf numFmtId="182" fontId="32" fillId="0" borderId="64" applyAlignment="1" pivotButton="0" quotePrefix="0" xfId="0">
      <alignment horizontal="right" vertical="center"/>
    </xf>
    <xf numFmtId="183" fontId="32" fillId="0" borderId="64" applyAlignment="1" pivotButton="0" quotePrefix="0" xfId="0">
      <alignment horizontal="center" vertical="center"/>
    </xf>
    <xf numFmtId="0" fontId="32" fillId="0" borderId="64" applyAlignment="1" pivotButton="0" quotePrefix="0" xfId="0">
      <alignment horizontal="center" vertical="center"/>
    </xf>
    <xf numFmtId="0" fontId="33" fillId="0" borderId="77" applyAlignment="1" pivotButton="0" quotePrefix="0" xfId="0">
      <alignment horizontal="left" vertical="center"/>
    </xf>
    <xf numFmtId="176" fontId="43" fillId="0" borderId="78" applyAlignment="1" pivotButton="0" quotePrefix="0" xfId="0">
      <alignment vertical="center"/>
    </xf>
    <xf numFmtId="189" fontId="32" fillId="0" borderId="74" applyAlignment="1" pivotButton="0" quotePrefix="0" xfId="0">
      <alignment vertical="center"/>
    </xf>
    <xf numFmtId="190" fontId="33" fillId="0" borderId="74" applyAlignment="1" pivotButton="0" quotePrefix="0" xfId="0">
      <alignment horizontal="right" vertical="center"/>
    </xf>
    <xf numFmtId="189" fontId="32" fillId="0" borderId="65" applyAlignment="1" pivotButton="0" quotePrefix="0" xfId="0">
      <alignment horizontal="right" vertical="center"/>
    </xf>
    <xf numFmtId="0" fontId="44" fillId="0" borderId="0" pivotButton="0" quotePrefix="0" xfId="0"/>
    <xf numFmtId="0" fontId="47" fillId="0" borderId="0" applyAlignment="1" pivotButton="0" quotePrefix="0" xfId="0">
      <alignment horizontal="right"/>
    </xf>
    <xf numFmtId="0" fontId="45" fillId="0" borderId="79" pivotButton="0" quotePrefix="0" xfId="0"/>
    <xf numFmtId="0" fontId="0" fillId="0" borderId="79" pivotButton="0" quotePrefix="0" xfId="0"/>
    <xf numFmtId="0" fontId="47" fillId="0" borderId="79" applyAlignment="1" pivotButton="0" quotePrefix="0" xfId="0">
      <alignment horizontal="right"/>
    </xf>
    <xf numFmtId="0" fontId="45" fillId="0" borderId="0" pivotButton="0" quotePrefix="0" xfId="0"/>
    <xf numFmtId="0" fontId="46" fillId="0" borderId="0" pivotButton="0" quotePrefix="0" xfId="0"/>
    <xf numFmtId="0" fontId="44" fillId="0" borderId="80" applyAlignment="1" pivotButton="0" quotePrefix="0" xfId="0">
      <alignment horizontal="center"/>
    </xf>
    <xf numFmtId="192" fontId="48" fillId="0" borderId="0" applyAlignment="1" pivotButton="0" quotePrefix="0" xfId="0">
      <alignment horizontal="right"/>
    </xf>
    <xf numFmtId="192" fontId="0" fillId="0" borderId="0" applyAlignment="1" pivotButton="0" quotePrefix="0" xfId="0">
      <alignment horizontal="right"/>
    </xf>
    <xf numFmtId="193" fontId="48" fillId="0" borderId="0" applyAlignment="1" pivotButton="0" quotePrefix="0" xfId="0">
      <alignment horizontal="right"/>
    </xf>
    <xf numFmtId="193" fontId="0" fillId="0" borderId="0" applyAlignment="1" pivotButton="0" quotePrefix="0" xfId="0">
      <alignment horizontal="right"/>
    </xf>
    <xf numFmtId="192" fontId="44" fillId="0" borderId="81" applyAlignment="1" pivotButton="0" quotePrefix="0" xfId="0">
      <alignment horizontal="right"/>
    </xf>
    <xf numFmtId="0" fontId="38" fillId="0" borderId="74" applyAlignment="1" pivotButton="0" quotePrefix="0" xfId="0">
      <alignment horizontal="left"/>
    </xf>
    <xf numFmtId="0" fontId="39" fillId="0" borderId="74" applyAlignment="1" pivotButton="0" quotePrefix="0" xfId="0">
      <alignment horizontal="center" wrapText="1"/>
    </xf>
    <xf numFmtId="0" fontId="40" fillId="0" borderId="74" applyAlignment="1" pivotButton="0" quotePrefix="0" xfId="0">
      <alignment horizontal="center" vertical="center" wrapText="1"/>
    </xf>
    <xf numFmtId="0" fontId="41" fillId="0" borderId="74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 wrapText="1"/>
    </xf>
    <xf numFmtId="194" fontId="39" fillId="0" borderId="74" applyAlignment="1" pivotButton="0" quotePrefix="0" xfId="0">
      <alignment horizontal="left"/>
    </xf>
    <xf numFmtId="190" fontId="39" fillId="0" borderId="74" pivotButton="0" quotePrefix="0" xfId="0"/>
    <xf numFmtId="194" fontId="42" fillId="0" borderId="74" applyAlignment="1" pivotButton="0" quotePrefix="0" xfId="0">
      <alignment vertical="center"/>
    </xf>
    <xf numFmtId="37" fontId="42" fillId="0" borderId="74" applyAlignment="1" pivotButton="0" quotePrefix="0" xfId="0">
      <alignment vertical="center"/>
    </xf>
    <xf numFmtId="14" fontId="39" fillId="0" borderId="74" pivotButton="0" quotePrefix="0" xfId="0"/>
    <xf numFmtId="14" fontId="39" fillId="0" borderId="74" applyAlignment="1" pivotButton="0" quotePrefix="0" xfId="0">
      <alignment horizontal="right" wrapText="1"/>
    </xf>
    <xf numFmtId="0" fontId="39" fillId="0" borderId="74" applyAlignment="1" pivotButton="0" quotePrefix="0" xfId="0">
      <alignment horizontal="right" wrapText="1"/>
    </xf>
    <xf numFmtId="0" fontId="39" fillId="0" borderId="74" applyAlignment="1" pivotButton="0" quotePrefix="0" xfId="0">
      <alignment wrapText="1"/>
    </xf>
    <xf numFmtId="0" fontId="22" fillId="0" borderId="56" applyAlignment="1" pivotButton="0" quotePrefix="0" xfId="0">
      <alignment horizontal="general" vertical="center" wrapText="1"/>
    </xf>
    <xf numFmtId="0" fontId="26" fillId="0" borderId="74" applyAlignment="1" pivotButton="0" quotePrefix="0" xfId="0">
      <alignment horizontal="general" vertical="top" wrapText="1"/>
    </xf>
    <xf numFmtId="0" fontId="59" fillId="0" borderId="0" pivotButton="0" quotePrefix="0" xfId="0"/>
    <xf numFmtId="0" fontId="50" fillId="0" borderId="96" applyAlignment="1" pivotButton="0" quotePrefix="0" xfId="0">
      <alignment horizontal="centerContinuous"/>
    </xf>
    <xf numFmtId="0" fontId="52" fillId="0" borderId="0" applyAlignment="1" pivotButton="0" quotePrefix="0" xfId="0">
      <alignment horizontal="centerContinuous"/>
    </xf>
    <xf numFmtId="0" fontId="67" fillId="0" borderId="0" applyAlignment="1" pivotButton="0" quotePrefix="0" xfId="0">
      <alignment horizontal="centerContinuous"/>
    </xf>
    <xf numFmtId="0" fontId="68" fillId="0" borderId="0" applyAlignment="1" pivotButton="0" quotePrefix="0" xfId="0">
      <alignment horizontal="centerContinuous"/>
    </xf>
    <xf numFmtId="0" fontId="69" fillId="0" borderId="113" pivotButton="0" quotePrefix="0" xfId="0"/>
    <xf numFmtId="206" fontId="66" fillId="0" borderId="113" applyAlignment="1" pivotButton="0" quotePrefix="0" xfId="0">
      <alignment horizontal="left"/>
    </xf>
    <xf numFmtId="0" fontId="0" fillId="0" borderId="113" pivotButton="0" quotePrefix="0" xfId="0"/>
    <xf numFmtId="0" fontId="64" fillId="11" borderId="113" applyAlignment="1" pivotButton="0" quotePrefix="0" xfId="0">
      <alignment horizontal="centerContinuous"/>
    </xf>
    <xf numFmtId="0" fontId="0" fillId="11" borderId="113" applyAlignment="1" pivotButton="0" quotePrefix="0" xfId="0">
      <alignment horizontal="centerContinuous"/>
    </xf>
    <xf numFmtId="0" fontId="69" fillId="0" borderId="96" applyAlignment="1" pivotButton="0" quotePrefix="0" xfId="0">
      <alignment horizontal="left"/>
    </xf>
    <xf numFmtId="0" fontId="69" fillId="0" borderId="96" applyAlignment="1" pivotButton="0" quotePrefix="0" xfId="0">
      <alignment horizontal="right"/>
    </xf>
    <xf numFmtId="0" fontId="69" fillId="0" borderId="96" applyAlignment="1" pivotButton="0" quotePrefix="0" xfId="0">
      <alignment horizontal="centerContinuous"/>
    </xf>
    <xf numFmtId="0" fontId="49" fillId="0" borderId="0" pivotButton="0" quotePrefix="0" xfId="0"/>
    <xf numFmtId="196" fontId="53" fillId="0" borderId="0" pivotButton="0" quotePrefix="0" xfId="0"/>
    <xf numFmtId="0" fontId="72" fillId="0" borderId="0" pivotButton="0" quotePrefix="0" xfId="0"/>
    <xf numFmtId="0" fontId="53" fillId="0" borderId="0" pivotButton="0" quotePrefix="0" xfId="0"/>
    <xf numFmtId="0" fontId="49" fillId="0" borderId="0" applyAlignment="1" pivotButton="0" quotePrefix="0" xfId="0">
      <alignment horizontal="left" indent="1"/>
    </xf>
    <xf numFmtId="0" fontId="55" fillId="0" borderId="0" pivotButton="0" quotePrefix="0" xfId="0"/>
    <xf numFmtId="0" fontId="70" fillId="0" borderId="0" pivotButton="0" quotePrefix="0" xfId="0"/>
    <xf numFmtId="0" fontId="58" fillId="12" borderId="0" applyAlignment="1" pivotButton="0" quotePrefix="0" xfId="0">
      <alignment horizontal="center"/>
    </xf>
    <xf numFmtId="0" fontId="58" fillId="13" borderId="0" applyAlignment="1" pivotButton="0" quotePrefix="0" xfId="0">
      <alignment horizontal="center"/>
    </xf>
    <xf numFmtId="0" fontId="50" fillId="11" borderId="0" applyAlignment="1" pivotButton="0" quotePrefix="0" xfId="0">
      <alignment horizontal="center"/>
    </xf>
    <xf numFmtId="0" fontId="69" fillId="0" borderId="96" pivotButton="0" quotePrefix="0" xfId="0"/>
    <xf numFmtId="0" fontId="0" fillId="0" borderId="96" pivotButton="0" quotePrefix="0" xfId="0"/>
    <xf numFmtId="0" fontId="66" fillId="0" borderId="0" pivotButton="0" quotePrefix="0" xfId="0"/>
    <xf numFmtId="0" fontId="71" fillId="0" borderId="0" pivotButton="0" quotePrefix="0" xfId="0"/>
    <xf numFmtId="0" fontId="50" fillId="0" borderId="0" pivotButton="0" quotePrefix="0" xfId="0"/>
    <xf numFmtId="0" fontId="60" fillId="0" borderId="0" pivotButton="0" quotePrefix="0" xfId="0"/>
    <xf numFmtId="199" fontId="59" fillId="0" borderId="74" applyAlignment="1" pivotButton="0" quotePrefix="0" xfId="0">
      <alignment horizontal="general" vertical="center"/>
    </xf>
    <xf numFmtId="0" fontId="60" fillId="0" borderId="74" applyAlignment="1" pivotButton="0" quotePrefix="0" xfId="0">
      <alignment horizontal="general" vertical="center"/>
    </xf>
    <xf numFmtId="0" fontId="49" fillId="0" borderId="74" applyAlignment="1" pivotButton="0" quotePrefix="0" xfId="0">
      <alignment horizontal="general" vertical="center"/>
    </xf>
    <xf numFmtId="0" fontId="50" fillId="0" borderId="96" applyAlignment="1" pivotButton="0" quotePrefix="0" xfId="0">
      <alignment horizontal="general" vertical="center"/>
    </xf>
    <xf numFmtId="0" fontId="49" fillId="0" borderId="96" applyAlignment="1" pivotButton="0" quotePrefix="0" xfId="0">
      <alignment horizontal="general" vertical="center"/>
    </xf>
    <xf numFmtId="0" fontId="49" fillId="0" borderId="96" applyAlignment="1" pivotButton="0" quotePrefix="0" xfId="0">
      <alignment horizontal="right" vertical="center"/>
    </xf>
    <xf numFmtId="0" fontId="52" fillId="0" borderId="95" applyAlignment="1" pivotButton="0" quotePrefix="0" xfId="0">
      <alignment horizontal="general" vertical="center"/>
    </xf>
    <xf numFmtId="0" fontId="49" fillId="0" borderId="95" applyAlignment="1" pivotButton="0" quotePrefix="0" xfId="0">
      <alignment horizontal="general" vertical="center"/>
    </xf>
    <xf numFmtId="0" fontId="51" fillId="0" borderId="95" applyAlignment="1" pivotButton="0" quotePrefix="0" xfId="0">
      <alignment horizontal="right" vertical="center"/>
    </xf>
    <xf numFmtId="0" fontId="58" fillId="12" borderId="97" applyAlignment="1" pivotButton="0" quotePrefix="0" xfId="0">
      <alignment horizontal="left"/>
    </xf>
    <xf numFmtId="0" fontId="57" fillId="12" borderId="97" applyAlignment="1" pivotButton="0" quotePrefix="0" xfId="0">
      <alignment horizontal="centerContinuous"/>
    </xf>
    <xf numFmtId="0" fontId="57" fillId="12" borderId="97" applyAlignment="1" pivotButton="0" quotePrefix="0" xfId="0">
      <alignment horizontal="general" vertical="center"/>
    </xf>
    <xf numFmtId="0" fontId="56" fillId="0" borderId="95" applyAlignment="1" pivotButton="0" quotePrefix="0" xfId="0">
      <alignment horizontal="general" vertical="center"/>
    </xf>
    <xf numFmtId="0" fontId="56" fillId="0" borderId="95" applyAlignment="1" pivotButton="0" quotePrefix="0" xfId="0">
      <alignment horizontal="center" vertical="center"/>
    </xf>
    <xf numFmtId="164" fontId="56" fillId="0" borderId="95" applyAlignment="1" pivotButton="0" quotePrefix="0" xfId="0">
      <alignment horizontal="center" vertical="center"/>
    </xf>
    <xf numFmtId="0" fontId="50" fillId="0" borderId="96" applyAlignment="1" pivotButton="0" quotePrefix="0" xfId="0">
      <alignment horizontal="center"/>
    </xf>
    <xf numFmtId="195" fontId="53" fillId="0" borderId="74" applyAlignment="1" pivotButton="0" quotePrefix="0" xfId="0">
      <alignment horizontal="general" vertical="center"/>
    </xf>
    <xf numFmtId="195" fontId="49" fillId="0" borderId="74" applyAlignment="1" pivotButton="0" quotePrefix="0" xfId="0">
      <alignment horizontal="general" vertical="center"/>
    </xf>
    <xf numFmtId="196" fontId="53" fillId="0" borderId="74" applyAlignment="1" pivotButton="0" quotePrefix="0" xfId="0">
      <alignment horizontal="general" vertical="center"/>
    </xf>
    <xf numFmtId="196" fontId="49" fillId="0" borderId="74" applyAlignment="1" pivotButton="0" quotePrefix="0" xfId="0">
      <alignment horizontal="general" vertical="center"/>
    </xf>
    <xf numFmtId="0" fontId="50" fillId="0" borderId="83" applyAlignment="1" pivotButton="0" quotePrefix="0" xfId="0">
      <alignment horizontal="general" vertical="center"/>
    </xf>
    <xf numFmtId="195" fontId="50" fillId="0" borderId="84" applyAlignment="1" pivotButton="0" quotePrefix="0" xfId="0">
      <alignment horizontal="general" vertical="center"/>
    </xf>
    <xf numFmtId="195" fontId="50" fillId="0" borderId="85" applyAlignment="1" pivotButton="0" quotePrefix="0" xfId="0">
      <alignment horizontal="general" vertical="center"/>
    </xf>
    <xf numFmtId="195" fontId="50" fillId="0" borderId="83" applyAlignment="1" pivotButton="0" quotePrefix="0" xfId="0">
      <alignment horizontal="general" vertical="center"/>
    </xf>
    <xf numFmtId="0" fontId="54" fillId="0" borderId="74" applyAlignment="1" pivotButton="0" quotePrefix="0" xfId="0">
      <alignment horizontal="general" vertical="center" indent="1"/>
    </xf>
    <xf numFmtId="196" fontId="53" fillId="11" borderId="74" applyAlignment="1" pivotButton="0" quotePrefix="0" xfId="0">
      <alignment horizontal="general" vertical="center"/>
    </xf>
    <xf numFmtId="0" fontId="54" fillId="0" borderId="74" applyAlignment="1" pivotButton="0" quotePrefix="0" xfId="0">
      <alignment horizontal="general" vertical="center"/>
    </xf>
    <xf numFmtId="196" fontId="54" fillId="0" borderId="74" applyAlignment="1" pivotButton="0" quotePrefix="0" xfId="0">
      <alignment horizontal="general" vertical="center"/>
    </xf>
    <xf numFmtId="0" fontId="50" fillId="0" borderId="74" applyAlignment="1" pivotButton="0" quotePrefix="0" xfId="0">
      <alignment horizontal="general" vertical="center"/>
    </xf>
    <xf numFmtId="196" fontId="49" fillId="0" borderId="86" applyAlignment="1" pivotButton="0" quotePrefix="0" xfId="0">
      <alignment horizontal="general" vertical="center"/>
    </xf>
    <xf numFmtId="197" fontId="53" fillId="0" borderId="74" applyAlignment="1" pivotButton="0" quotePrefix="0" xfId="0">
      <alignment horizontal="general" vertical="center"/>
    </xf>
    <xf numFmtId="197" fontId="49" fillId="0" borderId="74" applyAlignment="1" pivotButton="0" quotePrefix="0" xfId="0">
      <alignment horizontal="general" vertical="center"/>
    </xf>
    <xf numFmtId="196" fontId="55" fillId="0" borderId="74" applyAlignment="1" pivotButton="0" quotePrefix="0" xfId="0">
      <alignment horizontal="general" vertical="center"/>
    </xf>
    <xf numFmtId="196" fontId="50" fillId="0" borderId="86" applyAlignment="1" pivotButton="0" quotePrefix="0" xfId="0">
      <alignment horizontal="general" vertical="center"/>
    </xf>
    <xf numFmtId="0" fontId="50" fillId="0" borderId="87" applyAlignment="1" pivotButton="0" quotePrefix="0" xfId="0">
      <alignment horizontal="general" vertical="center"/>
    </xf>
    <xf numFmtId="196" fontId="49" fillId="0" borderId="88" applyAlignment="1" pivotButton="0" quotePrefix="0" xfId="0">
      <alignment horizontal="general" vertical="center"/>
    </xf>
    <xf numFmtId="0" fontId="49" fillId="0" borderId="88" applyAlignment="1" pivotButton="0" quotePrefix="0" xfId="0">
      <alignment horizontal="general" vertical="center"/>
    </xf>
    <xf numFmtId="196" fontId="49" fillId="0" borderId="89" applyAlignment="1" pivotButton="0" quotePrefix="0" xfId="0">
      <alignment horizontal="general" vertical="center"/>
    </xf>
    <xf numFmtId="0" fontId="52" fillId="0" borderId="90" applyAlignment="1" pivotButton="0" quotePrefix="0" xfId="0">
      <alignment horizontal="general" vertical="center" indent="1"/>
    </xf>
    <xf numFmtId="198" fontId="52" fillId="0" borderId="74" applyAlignment="1" pivotButton="0" quotePrefix="0" xfId="0">
      <alignment horizontal="general" vertical="center"/>
    </xf>
    <xf numFmtId="198" fontId="52" fillId="0" borderId="91" applyAlignment="1" pivotButton="0" quotePrefix="0" xfId="0">
      <alignment horizontal="general" vertical="center"/>
    </xf>
    <xf numFmtId="0" fontId="52" fillId="0" borderId="92" applyAlignment="1" pivotButton="0" quotePrefix="0" xfId="0">
      <alignment horizontal="general" vertical="center" indent="1"/>
    </xf>
    <xf numFmtId="198" fontId="52" fillId="0" borderId="93" applyAlignment="1" pivotButton="0" quotePrefix="0" xfId="0">
      <alignment horizontal="general" vertical="center"/>
    </xf>
    <xf numFmtId="0" fontId="49" fillId="0" borderId="93" applyAlignment="1" pivotButton="0" quotePrefix="0" xfId="0">
      <alignment horizontal="general" vertical="center"/>
    </xf>
    <xf numFmtId="198" fontId="52" fillId="0" borderId="94" applyAlignment="1" pivotButton="0" quotePrefix="0" xfId="0">
      <alignment horizontal="general" vertical="center"/>
    </xf>
    <xf numFmtId="0" fontId="57" fillId="12" borderId="97" applyAlignment="1" pivotButton="0" quotePrefix="0" xfId="0">
      <alignment horizontal="center" vertical="center"/>
    </xf>
    <xf numFmtId="0" fontId="57" fillId="12" borderId="97" pivotButton="0" quotePrefix="0" xfId="0"/>
    <xf numFmtId="0" fontId="49" fillId="0" borderId="99" applyAlignment="1" pivotButton="0" quotePrefix="0" xfId="0">
      <alignment horizontal="general" vertical="center"/>
    </xf>
    <xf numFmtId="0" fontId="49" fillId="0" borderId="100" applyAlignment="1" pivotButton="0" quotePrefix="0" xfId="0">
      <alignment horizontal="general" vertical="center"/>
    </xf>
    <xf numFmtId="0" fontId="49" fillId="0" borderId="74" applyAlignment="1" pivotButton="0" quotePrefix="0" xfId="0">
      <alignment horizontal="left" vertical="center" indent="1"/>
    </xf>
    <xf numFmtId="195" fontId="55" fillId="0" borderId="74" applyAlignment="1" pivotButton="0" quotePrefix="0" xfId="0">
      <alignment horizontal="general" vertical="center"/>
    </xf>
    <xf numFmtId="195" fontId="55" fillId="0" borderId="99" applyAlignment="1" pivotButton="0" quotePrefix="0" xfId="0">
      <alignment horizontal="general" vertical="center"/>
    </xf>
    <xf numFmtId="195" fontId="55" fillId="0" borderId="100" applyAlignment="1" pivotButton="0" quotePrefix="0" xfId="0">
      <alignment horizontal="general" vertical="center"/>
    </xf>
    <xf numFmtId="196" fontId="55" fillId="0" borderId="99" applyAlignment="1" pivotButton="0" quotePrefix="0" xfId="0">
      <alignment horizontal="general" vertical="center"/>
    </xf>
    <xf numFmtId="196" fontId="55" fillId="0" borderId="100" applyAlignment="1" pivotButton="0" quotePrefix="0" xfId="0">
      <alignment horizontal="general" vertical="center"/>
    </xf>
    <xf numFmtId="0" fontId="50" fillId="0" borderId="83" applyAlignment="1" pivotButton="0" quotePrefix="0" xfId="0">
      <alignment horizontal="left" vertical="center"/>
    </xf>
    <xf numFmtId="0" fontId="61" fillId="0" borderId="74" applyAlignment="1" pivotButton="0" quotePrefix="0" xfId="0">
      <alignment horizontal="left" vertical="center" indent="1"/>
    </xf>
    <xf numFmtId="195" fontId="61" fillId="11" borderId="74" applyAlignment="1" pivotButton="0" quotePrefix="0" xfId="0">
      <alignment horizontal="general" vertical="center"/>
    </xf>
    <xf numFmtId="195" fontId="61" fillId="11" borderId="99" applyAlignment="1" pivotButton="0" quotePrefix="0" xfId="0">
      <alignment horizontal="general" vertical="center"/>
    </xf>
    <xf numFmtId="195" fontId="61" fillId="11" borderId="100" applyAlignment="1" pivotButton="0" quotePrefix="0" xfId="0">
      <alignment horizontal="general" vertical="center"/>
    </xf>
    <xf numFmtId="0" fontId="54" fillId="0" borderId="74" applyAlignment="1" pivotButton="0" quotePrefix="0" xfId="0">
      <alignment horizontal="left" vertical="center" indent="1"/>
    </xf>
    <xf numFmtId="195" fontId="54" fillId="0" borderId="74" applyAlignment="1" pivotButton="0" quotePrefix="0" xfId="0">
      <alignment horizontal="general" vertical="center"/>
    </xf>
    <xf numFmtId="195" fontId="54" fillId="0" borderId="99" applyAlignment="1" pivotButton="0" quotePrefix="0" xfId="0">
      <alignment horizontal="general" vertical="center"/>
    </xf>
    <xf numFmtId="195" fontId="54" fillId="0" borderId="100" applyAlignment="1" pivotButton="0" quotePrefix="0" xfId="0">
      <alignment horizontal="general" vertical="center"/>
    </xf>
    <xf numFmtId="0" fontId="50" fillId="0" borderId="87" applyAlignment="1" pivotButton="0" quotePrefix="0" xfId="0">
      <alignment horizontal="left" vertical="center"/>
    </xf>
    <xf numFmtId="0" fontId="49" fillId="0" borderId="101" applyAlignment="1" pivotButton="0" quotePrefix="0" xfId="0">
      <alignment horizontal="general" vertical="center"/>
    </xf>
    <xf numFmtId="0" fontId="49" fillId="0" borderId="102" applyAlignment="1" pivotButton="0" quotePrefix="0" xfId="0">
      <alignment horizontal="general" vertical="center"/>
    </xf>
    <xf numFmtId="0" fontId="52" fillId="0" borderId="90" applyAlignment="1" pivotButton="0" quotePrefix="0" xfId="0">
      <alignment horizontal="left" vertical="center" indent="1"/>
    </xf>
    <xf numFmtId="198" fontId="52" fillId="0" borderId="99" applyAlignment="1" pivotButton="0" quotePrefix="0" xfId="0">
      <alignment horizontal="general" vertical="center"/>
    </xf>
    <xf numFmtId="198" fontId="52" fillId="0" borderId="100" applyAlignment="1" pivotButton="0" quotePrefix="0" xfId="0">
      <alignment horizontal="general" vertical="center"/>
    </xf>
    <xf numFmtId="0" fontId="52" fillId="0" borderId="92" applyAlignment="1" pivotButton="0" quotePrefix="0" xfId="0">
      <alignment horizontal="left" vertical="center" indent="1"/>
    </xf>
    <xf numFmtId="198" fontId="52" fillId="0" borderId="103" applyAlignment="1" pivotButton="0" quotePrefix="0" xfId="0">
      <alignment horizontal="general" vertical="center"/>
    </xf>
    <xf numFmtId="198" fontId="52" fillId="0" borderId="104" applyAlignment="1" pivotButton="0" quotePrefix="0" xfId="0">
      <alignment horizontal="general" vertical="center"/>
    </xf>
    <xf numFmtId="199" fontId="59" fillId="0" borderId="0" pivotButton="0" quotePrefix="0" xfId="0"/>
    <xf numFmtId="169" fontId="56" fillId="0" borderId="95" applyAlignment="1" pivotButton="0" quotePrefix="0" xfId="0">
      <alignment horizontal="center" vertical="center"/>
    </xf>
    <xf numFmtId="0" fontId="50" fillId="0" borderId="74" applyAlignment="1" pivotButton="0" quotePrefix="0" xfId="0">
      <alignment horizontal="general" vertical="bottom"/>
    </xf>
    <xf numFmtId="0" fontId="49" fillId="0" borderId="74" applyAlignment="1" pivotButton="0" quotePrefix="0" xfId="0">
      <alignment horizontal="general" vertical="bottom"/>
    </xf>
    <xf numFmtId="195" fontId="55" fillId="0" borderId="74" applyAlignment="1" pivotButton="0" quotePrefix="0" xfId="0">
      <alignment horizontal="general" vertical="bottom"/>
    </xf>
    <xf numFmtId="195" fontId="49" fillId="0" borderId="74" applyAlignment="1" pivotButton="0" quotePrefix="0" xfId="0">
      <alignment horizontal="general" vertical="bottom"/>
    </xf>
    <xf numFmtId="195" fontId="53" fillId="0" borderId="74" applyAlignment="1" pivotButton="0" quotePrefix="0" xfId="0">
      <alignment horizontal="general" vertical="bottom"/>
    </xf>
    <xf numFmtId="196" fontId="53" fillId="0" borderId="74" applyAlignment="1" pivotButton="0" quotePrefix="0" xfId="0">
      <alignment horizontal="general" vertical="bottom"/>
    </xf>
    <xf numFmtId="196" fontId="49" fillId="0" borderId="74" applyAlignment="1" pivotButton="0" quotePrefix="0" xfId="0">
      <alignment horizontal="general" vertical="bottom"/>
    </xf>
    <xf numFmtId="196" fontId="55" fillId="0" borderId="74" applyAlignment="1" pivotButton="0" quotePrefix="0" xfId="0">
      <alignment horizontal="general" vertical="bottom"/>
    </xf>
    <xf numFmtId="0" fontId="50" fillId="0" borderId="83" applyAlignment="1" pivotButton="0" quotePrefix="0" xfId="0">
      <alignment horizontal="general" vertical="bottom"/>
    </xf>
    <xf numFmtId="0" fontId="49" fillId="0" borderId="84" applyAlignment="1" pivotButton="0" quotePrefix="0" xfId="0">
      <alignment horizontal="general" vertical="bottom"/>
    </xf>
    <xf numFmtId="195" fontId="50" fillId="0" borderId="84" applyAlignment="1" pivotButton="0" quotePrefix="0" xfId="0">
      <alignment horizontal="right" vertical="bottom"/>
    </xf>
    <xf numFmtId="195" fontId="50" fillId="0" borderId="85" applyAlignment="1" pivotButton="0" quotePrefix="0" xfId="0">
      <alignment horizontal="right" vertical="bottom"/>
    </xf>
    <xf numFmtId="195" fontId="50" fillId="0" borderId="83" applyAlignment="1" pivotButton="0" quotePrefix="0" xfId="0">
      <alignment horizontal="right" vertical="bottom"/>
    </xf>
    <xf numFmtId="195" fontId="50" fillId="0" borderId="74" applyAlignment="1" pivotButton="0" quotePrefix="0" xfId="0">
      <alignment horizontal="right" vertical="bottom"/>
    </xf>
    <xf numFmtId="0" fontId="54" fillId="0" borderId="74" applyAlignment="1" pivotButton="0" quotePrefix="0" xfId="0">
      <alignment horizontal="general" vertical="bottom" indent="1"/>
    </xf>
    <xf numFmtId="195" fontId="53" fillId="11" borderId="74" applyAlignment="1" pivotButton="0" quotePrefix="0" xfId="0">
      <alignment horizontal="general" vertical="bottom"/>
    </xf>
    <xf numFmtId="0" fontId="54" fillId="0" borderId="74" applyAlignment="1" pivotButton="0" quotePrefix="0" xfId="0">
      <alignment horizontal="general" vertical="bottom"/>
    </xf>
    <xf numFmtId="196" fontId="54" fillId="0" borderId="74" applyAlignment="1" pivotButton="0" quotePrefix="0" xfId="0">
      <alignment horizontal="general" vertical="bottom"/>
    </xf>
    <xf numFmtId="0" fontId="49" fillId="11" borderId="74" applyAlignment="1" pivotButton="0" quotePrefix="0" xfId="0">
      <alignment horizontal="general" vertical="bottom" indent="1"/>
    </xf>
    <xf numFmtId="196" fontId="49" fillId="11" borderId="74" applyAlignment="1" pivotButton="0" quotePrefix="0" xfId="0">
      <alignment horizontal="general" vertical="bottom"/>
    </xf>
    <xf numFmtId="200" fontId="54" fillId="0" borderId="74" applyAlignment="1" pivotButton="0" quotePrefix="0" xfId="0">
      <alignment horizontal="general" vertical="bottom"/>
    </xf>
    <xf numFmtId="200" fontId="49" fillId="0" borderId="74" applyAlignment="1" pivotButton="0" quotePrefix="0" xfId="0">
      <alignment horizontal="general" vertical="bottom"/>
    </xf>
    <xf numFmtId="0" fontId="49" fillId="0" borderId="74" applyAlignment="1" pivotButton="0" quotePrefix="0" xfId="0">
      <alignment horizontal="general" vertical="bottom" indent="1"/>
    </xf>
    <xf numFmtId="0" fontId="51" fillId="0" borderId="74" applyAlignment="1" pivotButton="0" quotePrefix="0" xfId="0">
      <alignment horizontal="right" vertical="center"/>
    </xf>
    <xf numFmtId="0" fontId="51" fillId="0" borderId="82" applyAlignment="1" pivotButton="0" quotePrefix="0" xfId="0">
      <alignment horizontal="right" vertical="center"/>
    </xf>
    <xf numFmtId="0" fontId="49" fillId="0" borderId="106" applyAlignment="1" pivotButton="0" quotePrefix="0" xfId="0">
      <alignment horizontal="general" vertical="center"/>
    </xf>
    <xf numFmtId="0" fontId="49" fillId="0" borderId="106" applyAlignment="1" pivotButton="0" quotePrefix="0" xfId="0">
      <alignment horizontal="general" vertical="bottom"/>
    </xf>
    <xf numFmtId="195" fontId="50" fillId="0" borderId="74" applyAlignment="1" pivotButton="0" quotePrefix="0" xfId="0">
      <alignment horizontal="general" vertical="bottom"/>
    </xf>
    <xf numFmtId="195" fontId="50" fillId="0" borderId="106" applyAlignment="1" pivotButton="0" quotePrefix="0" xfId="0">
      <alignment horizontal="general" vertical="bottom"/>
    </xf>
    <xf numFmtId="196" fontId="49" fillId="0" borderId="106" applyAlignment="1" pivotButton="0" quotePrefix="0" xfId="0">
      <alignment horizontal="general" vertical="bottom"/>
    </xf>
    <xf numFmtId="0" fontId="49" fillId="0" borderId="74" applyAlignment="1" pivotButton="0" quotePrefix="0" xfId="0">
      <alignment horizontal="general" vertical="bottom" indent="2"/>
    </xf>
    <xf numFmtId="195" fontId="50" fillId="0" borderId="98" applyAlignment="1" pivotButton="0" quotePrefix="0" xfId="0">
      <alignment horizontal="right" vertical="bottom"/>
    </xf>
    <xf numFmtId="195" fontId="62" fillId="11" borderId="74" applyAlignment="1" pivotButton="0" quotePrefix="0" xfId="0">
      <alignment horizontal="general" vertical="bottom"/>
    </xf>
    <xf numFmtId="195" fontId="62" fillId="11" borderId="106" applyAlignment="1" pivotButton="0" quotePrefix="0" xfId="0">
      <alignment horizontal="general" vertical="bottom"/>
    </xf>
    <xf numFmtId="195" fontId="54" fillId="0" borderId="74" applyAlignment="1" pivotButton="0" quotePrefix="0" xfId="0">
      <alignment horizontal="general" vertical="bottom"/>
    </xf>
    <xf numFmtId="195" fontId="54" fillId="0" borderId="106" applyAlignment="1" pivotButton="0" quotePrefix="0" xfId="0">
      <alignment horizontal="general" vertical="bottom"/>
    </xf>
    <xf numFmtId="195" fontId="49" fillId="0" borderId="106" applyAlignment="1" pivotButton="0" quotePrefix="0" xfId="0">
      <alignment horizontal="general" vertical="bottom"/>
    </xf>
    <xf numFmtId="0" fontId="52" fillId="0" borderId="74" applyAlignment="1" pivotButton="0" quotePrefix="0" xfId="0">
      <alignment horizontal="general" vertical="bottom"/>
    </xf>
    <xf numFmtId="0" fontId="56" fillId="0" borderId="95" pivotButton="0" quotePrefix="0" xfId="0"/>
    <xf numFmtId="0" fontId="56" fillId="0" borderId="95" applyAlignment="1" pivotButton="0" quotePrefix="0" xfId="0">
      <alignment horizontal="center" vertical="bottom"/>
    </xf>
    <xf numFmtId="0" fontId="56" fillId="0" borderId="95" applyAlignment="1" pivotButton="0" quotePrefix="0" xfId="0">
      <alignment horizontal="general" vertical="bottom"/>
    </xf>
    <xf numFmtId="164" fontId="56" fillId="0" borderId="95" applyAlignment="1" pivotButton="0" quotePrefix="0" xfId="0">
      <alignment horizontal="center" vertical="bottom"/>
    </xf>
    <xf numFmtId="198" fontId="49" fillId="0" borderId="74" applyAlignment="1" pivotButton="0" quotePrefix="0" xfId="0">
      <alignment horizontal="general" vertical="bottom"/>
    </xf>
    <xf numFmtId="195" fontId="50" fillId="0" borderId="84" applyAlignment="1" pivotButton="0" quotePrefix="0" xfId="0">
      <alignment horizontal="general" vertical="bottom"/>
    </xf>
    <xf numFmtId="195" fontId="50" fillId="0" borderId="85" applyAlignment="1" pivotButton="0" quotePrefix="0" xfId="0">
      <alignment horizontal="general" vertical="bottom"/>
    </xf>
    <xf numFmtId="195" fontId="50" fillId="0" borderId="83" applyAlignment="1" pivotButton="0" quotePrefix="0" xfId="0">
      <alignment horizontal="general" vertical="bottom"/>
    </xf>
    <xf numFmtId="198" fontId="50" fillId="0" borderId="74" applyAlignment="1" pivotButton="0" quotePrefix="0" xfId="0">
      <alignment horizontal="general" vertical="bottom"/>
    </xf>
    <xf numFmtId="196" fontId="53" fillId="11" borderId="74" applyAlignment="1" pivotButton="0" quotePrefix="0" xfId="0">
      <alignment horizontal="general" vertical="bottom"/>
    </xf>
    <xf numFmtId="196" fontId="52" fillId="0" borderId="74" applyAlignment="1" pivotButton="0" quotePrefix="0" xfId="0">
      <alignment horizontal="general" vertical="bottom"/>
    </xf>
    <xf numFmtId="200" fontId="52" fillId="0" borderId="74" applyAlignment="1" pivotButton="0" quotePrefix="0" xfId="0">
      <alignment horizontal="general" vertical="bottom"/>
    </xf>
    <xf numFmtId="0" fontId="49" fillId="0" borderId="99" applyAlignment="1" pivotButton="0" quotePrefix="0" xfId="0">
      <alignment horizontal="general" vertical="bottom"/>
    </xf>
    <xf numFmtId="0" fontId="49" fillId="0" borderId="100" applyAlignment="1" pivotButton="0" quotePrefix="0" xfId="0">
      <alignment horizontal="general" vertical="bottom"/>
    </xf>
    <xf numFmtId="195" fontId="49" fillId="0" borderId="99" applyAlignment="1" pivotButton="0" quotePrefix="0" xfId="0">
      <alignment horizontal="general" vertical="bottom"/>
    </xf>
    <xf numFmtId="195" fontId="49" fillId="0" borderId="100" applyAlignment="1" pivotButton="0" quotePrefix="0" xfId="0">
      <alignment horizontal="general" vertical="bottom"/>
    </xf>
    <xf numFmtId="196" fontId="49" fillId="0" borderId="99" applyAlignment="1" pivotButton="0" quotePrefix="0" xfId="0">
      <alignment horizontal="general" vertical="bottom"/>
    </xf>
    <xf numFmtId="196" fontId="49" fillId="0" borderId="100" applyAlignment="1" pivotButton="0" quotePrefix="0" xfId="0">
      <alignment horizontal="general" vertical="bottom"/>
    </xf>
    <xf numFmtId="196" fontId="54" fillId="0" borderId="99" applyAlignment="1" pivotButton="0" quotePrefix="0" xfId="0">
      <alignment horizontal="general" vertical="bottom"/>
    </xf>
    <xf numFmtId="196" fontId="54" fillId="0" borderId="100" applyAlignment="1" pivotButton="0" quotePrefix="0" xfId="0">
      <alignment horizontal="general" vertical="bottom"/>
    </xf>
    <xf numFmtId="0" fontId="63" fillId="0" borderId="87" applyAlignment="1" pivotButton="0" quotePrefix="0" xfId="0">
      <alignment horizontal="general" vertical="bottom"/>
    </xf>
    <xf numFmtId="0" fontId="49" fillId="0" borderId="88" applyAlignment="1" pivotButton="0" quotePrefix="0" xfId="0">
      <alignment horizontal="general" vertical="bottom"/>
    </xf>
    <xf numFmtId="0" fontId="49" fillId="0" borderId="101" applyAlignment="1" pivotButton="0" quotePrefix="0" xfId="0">
      <alignment horizontal="general" vertical="bottom"/>
    </xf>
    <xf numFmtId="0" fontId="49" fillId="0" borderId="102" applyAlignment="1" pivotButton="0" quotePrefix="0" xfId="0">
      <alignment horizontal="general" vertical="bottom"/>
    </xf>
    <xf numFmtId="0" fontId="49" fillId="0" borderId="90" applyAlignment="1" pivotButton="0" quotePrefix="0" xfId="0">
      <alignment horizontal="general" vertical="bottom" indent="1"/>
    </xf>
    <xf numFmtId="195" fontId="55" fillId="0" borderId="99" applyAlignment="1" pivotButton="0" quotePrefix="0" xfId="0">
      <alignment horizontal="general" vertical="bottom"/>
    </xf>
    <xf numFmtId="195" fontId="55" fillId="0" borderId="100" applyAlignment="1" pivotButton="0" quotePrefix="0" xfId="0">
      <alignment horizontal="general" vertical="bottom"/>
    </xf>
    <xf numFmtId="201" fontId="49" fillId="0" borderId="74" applyAlignment="1" pivotButton="0" quotePrefix="0" xfId="0">
      <alignment horizontal="general" vertical="bottom"/>
    </xf>
    <xf numFmtId="201" fontId="49" fillId="0" borderId="99" applyAlignment="1" pivotButton="0" quotePrefix="0" xfId="0">
      <alignment horizontal="general" vertical="bottom"/>
    </xf>
    <xf numFmtId="201" fontId="49" fillId="0" borderId="100" applyAlignment="1" pivotButton="0" quotePrefix="0" xfId="0">
      <alignment horizontal="general" vertical="bottom"/>
    </xf>
    <xf numFmtId="0" fontId="49" fillId="0" borderId="92" applyAlignment="1" pivotButton="0" quotePrefix="0" xfId="0">
      <alignment horizontal="general" vertical="bottom" indent="1"/>
    </xf>
    <xf numFmtId="201" fontId="49" fillId="0" borderId="93" applyAlignment="1" pivotButton="0" quotePrefix="0" xfId="0">
      <alignment horizontal="general" vertical="bottom"/>
    </xf>
    <xf numFmtId="201" fontId="49" fillId="0" borderId="103" applyAlignment="1" pivotButton="0" quotePrefix="0" xfId="0">
      <alignment horizontal="general" vertical="bottom"/>
    </xf>
    <xf numFmtId="201" fontId="49" fillId="0" borderId="104" applyAlignment="1" pivotButton="0" quotePrefix="0" xfId="0">
      <alignment horizontal="general" vertical="bottom"/>
    </xf>
    <xf numFmtId="0" fontId="50" fillId="0" borderId="96" pivotButton="0" quotePrefix="0" xfId="0"/>
    <xf numFmtId="0" fontId="49" fillId="0" borderId="96" pivotButton="0" quotePrefix="0" xfId="0"/>
    <xf numFmtId="0" fontId="49" fillId="0" borderId="96" applyAlignment="1" pivotButton="0" quotePrefix="0" xfId="0">
      <alignment horizontal="right"/>
    </xf>
    <xf numFmtId="0" fontId="52" fillId="0" borderId="95" pivotButton="0" quotePrefix="0" xfId="0"/>
    <xf numFmtId="0" fontId="49" fillId="0" borderId="110" pivotButton="0" quotePrefix="0" xfId="0"/>
    <xf numFmtId="0" fontId="52" fillId="0" borderId="82" pivotButton="0" quotePrefix="0" xfId="0"/>
    <xf numFmtId="0" fontId="64" fillId="11" borderId="74" applyAlignment="1" pivotButton="0" quotePrefix="0" xfId="0">
      <alignment horizontal="center"/>
    </xf>
    <xf numFmtId="0" fontId="51" fillId="0" borderId="110" applyAlignment="1" pivotButton="0" quotePrefix="0" xfId="0">
      <alignment horizontal="right"/>
    </xf>
    <xf numFmtId="0" fontId="49" fillId="0" borderId="95" pivotButton="0" quotePrefix="0" xfId="0"/>
    <xf numFmtId="0" fontId="58" fillId="12" borderId="97" pivotButton="0" quotePrefix="0" xfId="0"/>
    <xf numFmtId="0" fontId="49" fillId="0" borderId="74" applyAlignment="1" pivotButton="0" quotePrefix="0" xfId="0">
      <alignment horizontal="left"/>
    </xf>
    <xf numFmtId="195" fontId="55" fillId="0" borderId="74" pivotButton="0" quotePrefix="0" xfId="0"/>
    <xf numFmtId="195" fontId="55" fillId="0" borderId="99" pivotButton="0" quotePrefix="0" xfId="0"/>
    <xf numFmtId="195" fontId="55" fillId="0" borderId="100" pivotButton="0" quotePrefix="0" xfId="0"/>
    <xf numFmtId="195" fontId="49" fillId="0" borderId="74" pivotButton="0" quotePrefix="0" xfId="0"/>
    <xf numFmtId="196" fontId="55" fillId="0" borderId="74" pivotButton="0" quotePrefix="0" xfId="0"/>
    <xf numFmtId="196" fontId="55" fillId="0" borderId="99" pivotButton="0" quotePrefix="0" xfId="0"/>
    <xf numFmtId="196" fontId="55" fillId="0" borderId="100" pivotButton="0" quotePrefix="0" xfId="0"/>
    <xf numFmtId="196" fontId="49" fillId="0" borderId="74" pivotButton="0" quotePrefix="0" xfId="0"/>
    <xf numFmtId="0" fontId="50" fillId="0" borderId="83" applyAlignment="1" pivotButton="0" quotePrefix="0" xfId="0">
      <alignment horizontal="left"/>
    </xf>
    <xf numFmtId="0" fontId="50" fillId="0" borderId="84" pivotButton="0" quotePrefix="0" xfId="0"/>
    <xf numFmtId="195" fontId="50" fillId="0" borderId="84" pivotButton="0" quotePrefix="0" xfId="0"/>
    <xf numFmtId="195" fontId="50" fillId="0" borderId="85" pivotButton="0" quotePrefix="0" xfId="0"/>
    <xf numFmtId="195" fontId="50" fillId="0" borderId="83" pivotButton="0" quotePrefix="0" xfId="0"/>
    <xf numFmtId="0" fontId="54" fillId="0" borderId="74" pivotButton="0" quotePrefix="0" xfId="0"/>
    <xf numFmtId="202" fontId="54" fillId="0" borderId="74" pivotButton="0" quotePrefix="0" xfId="0"/>
    <xf numFmtId="0" fontId="50" fillId="0" borderId="74" applyAlignment="1" pivotButton="0" quotePrefix="0" xfId="0">
      <alignment horizontal="left"/>
    </xf>
    <xf numFmtId="0" fontId="52" fillId="0" borderId="108" applyAlignment="1" pivotButton="0" quotePrefix="0" xfId="0">
      <alignment horizontal="left"/>
    </xf>
    <xf numFmtId="0" fontId="52" fillId="0" borderId="86" pivotButton="0" quotePrefix="0" xfId="0"/>
    <xf numFmtId="203" fontId="52" fillId="0" borderId="86" pivotButton="0" quotePrefix="0" xfId="0"/>
    <xf numFmtId="203" fontId="52" fillId="0" borderId="109" pivotButton="0" quotePrefix="0" xfId="0"/>
    <xf numFmtId="0" fontId="52" fillId="0" borderId="103" applyAlignment="1" pivotButton="0" quotePrefix="0" xfId="0">
      <alignment horizontal="left"/>
    </xf>
    <xf numFmtId="203" fontId="52" fillId="0" borderId="82" pivotButton="0" quotePrefix="0" xfId="0"/>
    <xf numFmtId="203" fontId="52" fillId="0" borderId="104" pivotButton="0" quotePrefix="0" xfId="0"/>
    <xf numFmtId="0" fontId="49" fillId="0" borderId="74" pivotButton="0" quotePrefix="0" xfId="0"/>
    <xf numFmtId="196" fontId="55" fillId="11" borderId="74" pivotButton="0" quotePrefix="0" xfId="0"/>
    <xf numFmtId="196" fontId="53" fillId="11" borderId="74" pivotButton="0" quotePrefix="0" xfId="0"/>
    <xf numFmtId="0" fontId="52" fillId="0" borderId="74" pivotButton="0" quotePrefix="0" xfId="0"/>
    <xf numFmtId="0" fontId="50" fillId="0" borderId="74" pivotButton="0" quotePrefix="0" xfId="0"/>
    <xf numFmtId="0" fontId="51" fillId="0" borderId="95" applyAlignment="1" pivotButton="0" quotePrefix="0" xfId="0">
      <alignment horizontal="right"/>
    </xf>
    <xf numFmtId="0" fontId="52" fillId="0" borderId="74" applyAlignment="1" pivotButton="0" quotePrefix="0" xfId="0">
      <alignment horizontal="left"/>
    </xf>
    <xf numFmtId="196" fontId="52" fillId="0" borderId="74" pivotButton="0" quotePrefix="0" xfId="0"/>
    <xf numFmtId="0" fontId="50" fillId="0" borderId="96" applyAlignment="1" pivotButton="0" quotePrefix="0" xfId="0">
      <alignment vertical="center"/>
    </xf>
    <xf numFmtId="0" fontId="49" fillId="0" borderId="96" applyAlignment="1" pivotButton="0" quotePrefix="0" xfId="0">
      <alignment vertical="center"/>
    </xf>
    <xf numFmtId="14" fontId="49" fillId="0" borderId="96" applyAlignment="1" pivotButton="0" quotePrefix="0" xfId="0">
      <alignment vertical="center"/>
    </xf>
    <xf numFmtId="0" fontId="52" fillId="0" borderId="95" applyAlignment="1" pivotButton="0" quotePrefix="0" xfId="0">
      <alignment vertical="center"/>
    </xf>
    <xf numFmtId="181" fontId="49" fillId="0" borderId="95" applyAlignment="1" pivotButton="0" quotePrefix="0" xfId="0">
      <alignment horizontal="left" vertical="center"/>
    </xf>
    <xf numFmtId="0" fontId="50" fillId="0" borderId="95" pivotButton="0" quotePrefix="0" xfId="0"/>
    <xf numFmtId="0" fontId="50" fillId="0" borderId="95" applyAlignment="1" pivotButton="0" quotePrefix="0" xfId="0">
      <alignment horizontal="center" vertical="center"/>
    </xf>
    <xf numFmtId="0" fontId="50" fillId="0" borderId="95" applyAlignment="1" pivotButton="0" quotePrefix="0" xfId="0">
      <alignment horizontal="centerContinuous" vertical="center"/>
    </xf>
    <xf numFmtId="195" fontId="49" fillId="0" borderId="74" applyAlignment="1" pivotButton="0" quotePrefix="0" xfId="0">
      <alignment horizontal="right" vertical="center"/>
    </xf>
    <xf numFmtId="201" fontId="49" fillId="0" borderId="74" applyAlignment="1" pivotButton="0" quotePrefix="0" xfId="0">
      <alignment horizontal="center" vertical="center"/>
    </xf>
    <xf numFmtId="184" fontId="49" fillId="0" borderId="74" applyAlignment="1" pivotButton="0" quotePrefix="0" xfId="0">
      <alignment horizontal="center" vertical="center"/>
    </xf>
    <xf numFmtId="204" fontId="49" fillId="0" borderId="74" applyAlignment="1" pivotButton="0" quotePrefix="0" xfId="0">
      <alignment horizontal="center" vertical="center"/>
    </xf>
    <xf numFmtId="17" fontId="49" fillId="0" borderId="74" applyAlignment="1" pivotButton="0" quotePrefix="0" xfId="0">
      <alignment horizontal="center" vertical="center"/>
    </xf>
    <xf numFmtId="1" fontId="49" fillId="0" borderId="74" applyAlignment="1" pivotButton="0" quotePrefix="0" xfId="0">
      <alignment horizontal="center" vertical="center"/>
    </xf>
    <xf numFmtId="186" fontId="49" fillId="0" borderId="74" applyAlignment="1" pivotButton="0" quotePrefix="0" xfId="0">
      <alignment horizontal="center" vertical="center"/>
    </xf>
    <xf numFmtId="198" fontId="49" fillId="0" borderId="74" applyAlignment="1" pivotButton="0" quotePrefix="0" xfId="0">
      <alignment horizontal="center" vertical="center"/>
    </xf>
    <xf numFmtId="195" fontId="49" fillId="0" borderId="74" applyAlignment="1" pivotButton="0" quotePrefix="0" xfId="0">
      <alignment horizontal="center" vertical="center"/>
    </xf>
    <xf numFmtId="205" fontId="53" fillId="0" borderId="74" applyAlignment="1" pivotButton="0" quotePrefix="0" xfId="0">
      <alignment horizontal="center" vertical="center"/>
    </xf>
    <xf numFmtId="205" fontId="49" fillId="0" borderId="74" applyAlignment="1" pivotButton="0" quotePrefix="0" xfId="0">
      <alignment horizontal="center" vertical="center"/>
    </xf>
    <xf numFmtId="188" fontId="49" fillId="0" borderId="74" applyAlignment="1" pivotButton="0" quotePrefix="0" xfId="0">
      <alignment horizontal="center" vertical="center"/>
    </xf>
    <xf numFmtId="0" fontId="50" fillId="0" borderId="83" applyAlignment="1" pivotButton="0" quotePrefix="0" xfId="0">
      <alignment vertical="center"/>
    </xf>
    <xf numFmtId="195" fontId="50" fillId="0" borderId="84" applyAlignment="1" pivotButton="0" quotePrefix="0" xfId="0">
      <alignment horizontal="right" vertical="center"/>
    </xf>
    <xf numFmtId="201" fontId="50" fillId="0" borderId="84" applyAlignment="1" pivotButton="0" quotePrefix="0" xfId="0">
      <alignment horizontal="center" vertical="center"/>
    </xf>
    <xf numFmtId="0" fontId="49" fillId="0" borderId="84" pivotButton="0" quotePrefix="0" xfId="0"/>
    <xf numFmtId="0" fontId="50" fillId="0" borderId="84" applyAlignment="1" pivotButton="0" quotePrefix="0" xfId="0">
      <alignment horizontal="center"/>
    </xf>
    <xf numFmtId="186" fontId="50" fillId="0" borderId="84" applyAlignment="1" pivotButton="0" quotePrefix="0" xfId="0">
      <alignment horizontal="center"/>
    </xf>
    <xf numFmtId="0" fontId="49" fillId="0" borderId="85" pivotButton="0" quotePrefix="0" xfId="0"/>
    <xf numFmtId="195" fontId="50" fillId="0" borderId="84" applyAlignment="1" pivotButton="0" quotePrefix="0" xfId="0">
      <alignment horizontal="center" vertical="center"/>
    </xf>
    <xf numFmtId="201" fontId="50" fillId="0" borderId="85" applyAlignment="1" pivotButton="0" quotePrefix="0" xfId="0">
      <alignment horizontal="center" vertical="center"/>
    </xf>
    <xf numFmtId="196" fontId="55" fillId="0" borderId="74" applyAlignment="1" pivotButton="0" quotePrefix="0" xfId="0">
      <alignment horizontal="right" vertical="center"/>
    </xf>
    <xf numFmtId="0" fontId="50" fillId="0" borderId="84" applyAlignment="1" pivotButton="0" quotePrefix="0" xfId="0">
      <alignment horizontal="center" vertical="center"/>
    </xf>
    <xf numFmtId="0" fontId="49" fillId="0" borderId="111" applyAlignment="1" pivotButton="0" quotePrefix="0" xfId="0">
      <alignment horizontal="left" vertical="center"/>
    </xf>
    <xf numFmtId="195" fontId="55" fillId="0" borderId="112" applyAlignment="1" pivotButton="0" quotePrefix="0" xfId="0">
      <alignment vertical="center"/>
    </xf>
    <xf numFmtId="0" fontId="50" fillId="0" borderId="74" applyAlignment="1" pivotButton="0" quotePrefix="0" xfId="0">
      <alignment vertical="center"/>
    </xf>
    <xf numFmtId="195" fontId="50" fillId="0" borderId="74" applyAlignment="1" pivotButton="0" quotePrefix="0" xfId="0">
      <alignment vertical="center"/>
    </xf>
    <xf numFmtId="196" fontId="49" fillId="0" borderId="74" applyAlignment="1" pivotButton="0" quotePrefix="0" xfId="0">
      <alignment horizontal="right" vertical="center"/>
    </xf>
    <xf numFmtId="195" fontId="50" fillId="0" borderId="85" applyAlignment="1" pivotButton="0" quotePrefix="0" xfId="0">
      <alignment horizontal="right" vertical="center"/>
    </xf>
    <xf numFmtId="0" fontId="49" fillId="0" borderId="74" applyAlignment="1" pivotButton="0" quotePrefix="0" xfId="0">
      <alignment vertical="center"/>
    </xf>
    <xf numFmtId="195" fontId="55" fillId="0" borderId="74" applyAlignment="1" pivotButton="0" quotePrefix="0" xfId="0">
      <alignment horizontal="right"/>
    </xf>
    <xf numFmtId="195" fontId="49" fillId="0" borderId="74" applyAlignment="1" pivotButton="0" quotePrefix="0" xfId="0">
      <alignment horizontal="right"/>
    </xf>
    <xf numFmtId="196" fontId="55" fillId="0" borderId="74" applyAlignment="1" pivotButton="0" quotePrefix="0" xfId="0">
      <alignment horizontal="right"/>
    </xf>
    <xf numFmtId="196" fontId="49" fillId="0" borderId="74" applyAlignment="1" pivotButton="0" quotePrefix="0" xfId="0">
      <alignment horizontal="right"/>
    </xf>
    <xf numFmtId="195" fontId="50" fillId="0" borderId="86" applyAlignment="1" pivotButton="0" quotePrefix="0" xfId="0">
      <alignment horizontal="right"/>
    </xf>
    <xf numFmtId="0" fontId="54" fillId="0" borderId="74" applyAlignment="1" pivotButton="0" quotePrefix="0" xfId="0">
      <alignment horizontal="left"/>
    </xf>
    <xf numFmtId="0" fontId="0" fillId="0" borderId="110" pivotButton="0" quotePrefix="0" xfId="0"/>
    <xf numFmtId="0" fontId="49" fillId="0" borderId="74" applyAlignment="1" pivotButton="0" quotePrefix="0" xfId="0">
      <alignment horizontal="center" wrapText="1"/>
    </xf>
    <xf numFmtId="0" fontId="50" fillId="0" borderId="74" applyAlignment="1" pivotButton="0" quotePrefix="0" xfId="0">
      <alignment horizontal="center" vertical="center" wrapText="1"/>
    </xf>
    <xf numFmtId="0" fontId="58" fillId="0" borderId="74" applyAlignment="1" pivotButton="0" quotePrefix="0" xfId="0">
      <alignment horizontal="center" vertical="center"/>
    </xf>
    <xf numFmtId="0" fontId="58" fillId="0" borderId="74" applyAlignment="1" pivotButton="0" quotePrefix="0" xfId="0">
      <alignment horizontal="center" vertical="center" wrapText="1"/>
    </xf>
    <xf numFmtId="194" fontId="49" fillId="0" borderId="74" applyAlignment="1" pivotButton="0" quotePrefix="0" xfId="0">
      <alignment horizontal="left"/>
    </xf>
    <xf numFmtId="194" fontId="49" fillId="0" borderId="74" applyAlignment="1" pivotButton="0" quotePrefix="0" xfId="0">
      <alignment vertical="center"/>
    </xf>
    <xf numFmtId="196" fontId="49" fillId="0" borderId="74" applyAlignment="1" pivotButton="0" quotePrefix="0" xfId="0">
      <alignment vertical="center"/>
    </xf>
    <xf numFmtId="14" fontId="49" fillId="0" borderId="74" pivotButton="0" quotePrefix="0" xfId="0"/>
    <xf numFmtId="14" fontId="49" fillId="0" borderId="74" applyAlignment="1" pivotButton="0" quotePrefix="0" xfId="0">
      <alignment horizontal="right" wrapText="1"/>
    </xf>
    <xf numFmtId="0" fontId="49" fillId="0" borderId="74" applyAlignment="1" pivotButton="0" quotePrefix="0" xfId="0">
      <alignment horizontal="right" wrapText="1"/>
    </xf>
    <xf numFmtId="0" fontId="49" fillId="0" borderId="74" applyAlignment="1" pivotButton="0" quotePrefix="0" xfId="0">
      <alignment wrapText="1"/>
    </xf>
    <xf numFmtId="0" fontId="50" fillId="0" borderId="96" applyAlignment="1" pivotButton="0" quotePrefix="0" xfId="0">
      <alignment horizontal="general" vertical="bottom"/>
    </xf>
    <xf numFmtId="0" fontId="50" fillId="0" borderId="96" applyAlignment="1" pivotButton="0" quotePrefix="0" xfId="0">
      <alignment horizontal="general" vertical="center" wrapText="1"/>
    </xf>
    <xf numFmtId="0" fontId="49" fillId="0" borderId="74" applyAlignment="1" pivotButton="0" quotePrefix="0" xfId="0">
      <alignment horizontal="general" vertical="top" wrapText="1"/>
    </xf>
    <xf numFmtId="0" fontId="58" fillId="13" borderId="97" applyAlignment="1" pivotButton="0" quotePrefix="0" xfId="0">
      <alignment horizontal="general" vertical="center" wrapText="1"/>
    </xf>
    <xf numFmtId="0" fontId="65" fillId="13" borderId="9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EF5F5"/>
      <rgbColor rgb="FF660066"/>
      <rgbColor rgb="FFFF8080"/>
      <rgbColor rgb="FF0066CC"/>
      <rgbColor rgb="FFBCBF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FEF"/>
      <rgbColor rgb="FFDCE8F4"/>
      <rgbColor rgb="FFF2F2F2"/>
      <rgbColor rgb="FF99CCFF"/>
      <rgbColor rgb="FFFF99CC"/>
      <rgbColor rgb="FFCC99FF"/>
      <rgbColor rgb="FFF2F2F4"/>
      <rgbColor rgb="FF3366FF"/>
      <rgbColor rgb="FF33CCCC"/>
      <rgbColor rgb="FF99CC00"/>
      <rgbColor rgb="FFFFCC00"/>
      <rgbColor rgb="FFFF9900"/>
      <rgbColor rgb="FFFF6600"/>
      <rgbColor rgb="FF525766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NWC!$N$11</c:f>
              <c:strCache>
                <c:ptCount val="1"/>
                <c:pt idx="0">
                  <c:v>Accounts receivable, net</c:v>
                </c:pt>
              </c:strCache>
            </c:strRef>
          </c:tx>
          <c:spPr>
            <a:solidFill>
              <a:srgbClr val="002060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NWC!$R$11:$U$11</c:f>
              <c:numCache>
                <c:formatCode>General</c:formatCode>
                <c:ptCount val="4"/>
                <c:pt idx="0">
                  <c:v>39</c:v>
                </c:pt>
                <c:pt idx="1">
                  <c:v>-7</c:v>
                </c:pt>
                <c:pt idx="2">
                  <c:v>-54</c:v>
                </c:pt>
                <c:pt idx="3">
                  <c:v>326</c:v>
                </c:pt>
              </c:numCache>
            </c:numRef>
          </c:val>
        </c:ser>
        <c:ser>
          <c:idx val="1"/>
          <c:order val="1"/>
          <c:tx>
            <c:strRef>
              <c:f>NWC!$N$12</c:f>
              <c:strCache>
                <c:ptCount val="1"/>
                <c:pt idx="0">
                  <c:v>Billed finance receivables</c:v>
                </c:pt>
              </c:strCache>
            </c:strRef>
          </c:tx>
          <c:spPr>
            <a:solidFill>
              <a:srgbClr val="BFBFBF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NWC!$R$12:$U$12</c:f>
              <c:numCache>
                <c:formatCode>General</c:formatCode>
                <c:ptCount val="4"/>
                <c:pt idx="0">
                  <c:v>-1</c:v>
                </c:pt>
                <c:pt idx="1">
                  <c:v>-22</c:v>
                </c:pt>
                <c:pt idx="2">
                  <c:v>-23</c:v>
                </c:pt>
                <c:pt idx="3">
                  <c:v>-2</c:v>
                </c:pt>
              </c:numCache>
            </c:numRef>
          </c:val>
        </c:ser>
        <c:ser>
          <c:idx val="2"/>
          <c:order val="2"/>
          <c:tx>
            <c:strRef>
              <c:f>NWC!$N$13</c:f>
              <c:strCache>
                <c:ptCount val="1"/>
                <c:pt idx="0">
                  <c:v>Inventories</c:v>
                </c:pt>
              </c:strCache>
            </c:strRef>
          </c:tx>
          <c:spPr>
            <a:solidFill>
              <a:srgbClr val="9DC3E6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NWC!$R$13:$U$13</c:f>
              <c:numCache>
                <c:formatCode>General</c:formatCode>
                <c:ptCount val="4"/>
                <c:pt idx="0">
                  <c:v>101</c:v>
                </c:pt>
                <c:pt idx="1">
                  <c:v>-136</c:v>
                </c:pt>
                <c:pt idx="2">
                  <c:v>34</c:v>
                </c:pt>
                <c:pt idx="3">
                  <c:v>321</c:v>
                </c:pt>
              </c:numCache>
            </c:numRef>
          </c:val>
        </c:ser>
        <c:ser>
          <c:idx val="3"/>
          <c:order val="3"/>
          <c:tx>
            <c:strRef>
              <c:f>NWC!$N$14</c:f>
              <c:strCache>
                <c:ptCount val="1"/>
                <c:pt idx="0">
                  <c:v>Other current assets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NWC!$R$14:$U$14</c:f>
              <c:numCache>
                <c:formatCode>General</c:formatCode>
                <c:ptCount val="4"/>
                <c:pt idx="0">
                  <c:v>43</c:v>
                </c:pt>
                <c:pt idx="1">
                  <c:v>-20</c:v>
                </c:pt>
                <c:pt idx="2">
                  <c:v>-22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NWC!$N$15</c:f>
              <c:strCache>
                <c:ptCount val="1"/>
                <c:pt idx="0">
                  <c:v>Accounts payable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NWC!$R$15:$U$15</c:f>
              <c:numCache>
                <c:formatCode>General</c:formatCode>
                <c:ptCount val="4"/>
                <c:pt idx="0">
                  <c:v>-262</c:v>
                </c:pt>
                <c:pt idx="1">
                  <c:v>287</c:v>
                </c:pt>
                <c:pt idx="2">
                  <c:v>21</c:v>
                </c:pt>
                <c:pt idx="3">
                  <c:v>-475</c:v>
                </c:pt>
              </c:numCache>
            </c:numRef>
          </c:val>
        </c:ser>
        <c:ser>
          <c:idx val="5"/>
          <c:order val="5"/>
          <c:tx>
            <c:strRef>
              <c:f>NWC!$N$16</c:f>
              <c:strCache>
                <c:ptCount val="1"/>
                <c:pt idx="0">
                  <c:v>Accrued compensation &amp; benefits</c:v>
                </c:pt>
              </c:strCache>
            </c:strRef>
          </c:tx>
          <c:spPr>
            <a:solidFill>
              <a:srgbClr val="2F5597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NWC!$R$16:$U$16</c:f>
              <c:numCache>
                <c:formatCode>General</c:formatCode>
                <c:ptCount val="4"/>
                <c:pt idx="0">
                  <c:v>-19</c:v>
                </c:pt>
                <c:pt idx="1">
                  <c:v>-48</c:v>
                </c:pt>
                <c:pt idx="2">
                  <c:v>79</c:v>
                </c:pt>
                <c:pt idx="3">
                  <c:v>-8</c:v>
                </c:pt>
              </c:numCache>
            </c:numRef>
          </c:val>
        </c:ser>
        <c:ser>
          <c:idx val="6"/>
          <c:order val="6"/>
          <c:tx>
            <c:strRef>
              <c:f>NWC!$N$17</c:f>
              <c:strCache>
                <c:ptCount val="1"/>
                <c:pt idx="0">
                  <c:v>Accrued exp. &amp; other CL</c:v>
                </c:pt>
              </c:strCache>
            </c:strRef>
          </c:tx>
          <c:spPr>
            <a:solidFill>
              <a:srgbClr val="404040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NWC!$R$17:$U$17</c:f>
              <c:numCache>
                <c:formatCode>General</c:formatCode>
                <c:ptCount val="4"/>
                <c:pt idx="0">
                  <c:v>-10</c:v>
                </c:pt>
                <c:pt idx="1">
                  <c:v>19</c:v>
                </c:pt>
                <c:pt idx="2">
                  <c:v>78</c:v>
                </c:pt>
                <c:pt idx="3">
                  <c:v>-474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0000000"/>
        <c:axId val="100000001"/>
      </c:barChart>
      <c:lineChart>
        <c:grouping val="standard"/>
        <c:varyColors val="0"/>
        <c:ser>
          <c:idx val="7"/>
          <c:order val="7"/>
          <c:tx>
            <c:strRef>
              <c:f>NWC!$N$18</c:f>
              <c:strCache>
                <c:ptCount val="1"/>
                <c:pt idx="0">
                  <c:v>Change in NWC</c:v>
                </c:pt>
              </c:strCache>
            </c:strRef>
          </c:tx>
          <c:spPr>
            <a:ln w="28575" cap="rnd">
              <a:solidFill>
                <a:srgbClr val="00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2D544"/>
              </a:solidFill>
              <a:ln w="9525">
                <a:solidFill>
                  <a:srgbClr val="C9A227"/>
                </a:solidFill>
              </a:ln>
              <a:effectLst/>
            </c:spPr>
          </c:marker>
          <c:dLbls>
            <c:numFmt formatCode="&quot;$&quot;#,##0_);(&quot;$&quot;#,##0)" sourceLinked="0"/>
            <c:spPr>
              <a:solidFill>
                <a:srgbClr val="F2D544"/>
              </a:solidFill>
              <a:ln>
                <a:solidFill>
                  <a:srgbClr val="C9A227"/>
                </a:solidFill>
              </a:ln>
              <a:effectLst/>
            </c:spPr>
            <c:txPr>
              <a:bodyPr rot="0" spcFirstLastPara="1" vertOverflow="ellipsis" vert="horz" wrap="square" anchor="ctr" anchorCtr="1" lIns="38100" tIns="19050" rIns="38100" bIns="19050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Garamond"/>
                    <a:ea typeface="+mn-ea"/>
                    <a:cs typeface="Garamond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NWC!$R$18:$U$18</c:f>
              <c:numCache>
                <c:formatCode>General</c:formatCode>
                <c:ptCount val="4"/>
                <c:pt idx="0">
                  <c:v>-109</c:v>
                </c:pt>
                <c:pt idx="1">
                  <c:v>73</c:v>
                </c:pt>
                <c:pt idx="2">
                  <c:v>113</c:v>
                </c:pt>
                <c:pt idx="3">
                  <c:v>-162</c:v>
                </c:pt>
              </c:numCache>
            </c:numRef>
          </c:val>
          <c:smooth val="0"/>
        </c:ser>
        <c:marker val="1"/>
        <c:axId val="100000003"/>
        <c:axId val="100000002"/>
      </c:lineChart>
      <c:catAx>
        <c:axId val="1000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BFBFBF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Garamond"/>
                <a:ea typeface="+mn-ea"/>
                <a:cs typeface="Garamond"/>
              </a:defRPr>
            </a:pPr>
            <a:endParaRPr lang="en-US"/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Garamond"/>
                <a:ea typeface="+mn-ea"/>
                <a:cs typeface="Garamond"/>
              </a:defRPr>
            </a:pPr>
            <a:endParaRPr lang="en-US"/>
          </a:p>
        </c:txPr>
        <c:crossAx val="100000000"/>
        <c:crosses val="autoZero"/>
        <c:crossBetween val="between"/>
      </c:valAx>
      <c:valAx>
        <c:axId val="100000002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Garamond"/>
                <a:ea typeface="+mn-ea"/>
                <a:cs typeface="Garamond"/>
              </a:defRPr>
            </a:pPr>
            <a:endParaRPr lang="en-US"/>
          </a:p>
        </c:txPr>
        <c:crossAx val="100000003"/>
        <c:crosses val="max"/>
        <c:crossBetween val="between"/>
      </c:valAx>
      <c:catAx>
        <c:axId val="100000003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crossAx val="10000000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Garamond"/>
              <a:ea typeface="+mn-ea"/>
              <a:cs typeface="Garamond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000000"/>
          </a:solidFill>
          <a:latin typeface="Garamond"/>
          <a:cs typeface="Garamond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'Maturity Schedule'!$C$8</c:f>
              <c:strCache>
                <c:ptCount val="1"/>
                <c:pt idx="0">
                  <c:v>Cash &amp; Equivalents</c:v>
                </c:pt>
              </c:strCache>
            </c:strRef>
          </c:tx>
          <c:spPr>
            <a:solidFill>
              <a:srgbClr val="BFBFBF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Schedule'!$D$8:$J$8</c:f>
              <c:numCache>
                <c:formatCode>"$"#,##0</c:formatCode>
                <c:ptCount val="7"/>
                <c:pt idx="0">
                  <c:v>495</c:v>
                </c:pt>
              </c:numCache>
            </c:numRef>
          </c:val>
        </c:ser>
        <c:ser>
          <c:idx val="1"/>
          <c:order val="1"/>
          <c:tx>
            <c:strRef>
              <c:f>'Maturity Schedule'!$C$9</c:f>
              <c:strCache>
                <c:ptCount val="1"/>
                <c:pt idx="0">
                  <c:v>ABL Availability</c:v>
                </c:pt>
              </c:strCache>
            </c:strRef>
          </c:tx>
          <c:spPr>
            <a:noFill/>
            <a:ln w="25400">
              <a:solidFill>
                <a:srgbClr val="BFBFBF"/>
              </a:solidFill>
              <a:prstDash val="dash"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000000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Schedule'!$D$9:$J$9</c:f>
              <c:numCache>
                <c:formatCode>"$"#,##0</c:formatCode>
                <c:ptCount val="7"/>
                <c:pt idx="0">
                  <c:v>276</c:v>
                </c:pt>
              </c:numCache>
            </c:numRef>
          </c:val>
        </c:ser>
        <c:ser>
          <c:idx val="2"/>
          <c:order val="2"/>
          <c:tx>
            <c:strRef>
              <c:f>'Maturity Schedule'!$C$10</c:f>
              <c:strCache>
                <c:ptCount val="1"/>
                <c:pt idx="0">
                  <c:v>Secured Term Loan</c:v>
                </c:pt>
              </c:strCache>
            </c:strRef>
          </c:tx>
          <c:spPr>
            <a:solidFill>
              <a:srgbClr val="404040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Schedule'!$D$10:$J$10</c:f>
              <c:numCache>
                <c:formatCode>"$"#,##0</c:formatCode>
                <c:ptCount val="7"/>
                <c:pt idx="4">
                  <c:v>405</c:v>
                </c:pt>
              </c:numCache>
            </c:numRef>
          </c:val>
        </c:ser>
        <c:ser>
          <c:idx val="3"/>
          <c:order val="3"/>
          <c:tx>
            <c:strRef>
              <c:f>'Maturity Schedule'!$C$11</c:f>
              <c:strCache>
                <c:ptCount val="1"/>
                <c:pt idx="0">
                  <c:v>1L Term Loan</c:v>
                </c:pt>
              </c:strCache>
            </c:strRef>
          </c:tx>
          <c:spPr>
            <a:solidFill>
              <a:srgbClr val="2F5597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Schedule'!$D$11:$J$11</c:f>
              <c:numCache>
                <c:formatCode>"$"#,##0</c:formatCode>
                <c:ptCount val="7"/>
                <c:pt idx="2">
                  <c:v>705</c:v>
                </c:pt>
              </c:numCache>
            </c:numRef>
          </c:val>
        </c:ser>
        <c:ser>
          <c:idx val="4"/>
          <c:order val="4"/>
          <c:tx>
            <c:strRef>
              <c:f>'Maturity Schedule'!$C$12</c:f>
              <c:strCache>
                <c:ptCount val="1"/>
                <c:pt idx="0">
                  <c:v>1L Notes</c:v>
                </c:pt>
              </c:strCache>
            </c:strRef>
          </c:tx>
          <c:spPr>
            <a:solidFill>
              <a:srgbClr val="8FAADC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Schedule'!$D$12:$J$12</c:f>
              <c:numCache>
                <c:formatCode>"$"#,##0</c:formatCode>
                <c:ptCount val="7"/>
                <c:pt idx="3">
                  <c:v>400</c:v>
                </c:pt>
              </c:numCache>
            </c:numRef>
          </c:val>
        </c:ser>
        <c:ser>
          <c:idx val="5"/>
          <c:order val="5"/>
          <c:tx>
            <c:strRef>
              <c:f>'Maturity Schedule'!$C$13</c:f>
              <c:strCache>
                <c:ptCount val="1"/>
                <c:pt idx="0">
                  <c:v>2L Notes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Schedule'!$D$13:$J$13</c:f>
              <c:numCache>
                <c:formatCode>"$"#,##0</c:formatCode>
                <c:ptCount val="7"/>
                <c:pt idx="4">
                  <c:v>494</c:v>
                </c:pt>
              </c:numCache>
            </c:numRef>
          </c:val>
        </c:ser>
        <c:ser>
          <c:idx val="6"/>
          <c:order val="6"/>
          <c:tx>
            <c:strRef>
              <c:f>'Maturity Schedule'!$C$14</c:f>
              <c:strCache>
                <c:ptCount val="1"/>
                <c:pt idx="0">
                  <c:v>Senior Unsecured Notes</c:v>
                </c:pt>
              </c:strCache>
            </c:strRef>
          </c:tx>
          <c:spPr>
            <a:solidFill>
              <a:srgbClr val="002060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Garamond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Schedule'!$D$14:$J$14</c:f>
              <c:numCache>
                <c:formatCode>"$"#,##0</c:formatCode>
                <c:ptCount val="7"/>
                <c:pt idx="1">
                  <c:v>556</c:v>
                </c:pt>
                <c:pt idx="2">
                  <c:v>500</c:v>
                </c:pt>
                <c:pt idx="3">
                  <c:v>650</c:v>
                </c:pt>
                <c:pt idx="5">
                  <c:v>250</c:v>
                </c:pt>
                <c:pt idx="6">
                  <c:v>350</c:v>
                </c:pt>
              </c:numCache>
            </c:numRef>
          </c:val>
        </c:ser>
        <c:ser>
          <c:idx val="7"/>
          <c:order val="7"/>
          <c:tx>
            <c:strRef>
              <c:f>'Maturity Schedule'!$C$15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000000"/>
                    </a:solidFill>
                    <a:latin typeface="Garamond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Schedule'!$D$15:$J$15</c:f>
              <c:numCache>
                <c:formatCode>"$"#,##0</c:formatCode>
                <c:ptCount val="7"/>
                <c:pt idx="0">
                  <c:v>771</c:v>
                </c:pt>
                <c:pt idx="1">
                  <c:v>556</c:v>
                </c:pt>
                <c:pt idx="2">
                  <c:v>1205</c:v>
                </c:pt>
                <c:pt idx="3">
                  <c:v>1050</c:v>
                </c:pt>
                <c:pt idx="4">
                  <c:v>899</c:v>
                </c:pt>
                <c:pt idx="5">
                  <c:v>250</c:v>
                </c:pt>
                <c:pt idx="6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2F5597"/>
            </a:solidFill>
          </a:ln>
        </c:spPr>
        <c:txPr>
          <a:bodyPr/>
          <a:lstStyle/>
          <a:p>
            <a:pPr>
              <a:defRPr sz="900">
                <a:solidFill>
                  <a:srgbClr val="000000"/>
                </a:solidFill>
                <a:latin typeface="Garamond"/>
              </a:defRPr>
            </a:pPr>
            <a:endParaRPr lang="en-US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1450"/>
          <c:min val="0"/>
        </c:scaling>
        <c:delete val="0"/>
        <c:axPos val="l"/>
        <c:numFmt formatCode="&quot;$&quot;#,##0" sourceLinked="0"/>
        <c:majorTickMark val="none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rgbClr val="000000"/>
                </a:solidFill>
                <a:latin typeface="Garamond"/>
              </a:defRPr>
            </a:pPr>
            <a:endParaRPr lang="en-US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7"/>
        <c:delete val="1"/>
      </c:legendEntry>
      <c:overlay val="0"/>
      <c:txPr>
        <a:bodyPr/>
        <a:lstStyle/>
        <a:p>
          <a:pPr>
            <a:defRPr sz="900">
              <a:solidFill>
                <a:srgbClr val="000000"/>
              </a:solidFill>
              <a:latin typeface="Garamond"/>
            </a:defRPr>
          </a:pPr>
          <a:endParaRPr lang="en-US"/>
        </a:p>
      </c:txPr>
    </c:legend>
    <c:plotVisOnly val="1"/>
    <c:dispBlanksAs val="gap"/>
  </c:chart>
  <c:spPr>
    <a:noFill/>
    <a:ln>
      <a:noFill/>
    </a:ln>
  </c:spPr>
</c:chartSpace>
</file>

<file path=xl/comments/comment1.xml><?xml version="1.0" encoding="utf-8"?>
<comments xmlns="http://schemas.openxmlformats.org/spreadsheetml/2006/main">
  <authors>
    <author>Unknown Author</author>
  </authors>
  <commentList>
    <comment ref="AH9" authorId="0" shapeId="0">
      <text>
        <t>LTM = trailing four quarters ending 2Q'25.</t>
      </text>
    </comment>
    <comment ref="AI9" authorId="0" shapeId="0">
      <text>
        <t>LTM = trailing four quarters ending 2Q'26.</t>
      </text>
    </comment>
    <comment ref="E11" authorId="0" shapeId="0">
      <text>
        <t>Sales, 1Q'21: 602. Source: 1Q'21 Form 10-Q (acc. 0001770450-21-000025 (xrx-20210331)), Condensed Consolidated Statements of Income (Loss), three months ended Mar 31, 2021.</t>
      </text>
    </comment>
    <comment ref="F11" authorId="0" shapeId="0">
      <text>
        <t>Sales, 2Q'21: 670. Source: 2Q'21 Form 10-Q (acc. 0001770450-21-000036 (xrx-20210630)), Condensed Consolidated Statements of Income (Loss), three months ended Jun 30, 2021.</t>
      </text>
    </comment>
    <comment ref="G11" authorId="0" shapeId="0">
      <text>
        <t>Sales, 3Q'21: 657. Source: 3Q'21 Form 10-Q (acc. 0001770450-21-000050 (xrx-20210930)), Condensed Consolidated Statements of Income (Loss), three months ended Sep 30, 2021.</t>
      </text>
    </comment>
    <comment ref="H11" authorId="0" shapeId="0">
      <text>
        <t>4Q'21 derived = FY2021 (10-K) less 1Q-3Q (10-Qs), so the quarters tie to the reported annual.</t>
      </text>
    </comment>
    <comment ref="I11" authorId="0" shapeId="0">
      <text>
        <t>Sales, 1Q'22: 592. Source: 1Q'22 Form 10-Q (acc. 0001770450-22-000020 (xrx-20220331)), Condensed Consolidated Statements of Income (Loss), three months ended Mar 31, 2022.</t>
      </text>
    </comment>
    <comment ref="J11" authorId="0" shapeId="0">
      <text>
        <t>Sales, 2Q'22: 667. Source: 2Q'22 Form 10-Q (acc. 0001770450-22-000030 (xrx-20220630)), Condensed Consolidated Statements of Income (Loss), three months ended Jun 30, 2022.</t>
      </text>
    </comment>
    <comment ref="K11" authorId="0" shapeId="0">
      <text>
        <t>Sales, 3Q'22: 690. Source: 3Q'22 Form 10-Q (acc. 0001770450-22-000041 (xrx-20220930)), Condensed Consolidated Statements of Income (Loss), three months ended Sep 30, 2022.</t>
      </text>
    </comment>
    <comment ref="L11" authorId="0" shapeId="0">
      <text>
        <t>4Q'22 derived = FY2022 (10-K) less 1Q-3Q (10-Qs), so the quarters tie to the reported annual.</t>
      </text>
    </comment>
    <comment ref="M11" authorId="0" shapeId="0">
      <text>
        <t>Sales, 1Q'23: 659. Source: 1Q'23 Form 10-Q (acc. 0001770450-23-000032 (xrx-20230331)), Condensed Consolidated Statements of Income (Loss), three months ended Mar 31, 2023.</t>
      </text>
    </comment>
    <comment ref="N11" authorId="0" shapeId="0">
      <text>
        <t>Sales, 2Q'23: 696. Source: 2Q'23 Form 10-Q (acc. 0001770450-23-000042 (xrx-20230630)), Condensed Consolidated Statements of Income (Loss), three months ended Jun 30, 2023.</t>
      </text>
    </comment>
    <comment ref="O11" authorId="0" shapeId="0">
      <text>
        <t>Sales, 3Q'23: 644. Source: 3Q'23 Form 10-Q (acc. 0001770450-23-000050 (xrx-20230930)), Condensed Consolidated Statements of Income (Loss), three months ended Sep 30, 2023.</t>
      </text>
    </comment>
    <comment ref="P11" authorId="0" shapeId="0">
      <text>
        <t>4Q'23 derived = FY2023 (10-K) less 1Q-3Q (10-Qs), so the quarters tie to the reported annual.</t>
      </text>
    </comment>
    <comment ref="Q11" authorId="0" shapeId="0">
      <text>
        <t>Sales, 1Q'24: 523. Source: 1Q'25 Form 10-Q (acc. 0001770450-25-000026 (xrx-20250331)), Condensed Consolidated Statements of Income (Loss), prior-year column, three months ended Mar 31, 2024 (as reclassified to the current presentation).</t>
      </text>
    </comment>
    <comment ref="R11" authorId="0" shapeId="0">
      <text>
        <t>Sales, 2Q'24: 611. Source: 2Q'25 Form 10-Q (acc. 0001628280-25-038980 (xrx-20250630)), Condensed Consolidated Statements of Income (Loss), prior-year column, three months ended Jun 30, 2024 (as reclassified to the current presentation).</t>
      </text>
    </comment>
    <comment ref="S11" authorId="0" shapeId="0">
      <text>
        <t>Sales, 3Q'24: 588. Source: 3Q'25 Form 10-Q (acc. 0001770450-25-000037 (xrx-20250930)), Condensed Consolidated Statements of Income (Loss), prior-year column, three months ended Sep 30, 2024 (as reclassified to the current presentation).</t>
      </text>
    </comment>
    <comment ref="T11" authorId="0" shapeId="0">
      <text>
        <t>4Q'24 derived = FY2024 (10-K) less 1Q-3Q (10-Qs), so the quarters tie to the reported annual.</t>
      </text>
    </comment>
    <comment ref="U11" authorId="0" shapeId="0">
      <text>
        <t>Sales, 1Q'25: 557. Source: 1Q'26 Form 10-Q (acc. 0001770450-26-000030 (xrx-20260331)), Condensed Consolidated Statements of Income (Loss), prior-year column, three months ended Mar 31, 2025 (as reclassified to the current presentation).</t>
      </text>
    </comment>
    <comment ref="V11" authorId="0" shapeId="0">
      <text>
        <t>Sales, 2Q'25: 665. Source: 2Q'26 Form 10-Q (acc. 0001770450-26-000040 (xrx-20260630)), Condensed Consolidated Statements of Income (Loss), prior-year column, three months ended Jun 30, 2025 (as reclassified to the current presentation).</t>
      </text>
    </comment>
    <comment ref="W11" authorId="0" shapeId="0">
      <text>
        <t>Sales, 3Q'25: 993. Source: 3Q'25 Form 10-Q (acc. 0001770450-25-000037 (xrx-20250930)), Condensed Consolidated Statements of Income (Loss), three months ended Sep 30, 2025.</t>
      </text>
    </comment>
    <comment ref="X11" authorId="0" shapeId="0">
      <text>
        <t>4Q'25 derived = FY2025 (10-K) less 1Q-3Q (10-Qs), so the quarters tie to the reported annual.</t>
      </text>
    </comment>
    <comment ref="Y11" authorId="0" shapeId="0">
      <text>
        <t>Sales, 1Q'26: 920. Source: 1Q'26 Form 10-Q (acc. 0001770450-26-000030 (xrx-20260331)), Condensed Consolidated Statements of Income (Loss), three months ended Mar 31, 2026.</t>
      </text>
    </comment>
    <comment ref="Z11" authorId="0" shapeId="0">
      <text>
        <t>Sales, 2Q'26: 996. Source: 2Q'26 Form 10-Q (acc. 0001770450-26-000040 (xrx-20260630)), Condensed Consolidated Statements of Income (Loss), three months ended Jun 30, 2026.</t>
      </text>
    </comment>
    <comment ref="AB11" authorId="0" shapeId="0">
      <text>
        <t>Sales, FY2021: 2,582. Source: FY2023 Form 10-K (acc. 0001770450-24-000012, xrx-20231231), year ended Dec 31, 2021 column (most recent presentation of FY2021), Consolidated Statements of Income (Loss).</t>
      </text>
    </comment>
    <comment ref="AC11" authorId="0" shapeId="0">
      <text>
        <t>Sales, FY2022: 2,800. Source: FY2024 Form 10-K (acc. 0001770450-25-000010, xrx-20241231), year ended Dec 31, 2022 column (most recent presentation of FY2022), Consolidated Statements of Income (Loss).</t>
      </text>
    </comment>
    <comment ref="AD11" authorId="0" shapeId="0">
      <text>
        <t>Sales, FY2023: 2,720. Source: FY2025 Form 10-K (acc. 0001770450-26-000009, xrx-20251231), year ended Dec 31, 2023 column (as reclassified in 2025), Consolidated Statements of Income (Loss).</t>
      </text>
    </comment>
    <comment ref="AE11" authorId="0" shapeId="0">
      <text>
        <t>Sales, FY2024: 2,378. Source: FY2025 Form 10-K (acc. 0001770450-26-000009, xrx-20251231), year ended Dec 31, 2024 column (as reclassified in 2025), Consolidated Statements of Income (Loss).</t>
      </text>
    </comment>
    <comment ref="AF11" authorId="0" shapeId="0">
      <text>
        <t>Sales, FY2025: 3,283. Source: FY2025 Form 10-K (acc. 0001770450-26-000009, xrx-20251231), year ended Dec 31, 2025, Consolidated Statements of Income (Loss).</t>
      </text>
    </comment>
    <comment ref="AH11" authorId="0" shapeId="0">
      <text>
        <t>LTM = 3Q'24 + 4Q'24 + 1Q'25 + 2Q'25 (trailing four quarters).</t>
      </text>
    </comment>
    <comment ref="AI11" authorId="0" shapeId="0">
      <text>
        <t>LTM = 3Q'25 + 4Q'25 + 1Q'26 + 2Q'26 (trailing four quarters).</t>
      </text>
    </comment>
    <comment ref="E12" authorId="0" shapeId="0">
      <text>
        <t>Services, maintenance, rentals and other, 1Q'21: 1053+55. As filed: Services, maintenance and rentals 1053 + Financing 55; combined to conform to the 2025 presentation, which folds Financing into this line (FY2025 10-K, Note 1, Segments). Source: 1Q'21 Form 10-Q (acc. 0001770450-21-000025 (xrx-20210331)), Condensed Consolidated Statements of Income (Loss), three months ended Mar 31, 2021.</t>
      </text>
    </comment>
    <comment ref="F12" authorId="0" shapeId="0">
      <text>
        <t>Services, maintenance, rentals and other, 2Q'21: 1067+56. As filed: Services, maintenance and rentals 1067 + Financing 56; combined to conform to the 2025 presentation, which folds Financing into this line (FY2025 10-K, Note 1, Segments). Source: 2Q'21 Form 10-Q (acc. 0001770450-21-000036 (xrx-20210630)), Condensed Consolidated Statements of Income (Loss), three months ended Jun 30, 2021.</t>
      </text>
    </comment>
    <comment ref="G12" authorId="0" shapeId="0">
      <text>
        <t>Services, maintenance, rentals and other, 3Q'21: 1046+55. As filed: Services, maintenance and rentals 1046 + Financing 55; combined to conform to the 2025 presentation, which folds Financing into this line (FY2025 10-K, Note 1, Segments). Source: 3Q'21 Form 10-Q (acc. 0001770450-21-000050 (xrx-20210930)), Condensed Consolidated Statements of Income (Loss), three months ended Sep 30, 2021.</t>
      </text>
    </comment>
    <comment ref="H12" authorId="0" shapeId="0">
      <text>
        <t>4Q'21 derived = FY2021 (10-K) less 1Q-3Q (10-Qs), so the quarters tie to the reported annual.</t>
      </text>
    </comment>
    <comment ref="I12" authorId="0" shapeId="0">
      <text>
        <t>Services, maintenance, rentals and other, 1Q'22: 1023+53. As filed: Services, maintenance and rentals 1023 + Financing 53; combined to conform to the 2025 presentation, which folds Financing into this line (FY2025 10-K, Note 1, Segments). Source: 1Q'22 Form 10-Q (acc. 0001770450-22-000020 (xrx-20220331)), Condensed Consolidated Statements of Income (Loss), three months ended Mar 31, 2022.</t>
      </text>
    </comment>
    <comment ref="J12" authorId="0" shapeId="0">
      <text>
        <t>Services, maintenance, rentals and other, 2Q'22: 1028+52. As filed: Services, maintenance and rentals 1028 + Financing 52; combined to conform to the 2025 presentation, which folds Financing into this line (FY2025 10-K, Note 1, Segments). Source: 2Q'22 Form 10-Q (acc. 0001770450-22-000030 (xrx-20220630)), Condensed Consolidated Statements of Income (Loss), three months ended Jun 30, 2022.</t>
      </text>
    </comment>
    <comment ref="K12" authorId="0" shapeId="0">
      <text>
        <t>Services, maintenance, rentals and other, 3Q'22: 1010+51. As filed: Services, maintenance and rentals 1010 + Financing 51; combined to conform to the 2025 presentation, which folds Financing into this line (FY2025 10-K, Note 1, Segments). Source: 3Q'22 Form 10-Q (acc. 0001770450-22-000041 (xrx-20220930)), Condensed Consolidated Statements of Income (Loss), three months ended Sep 30, 2022.</t>
      </text>
    </comment>
    <comment ref="L12" authorId="0" shapeId="0">
      <text>
        <t>4Q'22 derived = FY2022 (10-K) less 1Q-3Q (10-Qs), so the quarters tie to the reported annual.</t>
      </text>
    </comment>
    <comment ref="M12" authorId="0" shapeId="0">
      <text>
        <t>Services, maintenance, rentals and other, 1Q'23: 1004+52. As filed: Services, maintenance and rentals 1004 + Financing 52; combined to conform to the 2025 presentation, which folds Financing into this line (FY2025 10-K, Note 1, Segments). Source: 1Q'23 Form 10-Q (acc. 0001770450-23-000032 (xrx-20230331)), Condensed Consolidated Statements of Income (Loss), three months ended Mar 31, 2023.</t>
      </text>
    </comment>
    <comment ref="N12" authorId="0" shapeId="0">
      <text>
        <t>Services, maintenance, rentals and other, 2Q'23: 1009+49. As filed: Services, maintenance and rentals 1009 + Financing 49; combined to conform to the 2025 presentation, which folds Financing into this line (FY2025 10-K, Note 1, Segments). Source: 2Q'23 Form 10-Q (acc. 0001770450-23-000042 (xrx-20230630)), Condensed Consolidated Statements of Income (Loss), three months ended Jun 30, 2023.</t>
      </text>
    </comment>
    <comment ref="O12" authorId="0" shapeId="0">
      <text>
        <t>Services, maintenance, rentals and other, 3Q'23: 962+46. As filed: Services, maintenance and rentals 962 + Financing 46; combined to conform to the 2025 presentation, which folds Financing into this line (FY2025 10-K, Note 1, Segments). Source: 3Q'23 Form 10-Q (acc. 0001770450-23-000050 (xrx-20230930)), Condensed Consolidated Statements of Income (Loss), three months ended Sep 30, 2023.</t>
      </text>
    </comment>
    <comment ref="P12" authorId="0" shapeId="0">
      <text>
        <t>4Q'23 derived = FY2023 (10-K) less 1Q-3Q (10-Qs), so the quarters tie to the reported annual.</t>
      </text>
    </comment>
    <comment ref="Q12" authorId="0" shapeId="0">
      <text>
        <t>Services, maintenance, rentals and other, 1Q'24: 979. Source: 1Q'25 Form 10-Q (acc. 0001770450-25-000026 (xrx-20250331)), Condensed Consolidated Statements of Income (Loss), prior-year column, three months ended Mar 31, 2024 (as reclassified to the current presentation).</t>
      </text>
    </comment>
    <comment ref="R12" authorId="0" shapeId="0">
      <text>
        <t>Services, maintenance, rentals and other, 2Q'24: 967. Source: 2Q'25 Form 10-Q (acc. 0001628280-25-038980 (xrx-20250630)), Condensed Consolidated Statements of Income (Loss), prior-year column, three months ended Jun 30, 2024 (as reclassified to the current presentation).</t>
      </text>
    </comment>
    <comment ref="S12" authorId="0" shapeId="0">
      <text>
        <t>Services, maintenance, rentals and other, 3Q'24: 940. Source: 3Q'25 Form 10-Q (acc. 0001770450-25-000037 (xrx-20250930)), Condensed Consolidated Statements of Income (Loss), prior-year column, three months ended Sep 30, 2024 (as reclassified to the current presentation).</t>
      </text>
    </comment>
    <comment ref="T12" authorId="0" shapeId="0">
      <text>
        <t>4Q'24 derived = FY2024 (10-K) less 1Q-3Q (10-Qs), so the quarters tie to the reported annual.</t>
      </text>
    </comment>
    <comment ref="U12" authorId="0" shapeId="0">
      <text>
        <t>Services, maintenance, rentals and other, 1Q'25: 900. Source: 1Q'26 Form 10-Q (acc. 0001770450-26-000030 (xrx-20260331)), Condensed Consolidated Statements of Income (Loss), prior-year column, three months ended Mar 31, 2025 (as reclassified to the current presentation).</t>
      </text>
    </comment>
    <comment ref="V12" authorId="0" shapeId="0">
      <text>
        <t>Services, maintenance, rentals and other, 2Q'25: 911. Source: 2Q'26 Form 10-Q (acc. 0001770450-26-000040 (xrx-20260630)), Condensed Consolidated Statements of Income (Loss), prior-year column, three months ended Jun 30, 2025 (as reclassified to the current presentation).</t>
      </text>
    </comment>
    <comment ref="W12" authorId="0" shapeId="0">
      <text>
        <t>Services, maintenance, rentals and other, 3Q'25: 968. Source: 3Q'25 Form 10-Q (acc. 0001770450-25-000037 (xrx-20250930)), Condensed Consolidated Statements of Income (Loss), three months ended Sep 30, 2025.</t>
      </text>
    </comment>
    <comment ref="X12" authorId="0" shapeId="0">
      <text>
        <t>4Q'25 derived = FY2025 (10-K) less 1Q-3Q (10-Qs), so the quarters tie to the reported annual.</t>
      </text>
    </comment>
    <comment ref="Y12" authorId="0" shapeId="0">
      <text>
        <t>Services, maintenance, rentals and other, 1Q'26: 926. Source: 1Q'26 Form 10-Q (acc. 0001770450-26-000030 (xrx-20260331)), Condensed Consolidated Statements of Income (Loss), three months ended Mar 31, 2026.</t>
      </text>
    </comment>
    <comment ref="Z12" authorId="0" shapeId="0">
      <text>
        <t>Services, maintenance, rentals and other, 2Q'26: 926. Source: 2Q'26 Form 10-Q (acc. 0001770450-26-000040 (xrx-20260630)), Condensed Consolidated Statements of Income (Loss), three months ended Jun 30, 2026.</t>
      </text>
    </comment>
    <comment ref="AB12" authorId="0" shapeId="0">
      <text>
        <t>Services, maintenance, rentals and other, FY2021: 4235+221. As filed: Services, maintenance and rentals 4235 + Financing 221; combined to conform to the 2025 presentation. Source: FY2023 Form 10-K (acc. 0001770450-24-000012, xrx-20231231), year ended Dec 31, 2021 column (most recent presentation of FY2021), Consolidated Statements of Income (Loss).</t>
      </text>
    </comment>
    <comment ref="AC12" authorId="0" shapeId="0">
      <text>
        <t>Services, maintenance, rentals and other, FY2022: 4100+207. As filed: Services, maintenance and rentals 4100 + Financing 207; combined to conform to the 2025 presentation. Source: FY2024 Form 10-K (acc. 0001770450-25-000010, xrx-20241231), year ended Dec 31, 2022 column (most recent presentation of FY2022), Consolidated Statements of Income (Loss).</t>
      </text>
    </comment>
    <comment ref="AD12" authorId="0" shapeId="0">
      <text>
        <t>Services, maintenance, rentals and other, FY2023: 4,166. Source: FY2025 Form 10-K (acc. 0001770450-26-000009, xrx-20251231), year ended Dec 31, 2023 column (as reclassified in 2025), Consolidated Statements of Income (Loss).</t>
      </text>
    </comment>
    <comment ref="AE12" authorId="0" shapeId="0">
      <text>
        <t>Services, maintenance, rentals and other, FY2024: 3,843. Source: FY2025 Form 10-K (acc. 0001770450-26-000009, xrx-20251231), year ended Dec 31, 2024 column (as reclassified in 2025), Consolidated Statements of Income (Loss).</t>
      </text>
    </comment>
    <comment ref="AF12" authorId="0" shapeId="0">
      <text>
        <t>Services, maintenance, rentals and other, FY2025: 3,739. Source: FY2025 Form 10-K (acc. 0001770450-26-000009, xrx-20251231), year ended Dec 31, 2025, Consolidated Statements of Income (Loss).</t>
      </text>
    </comment>
    <comment ref="AH12" authorId="0" shapeId="0">
      <text>
        <t>LTM = 3Q'24 + 4Q'24 + 1Q'25 + 2Q'25 (trailing four quarters).</t>
      </text>
    </comment>
    <comment ref="AI12" authorId="0" shapeId="0">
      <text>
        <t>LTM = 3Q'25 + 4Q'25 + 1Q'26 + 2Q'26 (trailing four quarters).</t>
      </text>
    </comment>
    <comment ref="W13" authorId="0" shapeId="0">
      <text>
        <t>Lexmark acquired July 1, 2025 and consolidated from 3Q'25. Earlier periods exclude Lexmark (as reported, not pro forma).</t>
      </text>
    </comment>
    <comment ref="E14" authorId="0" shapeId="0">
      <text>
        <t>Total revenues (reported), 1Q'21: 1,710. Source: 1Q'21 Form 10-Q (acc. 0001770450-21-000025 (xrx-20210331)), Condensed Consolidated Statements of Income (Loss), three months ended Mar 31, 2021.</t>
      </text>
    </comment>
    <comment ref="F14" authorId="0" shapeId="0">
      <text>
        <t>Total revenues (reported), 2Q'21: 1,793. Source: 2Q'21 Form 10-Q (acc. 0001770450-21-000036 (xrx-20210630)), Condensed Consolidated Statements of Income (Loss), three months ended Jun 30, 2021.</t>
      </text>
    </comment>
    <comment ref="G14" authorId="0" shapeId="0">
      <text>
        <t>Total revenues (reported), 3Q'21: 1,758. Source: 3Q'21 Form 10-Q (acc. 0001770450-21-000050 (xrx-20210930)), Condensed Consolidated Statements of Income (Loss), three months ended Sep 30, 2021.</t>
      </text>
    </comment>
    <comment ref="H14" authorId="0" shapeId="0">
      <text>
        <t>Total revenues (reported), 4Q'21: 1,777. Source: Q4'21 earnings release (8-K Ex. 99.1, filed 2022-01-25), Condensed Consolidated Statements of Income (Loss), three months ended Dec 31, 2021.</t>
      </text>
    </comment>
    <comment ref="I14" authorId="0" shapeId="0">
      <text>
        <t>Total revenues (reported), 1Q'22: 1,668. Source: 1Q'22 Form 10-Q (acc. 0001770450-22-000020 (xrx-20220331)), Condensed Consolidated Statements of Income (Loss), three months ended Mar 31, 2022.</t>
      </text>
    </comment>
    <comment ref="J14" authorId="0" shapeId="0">
      <text>
        <t>Total revenues (reported), 2Q'22: 1,747. Source: 2Q'22 Form 10-Q (acc. 0001770450-22-000030 (xrx-20220630)), Condensed Consolidated Statements of Income (Loss), three months ended Jun 30, 2022.</t>
      </text>
    </comment>
    <comment ref="K14" authorId="0" shapeId="0">
      <text>
        <t>Total revenues (reported), 3Q'22: 1,751. Source: 3Q'22 Form 10-Q (acc. 0001770450-22-000041 (xrx-20220930)), Condensed Consolidated Statements of Income (Loss), three months ended Sep 30, 2022.</t>
      </text>
    </comment>
    <comment ref="L14" authorId="0" shapeId="0">
      <text>
        <t>Total revenues (reported), 4Q'22: 1,941. Source: Q4'22 earnings release (8-K Ex. 99.1, filed 2023-01-26), Condensed Consolidated Statements of Income (Loss), three months ended Dec 31, 2022.</t>
      </text>
    </comment>
    <comment ref="M14" authorId="0" shapeId="0">
      <text>
        <t>Total revenues (reported), 1Q'23: 1,715. Source: 1Q'23 Form 10-Q (acc. 0001770450-23-000032 (xrx-20230331)), Condensed Consolidated Statements of Income (Loss), three months ended Mar 31, 2023.</t>
      </text>
    </comment>
    <comment ref="N14" authorId="0" shapeId="0">
      <text>
        <t>Total revenues (reported), 2Q'23: 1,754. Source: 2Q'23 Form 10-Q (acc. 0001770450-23-000042 (xrx-20230630)), Condensed Consolidated Statements of Income (Loss), three months ended Jun 30, 2023.</t>
      </text>
    </comment>
    <comment ref="O14" authorId="0" shapeId="0">
      <text>
        <t>Total revenues (reported), 3Q'23: 1,652. Source: 3Q'23 Form 10-Q (acc. 0001770450-23-000050 (xrx-20230930)), Condensed Consolidated Statements of Income (Loss), three months ended Sep 30, 2023.</t>
      </text>
    </comment>
    <comment ref="P14" authorId="0" shapeId="0">
      <text>
        <t>Total revenues (reported), 4Q'23: 1,765. Source: Q4'23 earnings release (8-K Ex. 99.1, filed 2024-01-25), Condensed Consolidated Statements of Income (Loss), three months ended Dec 31, 2023.</t>
      </text>
    </comment>
    <comment ref="Q14" authorId="0" shapeId="0">
      <text>
        <t>Total revenues (reported), 1Q'24: 1,502. Source: 1Q'24 Form 10-Q (acc. 0001770450-24-000031 (xrx-20240331)), Condensed Consolidated Statements of Income (Loss), three months ended Mar 31, 2024.</t>
      </text>
    </comment>
    <comment ref="R14" authorId="0" shapeId="0">
      <text>
        <t>Total revenues (reported), 2Q'24: 1,578. Source: 2Q'24 Form 10-Q (acc. 0001770450-24-000042 (xrx-20240630)), Condensed Consolidated Statements of Income (Loss), three months ended Jun 30, 2024.</t>
      </text>
    </comment>
    <comment ref="S14" authorId="0" shapeId="0">
      <text>
        <t>Total revenues (reported), 3Q'24: 1,528. Source: 3Q'24 Form 10-Q (acc. 0001770450-24-000050 (xrx-20240930)), Condensed Consolidated Statements of Income (Loss), three months ended Sep 30, 2024.</t>
      </text>
    </comment>
    <comment ref="T14" authorId="0" shapeId="0">
      <text>
        <t>Total revenues (reported), 4Q'24: 1,613. Source: Q4'24 earnings release (8-K Ex. 99.1, filed 2025-01-28), Condensed Consolidated Statements of Income (Loss), three months ended Dec 31, 2024.</t>
      </text>
    </comment>
    <comment ref="U14" authorId="0" shapeId="0">
      <text>
        <t>Total revenues (reported), 1Q'25: 1,457. Source: 1Q'25 Form 10-Q (acc. 0001770450-25-000026 (xrx-20250331)), Condensed Consolidated Statements of Income (Loss), three months ended Mar 31, 2025.</t>
      </text>
    </comment>
    <comment ref="V14" authorId="0" shapeId="0">
      <text>
        <t>Total revenues (reported), 2Q'25: 1,576. Source: 2Q'25 Form 10-Q (acc. 0001628280-25-038980 (xrx-20250630)), Condensed Consolidated Statements of Income (Loss), three months ended Jun 30, 2025.</t>
      </text>
    </comment>
    <comment ref="W14" authorId="0" shapeId="0">
      <text>
        <t>Total revenues (reported), 3Q'25: 1,961. Source: 3Q'25 Form 10-Q (acc. 0001770450-25-000037 (xrx-20250930)), Condensed Consolidated Statements of Income (Loss), three months ended Sep 30, 2025.</t>
      </text>
    </comment>
    <comment ref="X14" authorId="0" shapeId="0">
      <text>
        <t>Total revenues (reported), 4Q'25: 2,028. Source: Q4'25 earnings release (8-K Ex. 99.1, filed 2026-01-29), Condensed Consolidated Statements of Income (Loss), three months ended Dec 31, 2025.</t>
      </text>
    </comment>
    <comment ref="Y14" authorId="0" shapeId="0">
      <text>
        <t>Total revenues (reported), 1Q'26: 1,846. Source: 1Q'26 Form 10-Q (acc. 0001770450-26-000030 (xrx-20260331)), Condensed Consolidated Statements of Income (Loss), three months ended Mar 31, 2026.</t>
      </text>
    </comment>
    <comment ref="Z14" authorId="0" shapeId="0">
      <text>
        <t>Total revenues (reported), 2Q'26: 1,922. Source: 2Q'26 Form 10-Q (acc. 0001770450-26-000040 (xrx-20260630)), Condensed Consolidated Statements of Income (Loss), three months ended Jun 30, 2026.</t>
      </text>
    </comment>
    <comment ref="AB14" authorId="0" shapeId="0">
      <text>
        <t>Total revenues (reported), FY2021: 7,038. Source: FY2023 Form 10-K (acc. 0001770450-24-000012, xrx-20231231), year ended Dec 31, 2021 column (most recent presentation of FY2021), Consolidated Statements of Income (Loss).</t>
      </text>
    </comment>
    <comment ref="AC14" authorId="0" shapeId="0">
      <text>
        <t>Total revenues (reported), FY2022: 7,107. Source: FY2024 Form 10-K (acc. 0001770450-25-000010, xrx-20241231), year ended Dec 31, 2022 column (most recent presentation of FY2022), Consolidated Statements of Income (Loss).</t>
      </text>
    </comment>
    <comment ref="AD14" authorId="0" shapeId="0">
      <text>
        <t>Total revenues (reported), FY2023: 6,886. Source: FY2025 Form 10-K (acc. 0001770450-26-000009, xrx-20251231), year ended Dec 31, 2023 column (as reclassified in 2025), Consolidated Statements of Income (Loss).</t>
      </text>
    </comment>
    <comment ref="AE14" authorId="0" shapeId="0">
      <text>
        <t>Total revenues (reported), FY2024: 6,221. Source: FY2025 Form 10-K (acc. 0001770450-26-000009, xrx-20251231), year ended Dec 31, 2024 column (as reclassified in 2025), Consolidated Statements of Income (Loss).</t>
      </text>
    </comment>
    <comment ref="AF14" authorId="0" shapeId="0">
      <text>
        <t>Total revenues (reported), FY2025: 7,022. Source: FY2025 Form 10-K (acc. 0001770450-26-000009, xrx-20251231), year ended Dec 31, 2025, Consolidated Statements of Income (Loss).</t>
      </text>
    </comment>
    <comment ref="E17" authorId="0" shapeId="0">
      <text>
        <t>Cost of sales, 1Q'21: 420. Source: 1Q'21 Form 10-Q (acc. 0001770450-21-000025 (xrx-20210331)), Condensed Consolidated Statements of Income (Loss), three months ended Mar 31, 2021.</t>
      </text>
    </comment>
    <comment ref="F17" authorId="0" shapeId="0">
      <text>
        <t>Cost of sales, 2Q'21: 468. Source: 2Q'21 Form 10-Q (acc. 0001770450-21-000036 (xrx-20210630)), Condensed Consolidated Statements of Income (Loss), three months ended Jun 30, 2021.</t>
      </text>
    </comment>
    <comment ref="G17" authorId="0" shapeId="0">
      <text>
        <t>Cost of sales, 3Q'21: 498. Source: 3Q'21 Form 10-Q (acc. 0001770450-21-000050 (xrx-20210930)), Condensed Consolidated Statements of Income (Loss), three months ended Sep 30, 2021.</t>
      </text>
    </comment>
    <comment ref="H17" authorId="0" shapeId="0">
      <text>
        <t>4Q'21 derived = FY2021 (10-K) less 1Q-3Q (10-Qs), so the quarters tie to the reported annual.</t>
      </text>
    </comment>
    <comment ref="I17" authorId="0" shapeId="0">
      <text>
        <t>Cost of sales, 1Q'22: 435. Source: 1Q'22 Form 10-Q (acc. 0001770450-22-000020 (xrx-20220331)), Condensed Consolidated Statements of Income (Loss), three months ended Mar 31, 2022.</t>
      </text>
    </comment>
    <comment ref="J17" authorId="0" shapeId="0">
      <text>
        <t>Cost of sales, 2Q'22: 487. Source: 2Q'22 Form 10-Q (acc. 0001770450-22-000030 (xrx-20220630)), Condensed Consolidated Statements of Income (Loss), three months ended Jun 30, 2022.</t>
      </text>
    </comment>
    <comment ref="K17" authorId="0" shapeId="0">
      <text>
        <t>Cost of sales, 3Q'22: 508. Source: 3Q'22 Form 10-Q (acc. 0001770450-22-000041 (xrx-20220930)), Condensed Consolidated Statements of Income (Loss), three months ended Sep 30, 2022.</t>
      </text>
    </comment>
    <comment ref="L17" authorId="0" shapeId="0">
      <text>
        <t>4Q'22 derived = FY2022 (10-K) less 1Q-3Q (10-Qs), so the quarters tie to the reported annual.</t>
      </text>
    </comment>
    <comment ref="M17" authorId="0" shapeId="0">
      <text>
        <t>Cost of sales, 1Q'23: 425. Source: 1Q'23 Form 10-Q (acc. 0001770450-23-000032 (xrx-20230331)), Condensed Consolidated Statements of Income (Loss), three months ended Mar 31, 2023.</t>
      </text>
    </comment>
    <comment ref="N17" authorId="0" shapeId="0">
      <text>
        <t>Cost of sales, 2Q'23: 452. Source: 2Q'23 Form 10-Q (acc. 0001770450-23-000042 (xrx-20230630)), Condensed Consolidated Statements of Income (Loss), three months ended Jun 30, 2023.</t>
      </text>
    </comment>
    <comment ref="O17" authorId="0" shapeId="0">
      <text>
        <t>Cost of sales, 3Q'23: 435. Source: 3Q'23 Form 10-Q (acc. 0001770450-23-000050 (xrx-20230930)), Condensed Consolidated Statements of Income (Loss), three months ended Sep 30, 2023.</t>
      </text>
    </comment>
    <comment ref="P17" authorId="0" shapeId="0">
      <text>
        <t>4Q'23 derived = FY2023 (10-K) less 1Q-3Q (10-Qs), so the quarters tie to the reported annual.</t>
      </text>
    </comment>
    <comment ref="Q17" authorId="0" shapeId="0">
      <text>
        <t>Cost of sales, 1Q'24: 340. Source: 1Q'25 Form 10-Q (acc. 0001770450-25-000026 (xrx-20250331)), Condensed Consolidated Statements of Income (Loss), prior-year column, three months ended Mar 31, 2024 (as reclassified to the current presentation).</t>
      </text>
    </comment>
    <comment ref="R17" authorId="0" shapeId="0">
      <text>
        <t>Cost of sales, 2Q'24: 387. Source: 2Q'25 Form 10-Q (acc. 0001628280-25-038980 (xrx-20250630)), Condensed Consolidated Statements of Income (Loss), prior-year column, three months ended Jun 30, 2024 (as reclassified to the current presentation).</t>
      </text>
    </comment>
    <comment ref="S17" authorId="0" shapeId="0">
      <text>
        <t>Cost of sales, 3Q'24: 390. Source: 3Q'25 Form 10-Q (acc. 0001770450-25-000037 (xrx-20250930)), Condensed Consolidated Statements of Income (Loss), prior-year column, three months ended Sep 30, 2024 (as reclassified to the current presentation).</t>
      </text>
    </comment>
    <comment ref="T17" authorId="0" shapeId="0">
      <text>
        <t>4Q'24 derived = FY2024 (10-K) less 1Q-3Q (10-Qs), so the quarters tie to the reported annual.</t>
      </text>
    </comment>
    <comment ref="U17" authorId="0" shapeId="0">
      <text>
        <t>Cost of sales, 1Q'25: 382. Source: 1Q'26 Form 10-Q (acc. 0001770450-26-000030 (xrx-20260331)), Condensed Consolidated Statements of Income (Loss), prior-year column, three months ended Mar 31, 2025 (as reclassified to the current presentation).</t>
      </text>
    </comment>
    <comment ref="V17" authorId="0" shapeId="0">
      <text>
        <t>Cost of sales, 2Q'25: 480. Source: 2Q'26 Form 10-Q (acc. 0001770450-26-000040 (xrx-20260630)), Condensed Consolidated Statements of Income (Loss), prior-year column, three months ended Jun 30, 2025 (as reclassified to the current presentation).</t>
      </text>
    </comment>
    <comment ref="W17" authorId="0" shapeId="0">
      <text>
        <t>Cost of sales, 3Q'25: 788. Source: 3Q'25 Form 10-Q (acc. 0001770450-25-000037 (xrx-20250930)), Condensed Consolidated Statements of Income (Loss), three months ended Sep 30, 2025.</t>
      </text>
    </comment>
    <comment ref="X17" authorId="0" shapeId="0">
      <text>
        <t>4Q'25 derived = FY2025 (10-K) less 1Q-3Q (10-Qs), so the quarters tie to the reported annual.</t>
      </text>
    </comment>
    <comment ref="Y17" authorId="0" shapeId="0">
      <text>
        <t>Cost of sales, 1Q'26: 600. Source: 1Q'26 Form 10-Q (acc. 0001770450-26-000030 (xrx-20260331)), Condensed Consolidated Statements of Income (Loss), three months ended Mar 31, 2026.</t>
      </text>
    </comment>
    <comment ref="Z17" authorId="0" shapeId="0">
      <text>
        <t>Cost of sales, 2Q'26: 579. Source: 2Q'26 Form 10-Q (acc. 0001770450-26-000040 (xrx-20260630)), Condensed Consolidated Statements of Income (Loss), three months ended Jun 30, 2026.</t>
      </text>
    </comment>
    <comment ref="AB17" authorId="0" shapeId="0">
      <text>
        <t>Cost of sales, FY2021: 1,862. Source: FY2023 Form 10-K (acc. 0001770450-24-000012, xrx-20231231), year ended Dec 31, 2021 column (most recent presentation of FY2021), Consolidated Statements of Income (Loss).</t>
      </text>
    </comment>
    <comment ref="AC17" authorId="0" shapeId="0">
      <text>
        <t>Cost of sales, FY2022: 2,002. Source: FY2024 Form 10-K (acc. 0001770450-25-000010, xrx-20241231), year ended Dec 31, 2022 column (most recent presentation of FY2022), Consolidated Statements of Income (Loss).</t>
      </text>
    </comment>
    <comment ref="AD17" authorId="0" shapeId="0">
      <text>
        <t>Cost of sales, FY2023: 1,778. Source: FY2025 Form 10-K (acc. 0001770450-26-000009, xrx-20251231), year ended Dec 31, 2023 column (as reclassified in 2025), Consolidated Statements of Income (Loss).</t>
      </text>
    </comment>
    <comment ref="AE17" authorId="0" shapeId="0">
      <text>
        <t>Cost of sales, FY2024: 1,562. Source: FY2025 Form 10-K (acc. 0001770450-26-000009, xrx-20251231), year ended Dec 31, 2024 column (as reclassified in 2025), Consolidated Statements of Income (Loss).</t>
      </text>
    </comment>
    <comment ref="AF17" authorId="0" shapeId="0">
      <text>
        <t>Cost of sales, FY2025: 2,367. Source: FY2025 Form 10-K (acc. 0001770450-26-000009, xrx-20251231), year ended Dec 31, 2025, Consolidated Statements of Income (Loss).</t>
      </text>
    </comment>
    <comment ref="AH17" authorId="0" shapeId="0">
      <text>
        <t>LTM = 3Q'24 + 4Q'24 + 1Q'25 + 2Q'25 (trailing four quarters).</t>
      </text>
    </comment>
    <comment ref="AI17" authorId="0" shapeId="0">
      <text>
        <t>LTM = 3Q'25 + 4Q'25 + 1Q'26 + 2Q'26 (trailing four quarters).</t>
      </text>
    </comment>
    <comment ref="E18" authorId="0" shapeId="0">
      <text>
        <t>Cost of services, maintenance, rentals and other, 1Q'21: 651+28. As filed: Cost of services, maintenance and rentals 651 + Cost of financing 28; combined to conform to the 2025 presentation. Source: 1Q'21 Form 10-Q (acc. 0001770450-21-000025 (xrx-20210331)), Condensed Consolidated Statements of Income (Loss), three months ended Mar 31, 2021.</t>
      </text>
    </comment>
    <comment ref="F18" authorId="0" shapeId="0">
      <text>
        <t>Cost of services, maintenance, rentals and other, 2Q'21: 658+28. As filed: Cost of services, maintenance and rentals 658 + Cost of financing 28; combined to conform to the 2025 presentation. Source: 2Q'21 Form 10-Q (acc. 0001770450-21-000036 (xrx-20210630)), Condensed Consolidated Statements of Income (Loss), three months ended Jun 30, 2021.</t>
      </text>
    </comment>
    <comment ref="G18" authorId="0" shapeId="0">
      <text>
        <t>Cost of services, maintenance, rentals and other, 3Q'21: 662+29. As filed: Cost of services, maintenance and rentals 662 + Cost of financing 29; combined to conform to the 2025 presentation. Source: 3Q'21 Form 10-Q (acc. 0001770450-21-000050 (xrx-20210930)), Condensed Consolidated Statements of Income (Loss), three months ended Sep 30, 2021.</t>
      </text>
    </comment>
    <comment ref="H18" authorId="0" shapeId="0">
      <text>
        <t>4Q'21 derived = FY2021 (10-K) less 1Q-3Q (10-Qs), so the quarters tie to the reported annual.</t>
      </text>
    </comment>
    <comment ref="I18" authorId="0" shapeId="0">
      <text>
        <t>Cost of services, maintenance, rentals and other, 1Q'22: 679+24. As filed: Cost of services, maintenance and rentals 679 + Cost of financing 24; combined to conform to the 2025 presentation. Source: 1Q'22 Form 10-Q (acc. 0001770450-22-000020 (xrx-20220331)), Condensed Consolidated Statements of Income (Loss), three months ended Mar 31, 2022.</t>
      </text>
    </comment>
    <comment ref="J18" authorId="0" shapeId="0">
      <text>
        <t>Cost of services, maintenance, rentals and other, 2Q'22: 677+26. As filed: Cost of services, maintenance and rentals 677 + Cost of financing 26; combined to conform to the 2025 presentation. Source: 2Q'22 Form 10-Q (acc. 0001770450-22-000030 (xrx-20220630)), Condensed Consolidated Statements of Income (Loss), three months ended Jun 30, 2022.</t>
      </text>
    </comment>
    <comment ref="K18" authorId="0" shapeId="0">
      <text>
        <t>Cost of services, maintenance, rentals and other, 3Q'22: 659+28. As filed: Cost of services, maintenance and rentals 659 + Cost of financing 28; combined to conform to the 2025 presentation. Source: 3Q'22 Form 10-Q (acc. 0001770450-22-000041 (xrx-20220930)), Condensed Consolidated Statements of Income (Loss), three months ended Sep 30, 2022.</t>
      </text>
    </comment>
    <comment ref="L18" authorId="0" shapeId="0">
      <text>
        <t>4Q'22 derived = FY2022 (10-K) less 1Q-3Q (10-Qs), so the quarters tie to the reported annual.</t>
      </text>
    </comment>
    <comment ref="M18" authorId="0" shapeId="0">
      <text>
        <t>Cost of services, maintenance, rentals and other, 1Q'23: 665+36. As filed: Cost of services, maintenance and rentals 665 + Cost of financing 36; combined to conform to the 2025 presentation. Source: 1Q'23 Form 10-Q (acc. 0001770450-23-000032 (xrx-20230331)), Condensed Consolidated Statements of Income (Loss), three months ended Mar 31, 2023.</t>
      </text>
    </comment>
    <comment ref="N18" authorId="0" shapeId="0">
      <text>
        <t>Cost of services, maintenance, rentals and other, 2Q'23: 671+34. As filed: Cost of services, maintenance and rentals 671 + Cost of financing 34; combined to conform to the 2025 presentation. Source: 2Q'23 Form 10-Q (acc. 0001770450-23-000042 (xrx-20230630)), Condensed Consolidated Statements of Income (Loss), three months ended Jun 30, 2023.</t>
      </text>
    </comment>
    <comment ref="O18" authorId="0" shapeId="0">
      <text>
        <t>Cost of services, maintenance, rentals and other, 3Q'23: 651+30. As filed: Cost of services, maintenance and rentals 651 + Cost of financing 30; combined to conform to the 2025 presentation. Source: 3Q'23 Form 10-Q (acc. 0001770450-23-000050 (xrx-20230930)), Condensed Consolidated Statements of Income (Loss), three months ended Sep 30, 2023.</t>
      </text>
    </comment>
    <comment ref="P18" authorId="0" shapeId="0">
      <text>
        <t>4Q'23 derived = FY2023 (10-K) less 1Q-3Q (10-Qs), so the quarters tie to the reported annual.</t>
      </text>
    </comment>
    <comment ref="Q18" authorId="0" shapeId="0">
      <text>
        <t>Cost of services, maintenance, rentals and other, 1Q'24: 719. Source: 1Q'25 Form 10-Q (acc. 0001770450-25-000026 (xrx-20250331)), Condensed Consolidated Statements of Income (Loss), prior-year column, three months ended Mar 31, 2024 (as reclassified to the current presentation).</t>
      </text>
    </comment>
    <comment ref="R18" authorId="0" shapeId="0">
      <text>
        <t>Cost of services, maintenance, rentals and other, 2Q'24: 671. Source: 2Q'25 Form 10-Q (acc. 0001628280-25-038980 (xrx-20250630)), Condensed Consolidated Statements of Income (Loss), prior-year column, three months ended Jun 30, 2024 (as reclassified to the current presentation).</t>
      </text>
    </comment>
    <comment ref="S18" authorId="0" shapeId="0">
      <text>
        <t>Cost of services, maintenance, rentals and other, 3Q'24: 643. Source: 3Q'25 Form 10-Q (acc. 0001770450-25-000037 (xrx-20250930)), Condensed Consolidated Statements of Income (Loss), prior-year column, three months ended Sep 30, 2024 (as reclassified to the current presentation).</t>
      </text>
    </comment>
    <comment ref="T18" authorId="0" shapeId="0">
      <text>
        <t>4Q'24 derived = FY2024 (10-K) less 1Q-3Q (10-Qs), so the quarters tie to the reported annual.</t>
      </text>
    </comment>
    <comment ref="U18" authorId="0" shapeId="0">
      <text>
        <t>Cost of services, maintenance, rentals and other, 1Q'25: 649. Source: 1Q'26 Form 10-Q (acc. 0001770450-26-000030 (xrx-20260331)), Condensed Consolidated Statements of Income (Loss), prior-year column, three months ended Mar 31, 2025 (as reclassified to the current presentation).</t>
      </text>
    </comment>
    <comment ref="V18" authorId="0" shapeId="0">
      <text>
        <t>Cost of services, maintenance, rentals and other, 2Q'25: 645. Source: 2Q'26 Form 10-Q (acc. 0001770450-26-000040 (xrx-20260630)), Condensed Consolidated Statements of Income (Loss), prior-year column, three months ended Jun 30, 2025 (as reclassified to the current presentation).</t>
      </text>
    </comment>
    <comment ref="W18" authorId="0" shapeId="0">
      <text>
        <t>Cost of services, maintenance, rentals and other, 3Q'25: 728. Source: 3Q'25 Form 10-Q (acc. 0001770450-25-000037 (xrx-20250930)), Condensed Consolidated Statements of Income (Loss), three months ended Sep 30, 2025.</t>
      </text>
    </comment>
    <comment ref="X18" authorId="0" shapeId="0">
      <text>
        <t>4Q'25 derived = FY2025 (10-K) less 1Q-3Q (10-Qs), so the quarters tie to the reported annual.</t>
      </text>
    </comment>
    <comment ref="Y18" authorId="0" shapeId="0">
      <text>
        <t>Cost of services, maintenance, rentals and other, 1Q'26: 697. Source: 1Q'26 Form 10-Q (acc. 0001770450-26-000030 (xrx-20260331)), Condensed Consolidated Statements of Income (Loss), three months ended Mar 31, 2026.</t>
      </text>
    </comment>
    <comment ref="Z18" authorId="0" shapeId="0">
      <text>
        <t>Cost of services, maintenance, rentals and other, 2Q'26: 655. Source: 2Q'26 Form 10-Q (acc. 0001770450-26-000040 (xrx-20260630)), Condensed Consolidated Statements of Income (Loss), three months ended Jun 30, 2026.</t>
      </text>
    </comment>
    <comment ref="AB18" authorId="0" shapeId="0">
      <text>
        <t>Cost of services, maintenance, rentals and other, FY2021: 2662+111. As filed: Cost of services, maintenance and rentals 2662 + Cost of financing 111; combined to conform to the 2025 presentation. Source: FY2023 Form 10-K (acc. 0001770450-24-000012, xrx-20231231), year ended Dec 31, 2021 column (most recent presentation of FY2021).</t>
      </text>
    </comment>
    <comment ref="AC18" authorId="0" shapeId="0">
      <text>
        <t>Cost of services, maintenance, rentals and other, FY2022: 2679+108. As filed: Cost of services, maintenance and rentals 2679 + Cost of financing 108; combined to conform to the 2025 presentation. Source: FY2024 Form 10-K (acc. 0001770450-25-000010, xrx-20241231), year ended Dec 31, 2022 column (most recent presentation of FY2022).</t>
      </text>
    </comment>
    <comment ref="AD18" authorId="0" shapeId="0">
      <text>
        <t>Cost of services, maintenance, rentals and other, FY2023: 2,794. Source: FY2025 Form 10-K (acc. 0001770450-26-000009, xrx-20251231), year ended Dec 31, 2023 column (as reclassified in 2025), Consolidated Statements of Income (Loss).</t>
      </text>
    </comment>
    <comment ref="AE18" authorId="0" shapeId="0">
      <text>
        <t>Cost of services, maintenance, rentals and other, FY2024: 2,699. Source: FY2025 Form 10-K (acc. 0001770450-26-000009, xrx-20251231), year ended Dec 31, 2024 column (as reclassified in 2025), Consolidated Statements of Income (Loss).</t>
      </text>
    </comment>
    <comment ref="AF18" authorId="0" shapeId="0">
      <text>
        <t>Cost of services, maintenance, rentals and other, FY2025: 2,754. Source: FY2025 Form 10-K (acc. 0001770450-26-000009, xrx-20251231), year ended Dec 31, 2025, Consolidated Statements of Income (Loss).</t>
      </text>
    </comment>
    <comment ref="AH18" authorId="0" shapeId="0">
      <text>
        <t>LTM = 3Q'24 + 4Q'24 + 1Q'25 + 2Q'25 (trailing four quarters).</t>
      </text>
    </comment>
    <comment ref="AI18" authorId="0" shapeId="0">
      <text>
        <t>LTM = 3Q'25 + 4Q'25 + 1Q'26 + 2Q'26 (trailing four quarters).</t>
      </text>
    </comment>
    <comment ref="E22" authorId="0" shapeId="0">
      <text>
        <t>Research, development and engineering expenses, 1Q'21: 74. Source: 1Q'21 Form 10-Q (acc. 0001770450-21-000025 (xrx-20210331)), Condensed Consolidated Statements of Income (Loss), three months ended Mar 31, 2021.</t>
      </text>
    </comment>
    <comment ref="F22" authorId="0" shapeId="0">
      <text>
        <t>Research, development and engineering expenses, 2Q'21: 79. Source: 2Q'21 Form 10-Q (acc. 0001770450-21-000036 (xrx-20210630)), Condensed Consolidated Statements of Income (Loss), three months ended Jun 30, 2021.</t>
      </text>
    </comment>
    <comment ref="G22" authorId="0" shapeId="0">
      <text>
        <t>Research, development and engineering expenses, 3Q'21: 82. Source: 3Q'21 Form 10-Q (acc. 0001770450-21-000050 (xrx-20210930)), Condensed Consolidated Statements of Income (Loss), three months ended Sep 30, 2021.</t>
      </text>
    </comment>
    <comment ref="H22" authorId="0" shapeId="0">
      <text>
        <t>4Q'21 derived = FY2021 (10-K) less 1Q-3Q (10-Qs), so the quarters tie to the reported annual.</t>
      </text>
    </comment>
    <comment ref="I22" authorId="0" shapeId="0">
      <text>
        <t>Research, development and engineering expenses, 1Q'22: 78. Source: 1Q'22 Form 10-Q (acc. 0001770450-22-000020 (xrx-20220331)), Condensed Consolidated Statements of Income (Loss), three months ended Mar 31, 2022.</t>
      </text>
    </comment>
    <comment ref="J22" authorId="0" shapeId="0">
      <text>
        <t>Research, development and engineering expenses, 2Q'22: 84. Source: 2Q'22 Form 10-Q (acc. 0001770450-22-000030 (xrx-20220630)), Condensed Consolidated Statements of Income (Loss), three months ended Jun 30, 2022.</t>
      </text>
    </comment>
    <comment ref="K22" authorId="0" shapeId="0">
      <text>
        <t>Research, development and engineering expenses, 3Q'22: 73. Source: 3Q'22 Form 10-Q (acc. 0001770450-22-000041 (xrx-20220930)), Condensed Consolidated Statements of Income (Loss), three months ended Sep 30, 2022.</t>
      </text>
    </comment>
    <comment ref="L22" authorId="0" shapeId="0">
      <text>
        <t>4Q'22 derived = FY2022 (10-K) less 1Q-3Q (10-Qs), so the quarters tie to the reported annual.</t>
      </text>
    </comment>
    <comment ref="M22" authorId="0" shapeId="0">
      <text>
        <t>Research, development and engineering expenses, 1Q'23: 64. Source: 1Q'23 Form 10-Q (acc. 0001770450-23-000032 (xrx-20230331)), Condensed Consolidated Statements of Income (Loss), three months ended Mar 31, 2023.</t>
      </text>
    </comment>
    <comment ref="N22" authorId="0" shapeId="0">
      <text>
        <t>Research, development and engineering expenses, 2Q'23: 57. Source: 2Q'23 Form 10-Q (acc. 0001770450-23-000042 (xrx-20230630)), Condensed Consolidated Statements of Income (Loss), three months ended Jun 30, 2023.</t>
      </text>
    </comment>
    <comment ref="O22" authorId="0" shapeId="0">
      <text>
        <t>Research, development and engineering expenses, 3Q'23: 52. Source: 3Q'23 Form 10-Q (acc. 0001770450-23-000050 (xrx-20230930)), Condensed Consolidated Statements of Income (Loss), three months ended Sep 30, 2023.</t>
      </text>
    </comment>
    <comment ref="P22" authorId="0" shapeId="0">
      <text>
        <t>4Q'23 derived = FY2023 (10-K) less 1Q-3Q (10-Qs), so the quarters tie to the reported annual.</t>
      </text>
    </comment>
    <comment ref="Q22" authorId="0" shapeId="0">
      <text>
        <t>Research, development and engineering expenses, 1Q'24: 49. Source: 1Q'25 Form 10-Q (acc. 0001770450-25-000026 (xrx-20250331)), Condensed Consolidated Statements of Income (Loss), prior-year column, three months ended Mar 31, 2024 (as reclassified to the current presentation).</t>
      </text>
    </comment>
    <comment ref="R22" authorId="0" shapeId="0">
      <text>
        <t>Research, development and engineering expenses, 2Q'24: 50. Source: 2Q'25 Form 10-Q (acc. 0001628280-25-038980 (xrx-20250630)), Condensed Consolidated Statements of Income (Loss), prior-year column, three months ended Jun 30, 2024 (as reclassified to the current presentation).</t>
      </text>
    </comment>
    <comment ref="S22" authorId="0" shapeId="0">
      <text>
        <t>Research, development and engineering expenses, 3Q'24: 45. Source: 3Q'25 Form 10-Q (acc. 0001770450-25-000037 (xrx-20250930)), Condensed Consolidated Statements of Income (Loss), prior-year column, three months ended Sep 30, 2024 (as reclassified to the current presentation).</t>
      </text>
    </comment>
    <comment ref="T22" authorId="0" shapeId="0">
      <text>
        <t>4Q'24 derived = FY2024 (10-K) less 1Q-3Q (10-Qs), so the quarters tie to the reported annual.</t>
      </text>
    </comment>
    <comment ref="U22" authorId="0" shapeId="0">
      <text>
        <t>Research, development and engineering expenses, 1Q'25: 42. Source: 1Q'26 Form 10-Q (acc. 0001770450-26-000030 (xrx-20260331)), Condensed Consolidated Statements of Income (Loss), prior-year column, three months ended Mar 31, 2025 (as reclassified to the current presentation).</t>
      </text>
    </comment>
    <comment ref="V22" authorId="0" shapeId="0">
      <text>
        <t>Research, development and engineering expenses, 2Q'25: 43. Source: 2Q'26 Form 10-Q (acc. 0001770450-26-000040 (xrx-20260630)), Condensed Consolidated Statements of Income (Loss), prior-year column, three months ended Jun 30, 2025 (as reclassified to the current presentation).</t>
      </text>
    </comment>
    <comment ref="W22" authorId="0" shapeId="0">
      <text>
        <t>Research, development and engineering expenses, 3Q'25: 74. Source: 3Q'25 Form 10-Q (acc. 0001770450-25-000037 (xrx-20250930)), Condensed Consolidated Statements of Income (Loss), three months ended Sep 30, 2025.</t>
      </text>
    </comment>
    <comment ref="X22" authorId="0" shapeId="0">
      <text>
        <t>4Q'25 derived = FY2025 (10-K) less 1Q-3Q (10-Qs), so the quarters tie to the reported annual.</t>
      </text>
    </comment>
    <comment ref="Y22" authorId="0" shapeId="0">
      <text>
        <t>Research, development and engineering expenses, 1Q'26: 64. Source: 1Q'26 Form 10-Q (acc. 0001770450-26-000030 (xrx-20260331)), Condensed Consolidated Statements of Income (Loss), three months ended Mar 31, 2026.</t>
      </text>
    </comment>
    <comment ref="Z22" authorId="0" shapeId="0">
      <text>
        <t>Research, development and engineering expenses, 2Q'26: 67. Source: 2Q'26 Form 10-Q (acc. 0001770450-26-000040 (xrx-20260630)), Condensed Consolidated Statements of Income (Loss), three months ended Jun 30, 2026.</t>
      </text>
    </comment>
    <comment ref="AB22" authorId="0" shapeId="0">
      <text>
        <t>Research, development and engineering expenses, FY2021: 310. Source: FY2023 Form 10-K (acc. 0001770450-24-000012, xrx-20231231), year ended Dec 31, 2021 column (most recent presentation of FY2021), Consolidated Statements of Income (Loss).</t>
      </text>
    </comment>
    <comment ref="AC22" authorId="0" shapeId="0">
      <text>
        <t>Research, development and engineering expenses, FY2022: 304. Source: FY2024 Form 10-K (acc. 0001770450-25-000010, xrx-20241231), year ended Dec 31, 2022 column (most recent presentation of FY2022), Consolidated Statements of Income (Loss).</t>
      </text>
    </comment>
    <comment ref="AD22" authorId="0" shapeId="0">
      <text>
        <t>Research, development and engineering expenses, FY2023: 229. Source: FY2025 Form 10-K (acc. 0001770450-26-000009, xrx-20251231), year ended Dec 31, 2023 column (as reclassified in 2025), Consolidated Statements of Income (Loss).</t>
      </text>
    </comment>
    <comment ref="AE22" authorId="0" shapeId="0">
      <text>
        <t>Research, development and engineering expenses, FY2024: 191. Source: FY2025 Form 10-K (acc. 0001770450-26-000009, xrx-20251231), year ended Dec 31, 2024 column (as reclassified in 2025), Consolidated Statements of Income (Loss).</t>
      </text>
    </comment>
    <comment ref="AF22" authorId="0" shapeId="0">
      <text>
        <t>Research, development and engineering expenses, FY2025: 230. Source: FY2025 Form 10-K (acc. 0001770450-26-000009, xrx-20251231), year ended Dec 31, 2025, Consolidated Statements of Income (Loss).</t>
      </text>
    </comment>
    <comment ref="AH22" authorId="0" shapeId="0">
      <text>
        <t>LTM = 3Q'24 + 4Q'24 + 1Q'25 + 2Q'25 (trailing four quarters).</t>
      </text>
    </comment>
    <comment ref="AI22" authorId="0" shapeId="0">
      <text>
        <t>LTM = 3Q'25 + 4Q'25 + 1Q'26 + 2Q'26 (trailing four quarters).</t>
      </text>
    </comment>
    <comment ref="E23" authorId="0" shapeId="0">
      <text>
        <t>Selling, administrative and general expenses, 1Q'21: 448. Source: 1Q'21 Form 10-Q (acc. 0001770450-21-000025 (xrx-20210331)), Condensed Consolidated Statements of Income (Loss), three months ended Mar 31, 2021.</t>
      </text>
    </comment>
    <comment ref="F23" authorId="0" shapeId="0">
      <text>
        <t>Selling, administrative and general expenses, 2Q'21: 434. Source: 2Q'21 Form 10-Q (acc. 0001770450-21-000036 (xrx-20210630)), Condensed Consolidated Statements of Income (Loss), three months ended Jun 30, 2021.</t>
      </text>
    </comment>
    <comment ref="G23" authorId="0" shapeId="0">
      <text>
        <t>Selling, administrative and general expenses, 3Q'21: 413. Source: 3Q'21 Form 10-Q (acc. 0001770450-21-000050 (xrx-20210930)), Condensed Consolidated Statements of Income (Loss), three months ended Sep 30, 2021.</t>
      </text>
    </comment>
    <comment ref="H23" authorId="0" shapeId="0">
      <text>
        <t>4Q'21 derived = FY2021 (10-K) less 1Q-3Q (10-Qs), so the quarters tie to the reported annual.</t>
      </text>
    </comment>
    <comment ref="I23" authorId="0" shapeId="0">
      <text>
        <t>Selling, administrative and general expenses, 1Q'22: 455. Source: 1Q'22 Form 10-Q (acc. 0001770450-22-000020 (xrx-20220331)), Condensed Consolidated Statements of Income (Loss), three months ended Mar 31, 2022.</t>
      </text>
    </comment>
    <comment ref="J23" authorId="0" shapeId="0">
      <text>
        <t>Selling, administrative and general expenses, 2Q'22: 459. Source: 2Q'22 Form 10-Q (acc. 0001770450-22-000030 (xrx-20220630)), Condensed Consolidated Statements of Income (Loss), three months ended Jun 30, 2022.</t>
      </text>
    </comment>
    <comment ref="K23" authorId="0" shapeId="0">
      <text>
        <t>Selling, administrative and general expenses, 3Q'22: 418. Source: 3Q'22 Form 10-Q (acc. 0001770450-22-000041 (xrx-20220930)), Condensed Consolidated Statements of Income (Loss), three months ended Sep 30, 2022.</t>
      </text>
    </comment>
    <comment ref="L23" authorId="0" shapeId="0">
      <text>
        <t>4Q'22 derived = FY2022 (10-K) less 1Q-3Q (10-Qs), so the quarters tie to the reported annual.</t>
      </text>
    </comment>
    <comment ref="M23" authorId="0" shapeId="0">
      <text>
        <t>Selling, administrative and general expenses, 1Q'23: 407. Source: 1Q'23 Form 10-Q (acc. 0001770450-23-000032 (xrx-20230331)), Condensed Consolidated Statements of Income (Loss), three months ended Mar 31, 2023.</t>
      </text>
    </comment>
    <comment ref="N23" authorId="0" shapeId="0">
      <text>
        <t>Selling, administrative and general expenses, 2Q'23: 433. Source: 2Q'23 Form 10-Q (acc. 0001770450-23-000042 (xrx-20230630)), Condensed Consolidated Statements of Income (Loss), three months ended Jun 30, 2023.</t>
      </text>
    </comment>
    <comment ref="O23" authorId="0" shapeId="0">
      <text>
        <t>Selling, administrative and general expenses, 3Q'23: 416. Source: 3Q'23 Form 10-Q (acc. 0001770450-23-000050 (xrx-20230930)), Condensed Consolidated Statements of Income (Loss), three months ended Sep 30, 2023.</t>
      </text>
    </comment>
    <comment ref="P23" authorId="0" shapeId="0">
      <text>
        <t>4Q'23 derived = FY2023 (10-K) less 1Q-3Q (10-Qs), so the quarters tie to the reported annual.</t>
      </text>
    </comment>
    <comment ref="Q23" authorId="0" shapeId="0">
      <text>
        <t>Selling, administrative and general expenses, 1Q'24: 397. Source: 1Q'25 Form 10-Q (acc. 0001770450-25-000026 (xrx-20250331)), Condensed Consolidated Statements of Income (Loss), prior-year column, three months ended Mar 31, 2024 (as reclassified to the current presentation).</t>
      </text>
    </comment>
    <comment ref="R23" authorId="0" shapeId="0">
      <text>
        <t>Selling, administrative and general expenses, 2Q'24: 393. Source: 2Q'25 Form 10-Q (acc. 0001628280-25-038980 (xrx-20250630)), Condensed Consolidated Statements of Income (Loss), prior-year column, three months ended Jun 30, 2024 (as reclassified to the current presentation).</t>
      </text>
    </comment>
    <comment ref="S23" authorId="0" shapeId="0">
      <text>
        <t>Selling, administrative and general expenses, 3Q'24: 370. Source: 3Q'25 Form 10-Q (acc. 0001770450-25-000037 (xrx-20250930)), Condensed Consolidated Statements of Income (Loss), prior-year column, three months ended Sep 30, 2024 (as reclassified to the current presentation).</t>
      </text>
    </comment>
    <comment ref="T23" authorId="0" shapeId="0">
      <text>
        <t>4Q'24 derived = FY2024 (10-K) less 1Q-3Q (10-Qs), so the quarters tie to the reported annual.</t>
      </text>
    </comment>
    <comment ref="U23" authorId="0" shapeId="0">
      <text>
        <t>Selling, administrative and general expenses, 1Q'25: 378. Source: 1Q'26 Form 10-Q (acc. 0001770450-26-000030 (xrx-20260331)), Condensed Consolidated Statements of Income (Loss), prior-year column, three months ended Mar 31, 2025 (as reclassified to the current presentation).</t>
      </text>
    </comment>
    <comment ref="V23" authorId="0" shapeId="0">
      <text>
        <t>Selling, administrative and general expenses, 2Q'25: 368. Source: 2Q'26 Form 10-Q (acc. 0001770450-26-000040 (xrx-20260630)), Condensed Consolidated Statements of Income (Loss), prior-year column, three months ended Jun 30, 2025 (as reclassified to the current presentation).</t>
      </text>
    </comment>
    <comment ref="W23" authorId="0" shapeId="0">
      <text>
        <t>Selling, administrative and general expenses, 3Q'25: 477. Source: 3Q'25 Form 10-Q (acc. 0001770450-25-000037 (xrx-20250930)), Condensed Consolidated Statements of Income (Loss), three months ended Sep 30, 2025.</t>
      </text>
    </comment>
    <comment ref="X23" authorId="0" shapeId="0">
      <text>
        <t>4Q'25 derived = FY2025 (10-K) less 1Q-3Q (10-Qs), so the quarters tie to the reported annual.</t>
      </text>
    </comment>
    <comment ref="Y23" authorId="0" shapeId="0">
      <text>
        <t>Selling, administrative and general expenses, 1Q'26: 430. Source: 1Q'26 Form 10-Q (acc. 0001770450-26-000030 (xrx-20260331)), Condensed Consolidated Statements of Income (Loss), three months ended Mar 31, 2026.</t>
      </text>
    </comment>
    <comment ref="Z23" authorId="0" shapeId="0">
      <text>
        <t>Selling, administrative and general expenses, 2Q'26: 432. Source: 2Q'26 Form 10-Q (acc. 0001770450-26-000040 (xrx-20260630)), Condensed Consolidated Statements of Income (Loss), three months ended Jun 30, 2026.</t>
      </text>
    </comment>
    <comment ref="AB23" authorId="0" shapeId="0">
      <text>
        <t>Selling, administrative and general expenses, FY2021: 1,718. Source: FY2023 Form 10-K (acc. 0001770450-24-000012, xrx-20231231), year ended Dec 31, 2021 column (most recent presentation of FY2021), Consolidated Statements of Income (Loss).</t>
      </text>
    </comment>
    <comment ref="AC23" authorId="0" shapeId="0">
      <text>
        <t>Selling, administrative and general expenses, FY2022: 1,760. Source: FY2024 Form 10-K (acc. 0001770450-25-000010, xrx-20241231), year ended Dec 31, 2022 column (most recent presentation of FY2022), Consolidated Statements of Income (Loss).</t>
      </text>
    </comment>
    <comment ref="AD23" authorId="0" shapeId="0">
      <text>
        <t>Selling, administrative and general expenses, FY2023: 1,696. Source: FY2025 Form 10-K (acc. 0001770450-26-000009, xrx-20251231), year ended Dec 31, 2023 column (as reclassified in 2025), Consolidated Statements of Income (Loss).</t>
      </text>
    </comment>
    <comment ref="AE23" authorId="0" shapeId="0">
      <text>
        <t>Selling, administrative and general expenses, FY2024: 1,537. Source: FY2025 Form 10-K (acc. 0001770450-26-000009, xrx-20251231), year ended Dec 31, 2024 column (as reclassified in 2025), Consolidated Statements of Income (Loss).</t>
      </text>
    </comment>
    <comment ref="AF23" authorId="0" shapeId="0">
      <text>
        <t>Selling, administrative and general expenses, FY2025: 1,654. Source: FY2025 Form 10-K (acc. 0001770450-26-000009, xrx-20251231), year ended Dec 31, 2025, Consolidated Statements of Income (Loss).</t>
      </text>
    </comment>
    <comment ref="AH23" authorId="0" shapeId="0">
      <text>
        <t>LTM = 3Q'24 + 4Q'24 + 1Q'25 + 2Q'25 (trailing four quarters).</t>
      </text>
    </comment>
    <comment ref="AI23" authorId="0" shapeId="0">
      <text>
        <t>LTM = 3Q'25 + 4Q'25 + 1Q'26 + 2Q'26 (trailing four quarters).</t>
      </text>
    </comment>
    <comment ref="E24" authorId="0" shapeId="0">
      <text>
        <t>Goodwill impairment, 1Q'21: 0. Source: 1Q'21 Form 10-Q (acc. 0001770450-21-000025 (xrx-20210331)), Condensed Consolidated Statements of Income (Loss), three months ended Mar 31, 2021.</t>
      </text>
    </comment>
    <comment ref="F24" authorId="0" shapeId="0">
      <text>
        <t>Goodwill impairment, 2Q'21: 0. Source: 2Q'21 Form 10-Q (acc. 0001770450-21-000036 (xrx-20210630)), Condensed Consolidated Statements of Income (Loss), three months ended Jun 30, 2021.</t>
      </text>
    </comment>
    <comment ref="G24" authorId="0" shapeId="0">
      <text>
        <t>Goodwill impairment, 3Q'21: 0. Source: 3Q'21 Form 10-Q (acc. 0001770450-21-000050 (xrx-20210930)), Condensed Consolidated Statements of Income (Loss), three months ended Sep 30, 2021.</t>
      </text>
    </comment>
    <comment ref="H24" authorId="0" shapeId="0">
      <text>
        <t>4Q'21 derived = FY2021 (10-K) less 1Q-3Q (10-Qs), so the quarters tie to the reported annual.</t>
      </text>
    </comment>
    <comment ref="I24" authorId="0" shapeId="0">
      <text>
        <t>Goodwill impairment, 1Q'22: 0. Source: 1Q'22 Form 10-Q (acc. 0001770450-22-000020 (xrx-20220331)), Condensed Consolidated Statements of Income (Loss), three months ended Mar 31, 2022.</t>
      </text>
    </comment>
    <comment ref="J24" authorId="0" shapeId="0">
      <text>
        <t>Goodwill impairment, 2Q'22: 0. Source: 2Q'22 Form 10-Q (acc. 0001770450-22-000030 (xrx-20220630)), Condensed Consolidated Statements of Income (Loss), three months ended Jun 30, 2022.</t>
      </text>
    </comment>
    <comment ref="K24" authorId="0" shapeId="0">
      <text>
        <t>Goodwill impairment, 3Q'22: 412. Source: 3Q'22 Form 10-Q (acc. 0001770450-22-000041 (xrx-20220930)), Condensed Consolidated Statements of Income (Loss), three months ended Sep 30, 2022.</t>
      </text>
    </comment>
    <comment ref="L24" authorId="0" shapeId="0">
      <text>
        <t>4Q'22 derived = FY2022 (10-K) less 1Q-3Q (10-Qs), so the quarters tie to the reported annual.</t>
      </text>
    </comment>
    <comment ref="M24" authorId="0" shapeId="0">
      <text>
        <t>Goodwill impairment, 1Q'23: 0. Source: 1Q'23 Form 10-Q (acc. 0001770450-23-000032 (xrx-20230331)), Condensed Consolidated Statements of Income (Loss), three months ended Mar 31, 2023.</t>
      </text>
    </comment>
    <comment ref="N24" authorId="0" shapeId="0">
      <text>
        <t>Goodwill impairment, 2Q'23: 0. Source: 2Q'23 Form 10-Q (acc. 0001770450-23-000042 (xrx-20230630)), Condensed Consolidated Statements of Income (Loss), three months ended Jun 30, 2023.</t>
      </text>
    </comment>
    <comment ref="O24" authorId="0" shapeId="0">
      <text>
        <t>Goodwill impairment, 3Q'23: 0. Source: 3Q'23 Form 10-Q (acc. 0001770450-23-000050 (xrx-20230930)), Condensed Consolidated Statements of Income (Loss), three months ended Sep 30, 2023.</t>
      </text>
    </comment>
    <comment ref="P24" authorId="0" shapeId="0">
      <text>
        <t>4Q'23 derived = FY2023 (10-K) less 1Q-3Q (10-Qs), so the quarters tie to the reported annual.</t>
      </text>
    </comment>
    <comment ref="Q24" authorId="0" shapeId="0">
      <text>
        <t>Goodwill impairment, 1Q'24: 0. Source: 1Q'25 Form 10-Q (acc. 0001770450-25-000026 (xrx-20250331)), Condensed Consolidated Statements of Income (Loss), prior-year column, three months ended Mar 31, 2024 (as reclassified to the current presentation).</t>
      </text>
    </comment>
    <comment ref="R24" authorId="0" shapeId="0">
      <text>
        <t>Goodwill impairment, 2Q'24: 0. Source: 2Q'25 Form 10-Q (acc. 0001628280-25-038980 (xrx-20250630)), Condensed Consolidated Statements of Income (Loss), prior-year column, three months ended Jun 30, 2024 (as reclassified to the current presentation).</t>
      </text>
    </comment>
    <comment ref="S24" authorId="0" shapeId="0">
      <text>
        <t>Goodwill impairment, 3Q'24: 1,058. Source: 3Q'25 Form 10-Q (acc. 0001770450-25-000037 (xrx-20250930)), Condensed Consolidated Statements of Income (Loss), prior-year column, three months ended Sep 30, 2024 (as reclassified to the current presentation).</t>
      </text>
    </comment>
    <comment ref="T24" authorId="0" shapeId="0">
      <text>
        <t>4Q'24 derived = FY2024 (10-K) less 1Q-3Q (10-Qs), so the quarters tie to the reported annual.</t>
      </text>
    </comment>
    <comment ref="U24" authorId="0" shapeId="0">
      <text>
        <t>Goodwill impairment, 1Q'25: 0. Source: 1Q'26 Form 10-Q (acc. 0001770450-26-000030 (xrx-20260331)), Condensed Consolidated Statements of Income (Loss), prior-year column, three months ended Mar 31, 2025 (as reclassified to the current presentation).</t>
      </text>
    </comment>
    <comment ref="V24" authorId="0" shapeId="0">
      <text>
        <t>Goodwill impairment, 2Q'25: 0. Source: 2Q'26 Form 10-Q (acc. 0001770450-26-000040 (xrx-20260630)), Condensed Consolidated Statements of Income (Loss), prior-year column, three months ended Jun 30, 2025 (as reclassified to the current presentation).</t>
      </text>
    </comment>
    <comment ref="W24" authorId="0" shapeId="0">
      <text>
        <t>Goodwill impairment, 3Q'25: 0. Source: 3Q'25 Form 10-Q (acc. 0001770450-25-000037 (xrx-20250930)), Condensed Consolidated Statements of Income (Loss), three months ended Sep 30, 2025.</t>
      </text>
    </comment>
    <comment ref="X24" authorId="0" shapeId="0">
      <text>
        <t>4Q'25 derived = FY2025 (10-K) less 1Q-3Q (10-Qs), so the quarters tie to the reported annual.</t>
      </text>
    </comment>
    <comment ref="Y24" authorId="0" shapeId="0">
      <text>
        <t>Goodwill impairment, 1Q'26: 0. Source: 1Q'26 Form 10-Q (acc. 0001770450-26-000030 (xrx-20260331)), Condensed Consolidated Statements of Income (Loss), three months ended Mar 31, 2026.</t>
      </text>
    </comment>
    <comment ref="Z24" authorId="0" shapeId="0">
      <text>
        <t>Goodwill impairment, 2Q'26: 0. Source: 2Q'26 Form 10-Q (acc. 0001770450-26-000040 (xrx-20260630)), Condensed Consolidated Statements of Income (Loss), three months ended Jun 30, 2026.</t>
      </text>
    </comment>
    <comment ref="AB24" authorId="0" shapeId="0">
      <text>
        <t>Goodwill impairment, FY2021: 781. Source: FY2023 Form 10-K (acc. 0001770450-24-000012, xrx-20231231), year ended Dec 31, 2021 column (most recent presentation of FY2021), Consolidated Statements of Income (Loss).</t>
      </text>
    </comment>
    <comment ref="AC24" authorId="0" shapeId="0">
      <text>
        <t>Goodwill impairment, FY2022: 412. Source: FY2024 Form 10-K (acc. 0001770450-25-000010, xrx-20241231), year ended Dec 31, 2022 column (most recent presentation of FY2022), Consolidated Statements of Income (Loss).</t>
      </text>
    </comment>
    <comment ref="AD24" authorId="0" shapeId="0">
      <text>
        <t>Goodwill impairment, FY2023: 0. Source: FY2025 Form 10-K (acc. 0001770450-26-000009, xrx-20251231), year ended Dec 31, 2023 column (as reclassified in 2025), Consolidated Statements of Income (Loss).</t>
      </text>
    </comment>
    <comment ref="AE24" authorId="0" shapeId="0">
      <text>
        <t>Goodwill impairment, FY2024: 1,058. Source: FY2025 Form 10-K (acc. 0001770450-26-000009, xrx-20251231), year ended Dec 31, 2024 column (as reclassified in 2025), Consolidated Statements of Income (Loss).</t>
      </text>
    </comment>
    <comment ref="AF24" authorId="0" shapeId="0">
      <text>
        <t>Goodwill impairment, FY2025: 0. Source: FY2025 Form 10-K (acc. 0001770450-26-000009, xrx-20251231), year ended Dec 31, 2025, Consolidated Statements of Income (Loss).</t>
      </text>
    </comment>
    <comment ref="AH24" authorId="0" shapeId="0">
      <text>
        <t>LTM = 3Q'24 + 4Q'24 + 1Q'25 + 2Q'25 (trailing four quarters).</t>
      </text>
    </comment>
    <comment ref="AI24" authorId="0" shapeId="0">
      <text>
        <t>LTM = 3Q'25 + 4Q'25 + 1Q'26 + 2Q'26 (trailing four quarters).</t>
      </text>
    </comment>
    <comment ref="E25" authorId="0" shapeId="0">
      <text>
        <t>Restructuring and related costs, net, 1Q'21: 17. Source: 1Q'21 Form 10-Q (acc. 0001770450-21-000025 (xrx-20210331)), Condensed Consolidated Statements of Income (Loss), three months ended Mar 31, 2021.</t>
      </text>
    </comment>
    <comment ref="F25" authorId="0" shapeId="0">
      <text>
        <t>Restructuring and related costs, net, 2Q'21: 12. Source: 2Q'21 Form 10-Q (acc. 0001770450-21-000036 (xrx-20210630)), Condensed Consolidated Statements of Income (Loss), three months ended Jun 30, 2021.</t>
      </text>
    </comment>
    <comment ref="G25" authorId="0" shapeId="0">
      <text>
        <t>Restructuring and related costs, net, 3Q'21: 10. Source: 3Q'21 Form 10-Q (acc. 0001770450-21-000050 (xrx-20210930)), Condensed Consolidated Statements of Income (Loss), three months ended Sep 30, 2021.</t>
      </text>
    </comment>
    <comment ref="H25" authorId="0" shapeId="0">
      <text>
        <t>4Q'21 derived = FY2021 (10-K) less 1Q-3Q (10-Qs), so the quarters tie to the reported annual.</t>
      </text>
    </comment>
    <comment ref="I25" authorId="0" shapeId="0">
      <text>
        <t>Restructuring and related costs, net, 1Q'22: 18. Source: 1Q'22 Form 10-Q (acc. 0001770450-22-000020 (xrx-20220331)), Condensed Consolidated Statements of Income (Loss), three months ended Mar 31, 2022.</t>
      </text>
    </comment>
    <comment ref="J25" authorId="0" shapeId="0">
      <text>
        <t>Restructuring and related costs, net, 2Q'22: 1. Source: 2Q'22 Form 10-Q (acc. 0001770450-22-000030 (xrx-20220630)), Condensed Consolidated Statements of Income (Loss), three months ended Jun 30, 2022.</t>
      </text>
    </comment>
    <comment ref="K25" authorId="0" shapeId="0">
      <text>
        <t>Restructuring and related costs, net, 3Q'22: 22. Source: 3Q'22 Form 10-Q (acc. 0001770450-22-000041 (xrx-20220930)), Condensed Consolidated Statements of Income (Loss), three months ended Sep 30, 2022.</t>
      </text>
    </comment>
    <comment ref="L25" authorId="0" shapeId="0">
      <text>
        <t>4Q'22 derived = FY2022 (10-K) less 1Q-3Q (10-Qs), so the quarters tie to the reported annual.</t>
      </text>
    </comment>
    <comment ref="M25" authorId="0" shapeId="0">
      <text>
        <t>Restructuring and related costs, net, 1Q'23: 2. Source: 1Q'23 Form 10-Q (acc. 0001770450-23-000032 (xrx-20230331)), Condensed Consolidated Statements of Income (Loss), three months ended Mar 31, 2023.</t>
      </text>
    </comment>
    <comment ref="N25" authorId="0" shapeId="0">
      <text>
        <t>Restructuring and related costs, net, 2Q'23: 23. Source: 2Q'23 Form 10-Q (acc. 0001770450-23-000042 (xrx-20230630)), Condensed Consolidated Statements of Income (Loss), three months ended Jun 30, 2023.</t>
      </text>
    </comment>
    <comment ref="O25" authorId="0" shapeId="0">
      <text>
        <t>Restructuring and related costs, net, 3Q'23: 10. Source: 3Q'23 Form 10-Q (acc. 0001770450-23-000050 (xrx-20230930)), Condensed Consolidated Statements of Income (Loss), three months ended Sep 30, 2023.</t>
      </text>
    </comment>
    <comment ref="P25" authorId="0" shapeId="0">
      <text>
        <t>4Q'23 derived = FY2023 (10-K) less 1Q-3Q (10-Qs), so the quarters tie to the reported annual.</t>
      </text>
    </comment>
    <comment ref="Q25" authorId="0" shapeId="0">
      <text>
        <t>Restructuring and related costs, net, 1Q'24: 39. Source: 1Q'25 Form 10-Q (acc. 0001770450-25-000026 (xrx-20250331)), Condensed Consolidated Statements of Income (Loss), prior-year column, three months ended Mar 31, 2024 (as reclassified to the current presentation).</t>
      </text>
    </comment>
    <comment ref="R25" authorId="0" shapeId="0">
      <text>
        <t>Restructuring and related costs, net, 2Q'24: 12. Source: 2Q'25 Form 10-Q (acc. 0001628280-25-038980 (xrx-20250630)), Condensed Consolidated Statements of Income (Loss), prior-year column, three months ended Jun 30, 2024 (as reclassified to the current presentation).</t>
      </text>
    </comment>
    <comment ref="S25" authorId="0" shapeId="0">
      <text>
        <t>Restructuring and related costs, net, 3Q'24: 56. Source: 3Q'25 Form 10-Q (acc. 0001770450-25-000037 (xrx-20250930)), Condensed Consolidated Statements of Income (Loss), prior-year column, three months ended Sep 30, 2024 (as reclassified to the current presentation).</t>
      </text>
    </comment>
    <comment ref="T25" authorId="0" shapeId="0">
      <text>
        <t>4Q'24 derived = FY2024 (10-K) less 1Q-3Q (10-Qs), so the quarters tie to the reported annual.</t>
      </text>
    </comment>
    <comment ref="U25" authorId="0" shapeId="0">
      <text>
        <t>Restructuring and related costs, net, 1Q'25: -1. Source: 1Q'26 Form 10-Q (acc. 0001770450-26-000030 (xrx-20260331)), Condensed Consolidated Statements of Income (Loss), prior-year column, three months ended Mar 31, 2025 (as reclassified to the current presentation).</t>
      </text>
    </comment>
    <comment ref="V25" authorId="0" shapeId="0">
      <text>
        <t>Restructuring and related costs, net, 2Q'25: 10. Source: 2Q'26 Form 10-Q (acc. 0001770450-26-000040 (xrx-20260630)), Condensed Consolidated Statements of Income (Loss), prior-year column, three months ended Jun 30, 2025 (as reclassified to the current presentation).</t>
      </text>
    </comment>
    <comment ref="W25" authorId="0" shapeId="0">
      <text>
        <t>Restructuring and related costs, net, 3Q'25: 59. Source: 3Q'25 Form 10-Q (acc. 0001770450-25-000037 (xrx-20250930)), Condensed Consolidated Statements of Income (Loss), three months ended Sep 30, 2025.</t>
      </text>
    </comment>
    <comment ref="X25" authorId="0" shapeId="0">
      <text>
        <t>4Q'25 derived = FY2025 (10-K) less 1Q-3Q (10-Qs), so the quarters tie to the reported annual.</t>
      </text>
    </comment>
    <comment ref="Y25" authorId="0" shapeId="0">
      <text>
        <t>Restructuring and related costs, net, 1Q'26: 45. Source: 1Q'26 Form 10-Q (acc. 0001770450-26-000030 (xrx-20260331)), Condensed Consolidated Statements of Income (Loss), three months ended Mar 31, 2026.</t>
      </text>
    </comment>
    <comment ref="Z25" authorId="0" shapeId="0">
      <text>
        <t>Restructuring and related costs, net, 2Q'26: 23. Source: 2Q'26 Form 10-Q (acc. 0001770450-26-000040 (xrx-20260630)), Condensed Consolidated Statements of Income (Loss), three months ended Jun 30, 2026.</t>
      </text>
    </comment>
    <comment ref="AB25" authorId="0" shapeId="0">
      <text>
        <t>Restructuring and related costs, net, FY2021: 38. Source: FY2023 Form 10-K (acc. 0001770450-24-000012, xrx-20231231), year ended Dec 31, 2021 column (most recent presentation of FY2021), Consolidated Statements of Income (Loss).</t>
      </text>
    </comment>
    <comment ref="AC25" authorId="0" shapeId="0">
      <text>
        <t>Restructuring and related costs, net, FY2022: 65. Source: FY2024 Form 10-K (acc. 0001770450-25-000010, xrx-20241231), year ended Dec 31, 2022 column (most recent presentation of FY2022), Consolidated Statements of Income (Loss).</t>
      </text>
    </comment>
    <comment ref="AD25" authorId="0" shapeId="0">
      <text>
        <t>Restructuring and related costs, net, FY2023: 167. Source: FY2025 Form 10-K (acc. 0001770450-26-000009, xrx-20251231), year ended Dec 31, 2023 column (as reclassified in 2025), Consolidated Statements of Income (Loss).</t>
      </text>
    </comment>
    <comment ref="AE25" authorId="0" shapeId="0">
      <text>
        <t>Restructuring and related costs, net, FY2024: 112. Source: FY2025 Form 10-K (acc. 0001770450-26-000009, xrx-20251231), year ended Dec 31, 2024 column (as reclassified in 2025), Consolidated Statements of Income (Loss).</t>
      </text>
    </comment>
    <comment ref="AF25" authorId="0" shapeId="0">
      <text>
        <t>Restructuring and related costs, net, FY2025: 66. Source: FY2025 Form 10-K (acc. 0001770450-26-000009, xrx-20251231), year ended Dec 31, 2025, Consolidated Statements of Income (Loss).</t>
      </text>
    </comment>
    <comment ref="AH25" authorId="0" shapeId="0">
      <text>
        <t>LTM = 3Q'24 + 4Q'24 + 1Q'25 + 2Q'25 (trailing four quarters).</t>
      </text>
    </comment>
    <comment ref="AI25" authorId="0" shapeId="0">
      <text>
        <t>LTM = 3Q'25 + 4Q'25 + 1Q'26 + 2Q'26 (trailing four quarters).</t>
      </text>
    </comment>
    <comment ref="E26" authorId="0" shapeId="0">
      <text>
        <t>Amortization of intangible assets, 1Q'21: 15. Source: 1Q'21 Form 10-Q (acc. 0001770450-21-000025 (xrx-20210331)), Condensed Consolidated Statements of Income (Loss), three months ended Mar 31, 2021.</t>
      </text>
    </comment>
    <comment ref="F26" authorId="0" shapeId="0">
      <text>
        <t>Amortization of intangible assets, 2Q'21: 14. Source: 2Q'21 Form 10-Q (acc. 0001770450-21-000036 (xrx-20210630)), Condensed Consolidated Statements of Income (Loss), three months ended Jun 30, 2021.</t>
      </text>
    </comment>
    <comment ref="G26" authorId="0" shapeId="0">
      <text>
        <t>Amortization of intangible assets, 3Q'21: 13. Source: 3Q'21 Form 10-Q (acc. 0001770450-21-000050 (xrx-20210930)), Condensed Consolidated Statements of Income (Loss), three months ended Sep 30, 2021.</t>
      </text>
    </comment>
    <comment ref="H26" authorId="0" shapeId="0">
      <text>
        <t>4Q'21 derived = FY2021 (10-K) less 1Q-3Q (10-Qs), so the quarters tie to the reported annual.</t>
      </text>
    </comment>
    <comment ref="I26" authorId="0" shapeId="0">
      <text>
        <t>Amortization of intangible assets, 1Q'22: 11. Source: 1Q'22 Form 10-Q (acc. 0001770450-22-000020 (xrx-20220331)), Condensed Consolidated Statements of Income (Loss), three months ended Mar 31, 2022.</t>
      </text>
    </comment>
    <comment ref="J26" authorId="0" shapeId="0">
      <text>
        <t>Amortization of intangible assets, 2Q'22: 10. Source: 2Q'22 Form 10-Q (acc. 0001770450-22-000030 (xrx-20220630)), Condensed Consolidated Statements of Income (Loss), three months ended Jun 30, 2022.</t>
      </text>
    </comment>
    <comment ref="K26" authorId="0" shapeId="0">
      <text>
        <t>Amortization of intangible assets, 3Q'22: 10. Source: 3Q'22 Form 10-Q (acc. 0001770450-22-000041 (xrx-20220930)), Condensed Consolidated Statements of Income (Loss), three months ended Sep 30, 2022.</t>
      </text>
    </comment>
    <comment ref="L26" authorId="0" shapeId="0">
      <text>
        <t>4Q'22 derived = FY2022 (10-K) less 1Q-3Q (10-Qs), so the quarters tie to the reported annual.</t>
      </text>
    </comment>
    <comment ref="M26" authorId="0" shapeId="0">
      <text>
        <t>Amortization of intangible assets, 1Q'23: 11. Source: 1Q'23 Form 10-Q (acc. 0001770450-23-000032 (xrx-20230331)), Condensed Consolidated Statements of Income (Loss), three months ended Mar 31, 2023.</t>
      </text>
    </comment>
    <comment ref="N26" authorId="0" shapeId="0">
      <text>
        <t>Amortization of intangible assets, 2Q'23: 10. Source: 2Q'23 Form 10-Q (acc. 0001770450-23-000042 (xrx-20230630)), Condensed Consolidated Statements of Income (Loss), three months ended Jun 30, 2023.</t>
      </text>
    </comment>
    <comment ref="O26" authorId="0" shapeId="0">
      <text>
        <t>Amortization of intangible assets, 3Q'23: 12. Source: 3Q'23 Form 10-Q (acc. 0001770450-23-000050 (xrx-20230930)), Condensed Consolidated Statements of Income (Loss), three months ended Sep 30, 2023.</t>
      </text>
    </comment>
    <comment ref="P26" authorId="0" shapeId="0">
      <text>
        <t>4Q'23 derived = FY2023 (10-K) less 1Q-3Q (10-Qs), so the quarters tie to the reported annual.</t>
      </text>
    </comment>
    <comment ref="Q26" authorId="0" shapeId="0">
      <text>
        <t>Amortization of intangible assets, 1Q'24: 10. Source: 1Q'25 Form 10-Q (acc. 0001770450-25-000026 (xrx-20250331)), Condensed Consolidated Statements of Income (Loss), prior-year column, three months ended Mar 31, 2024 (as reclassified to the current presentation).</t>
      </text>
    </comment>
    <comment ref="R26" authorId="0" shapeId="0">
      <text>
        <t>Amortization of intangible assets, 2Q'24: 10. Source: 2Q'25 Form 10-Q (acc. 0001628280-25-038980 (xrx-20250630)), Condensed Consolidated Statements of Income (Loss), prior-year column, three months ended Jun 30, 2024 (as reclassified to the current presentation).</t>
      </text>
    </comment>
    <comment ref="S26" authorId="0" shapeId="0">
      <text>
        <t>Amortization of intangible assets, 3Q'24: 10. Source: 3Q'25 Form 10-Q (acc. 0001770450-25-000037 (xrx-20250930)), Condensed Consolidated Statements of Income (Loss), prior-year column, three months ended Sep 30, 2024 (as reclassified to the current presentation).</t>
      </text>
    </comment>
    <comment ref="T26" authorId="0" shapeId="0">
      <text>
        <t>4Q'24 derived = FY2024 (10-K) less 1Q-3Q (10-Qs), so the quarters tie to the reported annual.</t>
      </text>
    </comment>
    <comment ref="U26" authorId="0" shapeId="0">
      <text>
        <t>Amortization of intangible assets, 1Q'25: 10. Source: 1Q'26 Form 10-Q (acc. 0001770450-26-000030 (xrx-20260331)), Condensed Consolidated Statements of Income (Loss), prior-year column, three months ended Mar 31, 2025 (as reclassified to the current presentation).</t>
      </text>
    </comment>
    <comment ref="V26" authorId="0" shapeId="0">
      <text>
        <t>Amortization of intangible assets, 2Q'25: 10. Source: 2Q'26 Form 10-Q (acc. 0001770450-26-000040 (xrx-20260630)), Condensed Consolidated Statements of Income (Loss), prior-year column, three months ended Jun 30, 2025 (as reclassified to the current presentation).</t>
      </text>
    </comment>
    <comment ref="W26" authorId="0" shapeId="0">
      <text>
        <t>Amortization of intangible assets, 3Q'25: 30. Source: 3Q'25 Form 10-Q (acc. 0001770450-25-000037 (xrx-20250930)), Condensed Consolidated Statements of Income (Loss), three months ended Sep 30, 2025.</t>
      </text>
    </comment>
    <comment ref="X26" authorId="0" shapeId="0">
      <text>
        <t>4Q'25 derived = FY2025 (10-K) less 1Q-3Q (10-Qs), so the quarters tie to the reported annual.</t>
      </text>
    </comment>
    <comment ref="Y26" authorId="0" shapeId="0">
      <text>
        <t>Amortization of intangible assets, 1Q'26: 30. Source: 1Q'26 Form 10-Q (acc. 0001770450-26-000030 (xrx-20260331)), Condensed Consolidated Statements of Income (Loss), three months ended Mar 31, 2026.</t>
      </text>
    </comment>
    <comment ref="Z26" authorId="0" shapeId="0">
      <text>
        <t>Amortization of intangible assets, 2Q'26: 30. Source: 2Q'26 Form 10-Q (acc. 0001770450-26-000040 (xrx-20260630)), Condensed Consolidated Statements of Income (Loss), three months ended Jun 30, 2026.</t>
      </text>
    </comment>
    <comment ref="AB26" authorId="0" shapeId="0">
      <text>
        <t>Amortization of intangible assets, FY2021: 55. Source: FY2023 Form 10-K (acc. 0001770450-24-000012, xrx-20231231), year ended Dec 31, 2021 column (most recent presentation of FY2021), Consolidated Statements of Income (Loss).</t>
      </text>
    </comment>
    <comment ref="AC26" authorId="0" shapeId="0">
      <text>
        <t>Amortization of intangible assets, FY2022: 42. Source: FY2024 Form 10-K (acc. 0001770450-25-000010, xrx-20241231), year ended Dec 31, 2022 column (most recent presentation of FY2022), Consolidated Statements of Income (Loss).</t>
      </text>
    </comment>
    <comment ref="AD26" authorId="0" shapeId="0">
      <text>
        <t>Amortization of intangible assets, FY2023: 43. Source: FY2025 Form 10-K (acc. 0001770450-26-000009, xrx-20251231), year ended Dec 31, 2023 column (as reclassified in 2025), Consolidated Statements of Income (Loss).</t>
      </text>
    </comment>
    <comment ref="AE26" authorId="0" shapeId="0">
      <text>
        <t>Amortization of intangible assets, FY2024: 73. Source: FY2025 Form 10-K (acc. 0001770450-26-000009, xrx-20251231), year ended Dec 31, 2024 column (as reclassified in 2025), Consolidated Statements of Income (Loss).</t>
      </text>
    </comment>
    <comment ref="AF26" authorId="0" shapeId="0">
      <text>
        <t>Amortization of intangible assets, FY2025: 83. Source: FY2025 Form 10-K (acc. 0001770450-26-000009, xrx-20251231), year ended Dec 31, 2025, Consolidated Statements of Income (Loss).</t>
      </text>
    </comment>
    <comment ref="AH26" authorId="0" shapeId="0">
      <text>
        <t>LTM = 3Q'24 + 4Q'24 + 1Q'25 + 2Q'25 (trailing four quarters).</t>
      </text>
    </comment>
    <comment ref="AI26" authorId="0" shapeId="0">
      <text>
        <t>LTM = 3Q'25 + 4Q'25 + 1Q'26 + 2Q'26 (trailing four quarters).</t>
      </text>
    </comment>
    <comment ref="E27" authorId="0" shapeId="0">
      <text>
        <t>Divestitures, 1Q'21: 0. Source: 1Q'21 Form 10-Q (acc. 0001770450-21-000025 (xrx-20210331)), Condensed Consolidated Statements of Income (Loss), three months ended Mar 31, 2021.</t>
      </text>
    </comment>
    <comment ref="F27" authorId="0" shapeId="0">
      <text>
        <t>Divestitures, 2Q'21: 0. Source: 2Q'21 Form 10-Q (acc. 0001770450-21-000036 (xrx-20210630)), Condensed Consolidated Statements of Income (Loss), three months ended Jun 30, 2021.</t>
      </text>
    </comment>
    <comment ref="G27" authorId="0" shapeId="0">
      <text>
        <t>Divestitures, 3Q'21: 0. Source: 3Q'21 Form 10-Q (acc. 0001770450-21-000050 (xrx-20210930)), Condensed Consolidated Statements of Income (Loss), three months ended Sep 30, 2021.</t>
      </text>
    </comment>
    <comment ref="H27" authorId="0" shapeId="0">
      <text>
        <t>4Q'21 derived = FY2021 (10-K) less 1Q-3Q (10-Qs), so the quarters tie to the reported annual.</t>
      </text>
    </comment>
    <comment ref="I27" authorId="0" shapeId="0">
      <text>
        <t>Divestitures, 1Q'22: 0. Source: 1Q'22 Form 10-Q (acc. 0001770450-22-000020 (xrx-20220331)), Condensed Consolidated Statements of Income (Loss), three months ended Mar 31, 2022.</t>
      </text>
    </comment>
    <comment ref="J27" authorId="0" shapeId="0">
      <text>
        <t>Divestitures, 2Q'22: 0. Source: 2Q'22 Form 10-Q (acc. 0001770450-22-000030 (xrx-20220630)), Condensed Consolidated Statements of Income (Loss), three months ended Jun 30, 2022.</t>
      </text>
    </comment>
    <comment ref="K27" authorId="0" shapeId="0">
      <text>
        <t>Divestitures, 3Q'22: 0. Source: 3Q'22 Form 10-Q (acc. 0001770450-22-000041 (xrx-20220930)), Condensed Consolidated Statements of Income (Loss), three months ended Sep 30, 2022.</t>
      </text>
    </comment>
    <comment ref="L27" authorId="0" shapeId="0">
      <text>
        <t>4Q'22 derived = FY2022 (10-K) less 1Q-3Q (10-Qs), so the quarters tie to the reported annual.</t>
      </text>
    </comment>
    <comment ref="M27" authorId="0" shapeId="0">
      <text>
        <t>Divestitures, 1Q'23: 0. Source: 1Q'23 Form 10-Q (acc. 0001770450-23-000032 (xrx-20230331)), Condensed Consolidated Statements of Income (Loss), three months ended Mar 31, 2023.</t>
      </text>
    </comment>
    <comment ref="N27" authorId="0" shapeId="0">
      <text>
        <t>Divestitures, 2Q'23: 0. Source: 2Q'23 Form 10-Q (acc. 0001770450-23-000042 (xrx-20230630)), Condensed Consolidated Statements of Income (Loss), three months ended Jun 30, 2023.</t>
      </text>
    </comment>
    <comment ref="O27" authorId="0" shapeId="0">
      <text>
        <t>Divestitures, 3Q'23: 0. Source: 3Q'23 Form 10-Q (acc. 0001770450-23-000050 (xrx-20230930)), Condensed Consolidated Statements of Income (Loss), three months ended Sep 30, 2023.</t>
      </text>
    </comment>
    <comment ref="P27" authorId="0" shapeId="0">
      <text>
        <t>4Q'23 derived = FY2023 (10-K) less 1Q-3Q (10-Qs), so the quarters tie to the reported annual.</t>
      </text>
    </comment>
    <comment ref="Q27" authorId="0" shapeId="0">
      <text>
        <t>Divestitures, 1Q'24: 54. Source: 1Q'25 Form 10-Q (acc. 0001770450-25-000026 (xrx-20250331)), Condensed Consolidated Statements of Income (Loss), prior-year column, three months ended Mar 31, 2024 (as reclassified to the current presentation).</t>
      </text>
    </comment>
    <comment ref="R27" authorId="0" shapeId="0">
      <text>
        <t>Divestitures, 2Q'24: -3. Source: 2Q'25 Form 10-Q (acc. 0001628280-25-038980 (xrx-20250630)), Condensed Consolidated Statements of Income (Loss), prior-year column, three months ended Jun 30, 2024 (as reclassified to the current presentation).</t>
      </text>
    </comment>
    <comment ref="S27" authorId="0" shapeId="0">
      <text>
        <t>Divestitures, 3Q'24: 0. Source: 3Q'25 Form 10-Q (acc. 0001770450-25-000037 (xrx-20250930)), Condensed Consolidated Statements of Income (Loss), prior-year column, three months ended Sep 30, 2024 (as reclassified to the current presentation).</t>
      </text>
    </comment>
    <comment ref="T27" authorId="0" shapeId="0">
      <text>
        <t>4Q'24 derived = FY2024 (10-K) less 1Q-3Q (10-Qs), so the quarters tie to the reported annual.</t>
      </text>
    </comment>
    <comment ref="U27" authorId="0" shapeId="0">
      <text>
        <t>Divestitures, 1Q'25: -4. Source: 1Q'26 Form 10-Q (acc. 0001770450-26-000030 (xrx-20260331)), Condensed Consolidated Statements of Income (Loss), prior-year column, three months ended Mar 31, 2025 (as reclassified to the current presentation).</t>
      </text>
    </comment>
    <comment ref="V27" authorId="0" shapeId="0">
      <text>
        <t>Divestitures, 2Q'25: 0. Source: 2Q'26 Form 10-Q (acc. 0001770450-26-000040 (xrx-20260630)), Condensed Consolidated Statements of Income (Loss), prior-year column, three months ended Jun 30, 2025 (as reclassified to the current presentation).</t>
      </text>
    </comment>
    <comment ref="W27" authorId="0" shapeId="0">
      <text>
        <t>Divestitures, 3Q'25: 0. Source: 3Q'25 Form 10-Q (acc. 0001770450-25-000037 (xrx-20250930)), Condensed Consolidated Statements of Income (Loss), three months ended Sep 30, 2025.</t>
      </text>
    </comment>
    <comment ref="X27" authorId="0" shapeId="0">
      <text>
        <t>4Q'25 derived = FY2025 (10-K) less 1Q-3Q (10-Qs), so the quarters tie to the reported annual.</t>
      </text>
    </comment>
    <comment ref="Y27" authorId="0" shapeId="0">
      <text>
        <t>Divestitures, 1Q'26: 0. Source: 1Q'26 Form 10-Q (acc. 0001770450-26-000030 (xrx-20260331)), Condensed Consolidated Statements of Income (Loss), three months ended Mar 31, 2026.</t>
      </text>
    </comment>
    <comment ref="Z27" authorId="0" shapeId="0">
      <text>
        <t>Divestitures, 2Q'26: 0. Source: 2Q'26 Form 10-Q (acc. 0001770450-26-000040 (xrx-20260630)), Condensed Consolidated Statements of Income (Loss), three months ended Jun 30, 2026.</t>
      </text>
    </comment>
    <comment ref="AB27" authorId="0" shapeId="0">
      <text>
        <t>Divestitures, FY2021: 0. Source: FY2023 Form 10-K (acc. 0001770450-24-000012, xrx-20231231), year ended Dec 31, 2021 column (most recent presentation of FY2021), Consolidated Statements of Income (Loss).</t>
      </text>
    </comment>
    <comment ref="AC27" authorId="0" shapeId="0">
      <text>
        <t>Divestitures, FY2022: 0. Source: FY2024 Form 10-K (acc. 0001770450-25-000010, xrx-20241231), year ended Dec 31, 2022 column (most recent presentation of FY2022), Consolidated Statements of Income (Loss).</t>
      </text>
    </comment>
    <comment ref="AD27" authorId="0" shapeId="0">
      <text>
        <t>Divestitures, FY2023: 0. Source: FY2025 Form 10-K (acc. 0001770450-26-000009, xrx-20251231), year ended Dec 31, 2023 column (as reclassified in 2025), Consolidated Statements of Income (Loss).</t>
      </text>
    </comment>
    <comment ref="AE27" authorId="0" shapeId="0">
      <text>
        <t>Divestitures, FY2024: 47. Source: FY2025 Form 10-K (acc. 0001770450-26-000009, xrx-20251231), year ended Dec 31, 2024 column (as reclassified in 2025), Consolidated Statements of Income (Loss).</t>
      </text>
    </comment>
    <comment ref="AF27" authorId="0" shapeId="0">
      <text>
        <t>Divestitures, FY2025: -4. Source: FY2025 Form 10-K (acc. 0001770450-26-000009, xrx-20251231), year ended Dec 31, 2025, Consolidated Statements of Income (Loss).</t>
      </text>
    </comment>
    <comment ref="AH27" authorId="0" shapeId="0">
      <text>
        <t>LTM = 3Q'24 + 4Q'24 + 1Q'25 + 2Q'25 (trailing four quarters).</t>
      </text>
    </comment>
    <comment ref="AI27" authorId="0" shapeId="0">
      <text>
        <t>LTM = 3Q'25 + 4Q'25 + 1Q'26 + 2Q'26 (trailing four quarters).</t>
      </text>
    </comment>
    <comment ref="E28" authorId="0" shapeId="0">
      <text>
        <t>PARC donation, 1Q'21: 0. Source: 1Q'21 Form 10-Q (acc. 0001770450-21-000025 (xrx-20210331)), Condensed Consolidated Statements of Income (Loss), three months ended Mar 31, 2021.</t>
      </text>
    </comment>
    <comment ref="F28" authorId="0" shapeId="0">
      <text>
        <t>PARC donation, 2Q'21: 0. Source: 2Q'21 Form 10-Q (acc. 0001770450-21-000036 (xrx-20210630)), Condensed Consolidated Statements of Income (Loss), three months ended Jun 30, 2021.</t>
      </text>
    </comment>
    <comment ref="G28" authorId="0" shapeId="0">
      <text>
        <t>PARC donation, 3Q'21: 0. Source: 3Q'21 Form 10-Q (acc. 0001770450-21-000050 (xrx-20210930)), Condensed Consolidated Statements of Income (Loss), three months ended Sep 30, 2021.</t>
      </text>
    </comment>
    <comment ref="H28" authorId="0" shapeId="0">
      <text>
        <t>4Q'21 derived = FY2021 (10-K) less 1Q-3Q (10-Qs), so the quarters tie to the reported annual.</t>
      </text>
    </comment>
    <comment ref="I28" authorId="0" shapeId="0">
      <text>
        <t>PARC donation, 1Q'22: 0. Source: 1Q'22 Form 10-Q (acc. 0001770450-22-000020 (xrx-20220331)), Condensed Consolidated Statements of Income (Loss), three months ended Mar 31, 2022.</t>
      </text>
    </comment>
    <comment ref="J28" authorId="0" shapeId="0">
      <text>
        <t>PARC donation, 2Q'22: 0. Source: 2Q'22 Form 10-Q (acc. 0001770450-22-000030 (xrx-20220630)), Condensed Consolidated Statements of Income (Loss), three months ended Jun 30, 2022.</t>
      </text>
    </comment>
    <comment ref="K28" authorId="0" shapeId="0">
      <text>
        <t>PARC donation, 3Q'22: 0. Source: 3Q'22 Form 10-Q (acc. 0001770450-22-000041 (xrx-20220930)), Condensed Consolidated Statements of Income (Loss), three months ended Sep 30, 2022.</t>
      </text>
    </comment>
    <comment ref="L28" authorId="0" shapeId="0">
      <text>
        <t>4Q'22 derived = FY2022 (10-K) less 1Q-3Q (10-Qs), so the quarters tie to the reported annual.</t>
      </text>
    </comment>
    <comment ref="M28" authorId="0" shapeId="0">
      <text>
        <t>PARC donation, 1Q'23: 0. Source: 1Q'23 Form 10-Q (acc. 0001770450-23-000032 (xrx-20230331)), Condensed Consolidated Statements of Income (Loss), three months ended Mar 31, 2023.</t>
      </text>
    </comment>
    <comment ref="N28" authorId="0" shapeId="0">
      <text>
        <t>PARC donation, 2Q'23: 132. Source: 2Q'23 Form 10-Q (acc. 0001770450-23-000042 (xrx-20230630)), Condensed Consolidated Statements of Income (Loss), three months ended Jun 30, 2023.</t>
      </text>
    </comment>
    <comment ref="O28" authorId="0" shapeId="0">
      <text>
        <t>PARC donation, 3Q'23: 0. Source: 3Q'23 Form 10-Q (acc. 0001770450-23-000050 (xrx-20230930)), Condensed Consolidated Statements of Income (Loss), three months ended Sep 30, 2023.</t>
      </text>
    </comment>
    <comment ref="P28" authorId="0" shapeId="0">
      <text>
        <t>4Q'23 derived = FY2023 (10-K) less 1Q-3Q (10-Qs), so the quarters tie to the reported annual.</t>
      </text>
    </comment>
    <comment ref="Q28" authorId="0" shapeId="0">
      <text>
        <t>PARC donation, 1Q'24: 0. Source: 1Q'25 Form 10-Q (acc. 0001770450-25-000026 (xrx-20250331)), Condensed Consolidated Statements of Income (Loss), prior-year column, three months ended Mar 31, 2024 (as reclassified to the current presentation).</t>
      </text>
    </comment>
    <comment ref="R28" authorId="0" shapeId="0">
      <text>
        <t>PARC donation, 2Q'24: 0. Source: 2Q'25 Form 10-Q (acc. 0001628280-25-038980 (xrx-20250630)), Condensed Consolidated Statements of Income (Loss), prior-year column, three months ended Jun 30, 2024 (as reclassified to the current presentation).</t>
      </text>
    </comment>
    <comment ref="S28" authorId="0" shapeId="0">
      <text>
        <t>PARC donation, 3Q'24: 0. Source: 3Q'25 Form 10-Q (acc. 0001770450-25-000037 (xrx-20250930)), Condensed Consolidated Statements of Income (Loss), prior-year column, three months ended Sep 30, 2024 (as reclassified to the current presentation).</t>
      </text>
    </comment>
    <comment ref="T28" authorId="0" shapeId="0">
      <text>
        <t>4Q'24 derived = FY2024 (10-K) less 1Q-3Q (10-Qs), so the quarters tie to the reported annual.</t>
      </text>
    </comment>
    <comment ref="U28" authorId="0" shapeId="0">
      <text>
        <t>PARC donation, 1Q'25: 0. Source: 1Q'26 Form 10-Q (acc. 0001770450-26-000030 (xrx-20260331)), Condensed Consolidated Statements of Income (Loss), prior-year column, three months ended Mar 31, 2025 (as reclassified to the current presentation).</t>
      </text>
    </comment>
    <comment ref="V28" authorId="0" shapeId="0">
      <text>
        <t>PARC donation, 2Q'25: 0. Source: 2Q'26 Form 10-Q (acc. 0001770450-26-000040 (xrx-20260630)), Condensed Consolidated Statements of Income (Loss), prior-year column, three months ended Jun 30, 2025 (as reclassified to the current presentation).</t>
      </text>
    </comment>
    <comment ref="W28" authorId="0" shapeId="0">
      <text>
        <t>PARC donation, 3Q'25: 0. Source: 3Q'25 Form 10-Q (acc. 0001770450-25-000037 (xrx-20250930)), Condensed Consolidated Statements of Income (Loss), three months ended Sep 30, 2025.</t>
      </text>
    </comment>
    <comment ref="X28" authorId="0" shapeId="0">
      <text>
        <t>4Q'25 derived = FY2025 (10-K) less 1Q-3Q (10-Qs), so the quarters tie to the reported annual.</t>
      </text>
    </comment>
    <comment ref="Y28" authorId="0" shapeId="0">
      <text>
        <t>PARC donation, 1Q'26: 0. Source: 1Q'26 Form 10-Q (acc. 0001770450-26-000030 (xrx-20260331)), Condensed Consolidated Statements of Income (Loss), three months ended Mar 31, 2026.</t>
      </text>
    </comment>
    <comment ref="Z28" authorId="0" shapeId="0">
      <text>
        <t>PARC donation, 2Q'26: 0. Source: 2Q'26 Form 10-Q (acc. 0001770450-26-000040 (xrx-20260630)), Condensed Consolidated Statements of Income (Loss), three months ended Jun 30, 2026.</t>
      </text>
    </comment>
    <comment ref="AB28" authorId="0" shapeId="0">
      <text>
        <t>PARC donation, FY2021: 0. Source: FY2023 Form 10-K (acc. 0001770450-24-000012, xrx-20231231), year ended Dec 31, 2021 column (most recent presentation of FY2021), Consolidated Statements of Income (Loss).</t>
      </text>
    </comment>
    <comment ref="AC28" authorId="0" shapeId="0">
      <text>
        <t>PARC donation, FY2022: 0. Source: FY2024 Form 10-K (acc. 0001770450-25-000010, xrx-20241231), year ended Dec 31, 2022 column (most recent presentation of FY2022), Consolidated Statements of Income (Loss).</t>
      </text>
    </comment>
    <comment ref="AD28" authorId="0" shapeId="0">
      <text>
        <t>PARC donation, FY2023: 132. Source: FY2025 Form 10-K (acc. 0001770450-26-000009, xrx-20251231), year ended Dec 31, 2023 column (as reclassified in 2025), Consolidated Statements of Income (Loss).</t>
      </text>
    </comment>
    <comment ref="AE28" authorId="0" shapeId="0">
      <text>
        <t>PARC donation, FY2024: 0. Source: FY2025 Form 10-K (acc. 0001770450-26-000009, xrx-20251231), year ended Dec 31, 2024 column (as reclassified in 2025), Consolidated Statements of Income (Loss).</t>
      </text>
    </comment>
    <comment ref="AF28" authorId="0" shapeId="0">
      <text>
        <t>PARC donation, FY2025: 0. Source: FY2025 Form 10-K (acc. 0001770450-26-000009, xrx-20251231), year ended Dec 31, 2025, Consolidated Statements of Income (Loss).</t>
      </text>
    </comment>
    <comment ref="AH28" authorId="0" shapeId="0">
      <text>
        <t>LTM = 3Q'24 + 4Q'24 + 1Q'25 + 2Q'25 (trailing four quarters).</t>
      </text>
    </comment>
    <comment ref="AI28" authorId="0" shapeId="0">
      <text>
        <t>LTM = 3Q'25 + 4Q'25 + 1Q'26 + 2Q'26 (trailing four quarters).</t>
      </text>
    </comment>
    <comment ref="D30" authorId="0" shapeId="0">
      <text>
        <t>Computed subtotal: gross profit less operating expenses (before non-financing interest and other expenses). Xerox does not report an operating income line.</t>
      </text>
    </comment>
    <comment ref="E32" authorId="0" shapeId="0">
      <text>
        <t>Non-financing interest expense, 1Q'21: 52-28. Derived: total interest expense 52 (Debt note, Interest Income and Interest Expense details) less Cost of financing 28 (equipment financing interest), same filing. Xerox split non-financing interest out of Other expenses, net in 2026 and conformed prior periods; this applies the same split. Source: 1Q'21 Form 10-Q (acc. 0001770450-21-000025 (xrx-20210331)), Condensed Consolidated Statements of Income (Loss), three months ended Mar 31, 2021.</t>
      </text>
    </comment>
    <comment ref="F32" authorId="0" shapeId="0">
      <text>
        <t>Non-financing interest expense, 2Q'21: 52-28. Derived: total interest expense 52 (Debt note, Interest Income and Interest Expense details) less Cost of financing 28 (equipment financing interest), same filing. Xerox split non-financing interest out of Other expenses, net in 2026 and conformed prior periods; this applies the same split. Source: 2Q'21 Form 10-Q (acc. 0001770450-21-000036 (xrx-20210630)), Condensed Consolidated Statements of Income (Loss), three months ended Jun 30, 2021.</t>
      </text>
    </comment>
    <comment ref="G32" authorId="0" shapeId="0">
      <text>
        <t>Non-financing interest expense, 3Q'21: 52-29. Derived: total interest expense 52 (Debt note, Interest Income and Interest Expense details) less Cost of financing 29 (equipment financing interest), same filing. Xerox split non-financing interest out of Other expenses, net in 2026 and conformed prior periods; this applies the same split. Source: 3Q'21 Form 10-Q (acc. 0001770450-21-000050 (xrx-20210930)), Condensed Consolidated Statements of Income (Loss), three months ended Sep 30, 2021.</t>
      </text>
    </comment>
    <comment ref="H32" authorId="0" shapeId="0">
      <text>
        <t>4Q'21 derived = FY2021 (10-K) less 1Q-3Q (10-Qs), so the quarters tie to the reported annual.</t>
      </text>
    </comment>
    <comment ref="I32" authorId="0" shapeId="0">
      <text>
        <t>Non-financing interest expense, 1Q'22: 53-24. Derived: total interest expense 53 (Debt note, Interest Income and Interest Expense details) less Cost of financing 24 (equipment financing interest), same filing. Xerox split non-financing interest out of Other expenses, net in 2026 and conformed prior periods; this applies the same split. Source: 1Q'22 Form 10-Q (acc. 0001770450-22-000020 (xrx-20220331)), Condensed Consolidated Statements of Income (Loss), three months ended Mar 31, 2022.</t>
      </text>
    </comment>
    <comment ref="J32" authorId="0" shapeId="0">
      <text>
        <t>Non-financing interest expense, 2Q'22: 49-26. Derived: total interest expense 49 (Debt note, Interest Income and Interest Expense details) less Cost of financing 26 (equipment financing interest), same filing. Xerox split non-financing interest out of Other expenses, net in 2026 and conformed prior periods; this applies the same split. Source: 2Q'22 Form 10-Q (acc. 0001770450-22-000030 (xrx-20220630)), Condensed Consolidated Statements of Income (Loss), three months ended Jun 30, 2022.</t>
      </text>
    </comment>
    <comment ref="K32" authorId="0" shapeId="0">
      <text>
        <t>Non-financing interest expense, 3Q'22: 49-28. Derived: total interest expense 49 (Debt note, Interest Income and Interest Expense details) less Cost of financing 28 (equipment financing interest), same filing. Xerox split non-financing interest out of Other expenses, net in 2026 and conformed prior periods; this applies the same split. Source: 3Q'22 Form 10-Q (acc. 0001770450-22-000041 (xrx-20220930)), Condensed Consolidated Statements of Income (Loss), three months ended Sep 30, 2022.</t>
      </text>
    </comment>
    <comment ref="L32" authorId="0" shapeId="0">
      <text>
        <t>4Q'22 derived = FY2022 (10-K) less 1Q-3Q (10-Qs), so the quarters tie to the reported annual.</t>
      </text>
    </comment>
    <comment ref="M32" authorId="0" shapeId="0">
      <text>
        <t>Non-financing interest expense, 1Q'23: 50-36. Derived: total interest expense 50 (Debt note, Interest Income and Interest Expense details) less Cost of financing 36 (equipment financing interest), same filing. Xerox split non-financing interest out of Other expenses, net in 2026 and conformed prior periods; this applies the same split. Source: 1Q'23 Form 10-Q (acc. 0001770450-23-000032 (xrx-20230331)), Condensed Consolidated Statements of Income (Loss), three months ended Mar 31, 2023.</t>
      </text>
    </comment>
    <comment ref="N32" authorId="0" shapeId="0">
      <text>
        <t>Non-financing interest expense, 2Q'23: 46-34. Derived: total interest expense 46 (Debt note, Interest Income and Interest Expense details) less Cost of financing 34 (equipment financing interest), same filing. Xerox split non-financing interest out of Other expenses, net in 2026 and conformed prior periods; this applies the same split. Source: 2Q'23 Form 10-Q (acc. 0001770450-23-000042 (xrx-20230630)), Condensed Consolidated Statements of Income (Loss), three months ended Jun 30, 2023.</t>
      </text>
    </comment>
    <comment ref="O32" authorId="0" shapeId="0">
      <text>
        <t>Non-financing interest expense, 3Q'23: 44-30. Derived: total interest expense 44 (Debt note, Interest Income and Interest Expense details) less Cost of financing 30 (equipment financing interest), same filing. Xerox split non-financing interest out of Other expenses, net in 2026 and conformed prior periods; this applies the same split. Source: 3Q'23 Form 10-Q (acc. 0001770450-23-000050 (xrx-20230930)), Condensed Consolidated Statements of Income (Loss), three months ended Sep 30, 2023.</t>
      </text>
    </comment>
    <comment ref="P32" authorId="0" shapeId="0">
      <text>
        <t>4Q'23 derived = FY2023 (10-K) less 1Q-3Q (10-Qs), so the quarters tie to the reported annual.</t>
      </text>
    </comment>
    <comment ref="Q32" authorId="0" shapeId="0">
      <text>
        <t>Non-financing interest expense, 1Q'24: 26. Source: 1Q'25 Form 10-Q (acc. 0001770450-25-000026 (xrx-20250331)), Debt note, Interest Income and Interest Expense details, prior-year column.</t>
      </text>
    </comment>
    <comment ref="R32" authorId="0" shapeId="0">
      <text>
        <t>Non-financing interest expense, 2Q'24: 31. Source: 2Q'25 Form 10-Q (acc. 0001628280-25-038980 (xrx-20250630)), Debt note, Interest Income and Interest Expense details, prior-year column.</t>
      </text>
    </comment>
    <comment ref="S32" authorId="0" shapeId="0">
      <text>
        <t>Non-financing interest expense, 3Q'24: 31. Source: 3Q'25 Form 10-Q (acc. 0001770450-25-000037 (xrx-20250930)), Debt note, Interest Income and Interest Expense details, prior-year column.</t>
      </text>
    </comment>
    <comment ref="T32" authorId="0" shapeId="0">
      <text>
        <t>4Q'24 derived = FY2024 (10-K) less 1Q-3Q (10-Qs), so the quarters tie to the reported annual.</t>
      </text>
    </comment>
    <comment ref="U32" authorId="0" shapeId="0">
      <text>
        <t>Non-financing interest expense, 1Q'25: 33. Source: 1Q'26 Form 10-Q (acc. 0001770450-26-000030 (xrx-20260331)), Condensed Consolidated Statements of Income (Loss), prior-year column, three months ended Mar 31, 2025 (as reclassified to the current presentation).</t>
      </text>
    </comment>
    <comment ref="V32" authorId="0" shapeId="0">
      <text>
        <t>Non-financing interest expense, 2Q'25: 55. Source: 2Q'26 Form 10-Q (acc. 0001770450-26-000040 (xrx-20260630)), Condensed Consolidated Statements of Income (Loss), prior-year column, three months ended Jun 30, 2025 (as reclassified to the current presentation).</t>
      </text>
    </comment>
    <comment ref="W32" authorId="0" shapeId="0">
      <text>
        <t>Non-financing interest expense, 3Q'25: 80. Source: 3Q'25 Form 10-Q (acc. 0001770450-25-000037 (xrx-20250930)), Debt note, Interest Income and Interest Expense details, three months ended Sep 30, 2025.</t>
      </text>
    </comment>
    <comment ref="X32" authorId="0" shapeId="0">
      <text>
        <t>4Q'25 derived = FY2025 (10-K) less 1Q-3Q (10-Qs), so the quarters tie to the reported annual.</t>
      </text>
    </comment>
    <comment ref="Y32" authorId="0" shapeId="0">
      <text>
        <t>Non-financing interest expense, 1Q'26: 84. Source: 1Q'26 Form 10-Q (acc. 0001770450-26-000030 (xrx-20260331)), Condensed Consolidated Statements of Income (Loss), three months ended Mar 31, 2026.</t>
      </text>
    </comment>
    <comment ref="Z32" authorId="0" shapeId="0">
      <text>
        <t>Non-financing interest expense, 2Q'26: 100. Source: 2Q'26 Form 10-Q (acc. 0001770450-26-000040 (xrx-20260630)), Condensed Consolidated Statements of Income (Loss), three months ended Jun 30, 2026.</t>
      </text>
    </comment>
    <comment ref="AB32" authorId="0" shapeId="0">
      <text>
        <t>Non-financing interest expense, FY2021: 207-111. Derived: interest expense 207 (Debt note, Interest Income and Interest Expense) less Cost of financing 111. Source: FY2023 Form 10-K (acc. 0001770450-24-000012, xrx-20231231), year ended Dec 31, 2021 column (most recent presentation of FY2021).</t>
      </text>
    </comment>
    <comment ref="AC32" authorId="0" shapeId="0">
      <text>
        <t>Non-financing interest expense, FY2022: 199-108. Derived: interest expense 199 (Debt note, Interest Income and Interest Expense) less Cost of financing 108. Source: FY2024 Form 10-K (acc. 0001770450-25-000010, xrx-20241231), year ended Dec 31, 2022 column (most recent presentation of FY2022).</t>
      </text>
    </comment>
    <comment ref="AD32" authorId="0" shapeId="0">
      <text>
        <t>Non-financing interest expense, FY2023: 198-130. Derived: interest expense 198 (Debt note, Interest Income and Interest Expense) less Cost of financing 130. Source: FY2025 Form 10-K (acc. 0001770450-26-000009, xrx-20251231), year ended Dec 31, 2023 column (as reclassified in 2025).</t>
      </text>
    </comment>
    <comment ref="AE32" authorId="0" shapeId="0">
      <text>
        <t>Non-financing interest expense, FY2024: 119. Source: Q2'26 earnings presentation (Xerox IR, 2026-07-30), Adjusted EBITDA and Margin Reconciliation, FY-24 column, Non-financing interest expense.</t>
      </text>
    </comment>
    <comment ref="AF32" authorId="0" shapeId="0">
      <text>
        <t>Non-financing interest expense, FY2025: 248. Source: Q2'26 earnings presentation (Xerox IR, 2026-07-30), Adjusted EBITDA and Margin Reconciliation, FY-25 column, Non-financing interest expense.</t>
      </text>
    </comment>
    <comment ref="AH32" authorId="0" shapeId="0">
      <text>
        <t>LTM = 3Q'24 + 4Q'24 + 1Q'25 + 2Q'25 (trailing four quarters).</t>
      </text>
    </comment>
    <comment ref="AI32" authorId="0" shapeId="0">
      <text>
        <t>LTM = 3Q'25 + 4Q'25 + 1Q'26 + 2Q'26 (trailing four quarters).</t>
      </text>
    </comment>
    <comment ref="E33" authorId="0" shapeId="0">
      <text>
        <t>Other expenses (income), net, 1Q'21: 4-0-24. Conformed: Other expenses, net as reported 4 less Equity in net income of unconsolidated affiliates 0 (folded into Other expenses, net in the FY2023 10-K presentation) less non-financing interest expense 24. Source: 1Q'21 Form 10-Q (acc. 0001770450-21-000025 (xrx-20210331)), Condensed Consolidated Statements of Income (Loss), three months ended Mar 31, 2021.</t>
      </text>
    </comment>
    <comment ref="F33" authorId="0" shapeId="0">
      <text>
        <t>Other expenses (income), net, 2Q'21: 1-1-24. Conformed: Other expenses, net as reported 1 less Equity in net income of unconsolidated affiliates 1 (folded into Other expenses, net in the FY2023 10-K presentation) less non-financing interest expense 24. Source: 2Q'21 Form 10-Q (acc. 0001770450-21-000036 (xrx-20210630)), Condensed Consolidated Statements of Income (Loss), three months ended Jun 30, 2021.</t>
      </text>
    </comment>
    <comment ref="G33" authorId="0" shapeId="0">
      <text>
        <t>Other expenses (income), net, 3Q'21: -33-1-23. Conformed: Other expenses, net as reported -33 less Equity in net income of unconsolidated affiliates 1 (folded into Other expenses, net in the FY2023 10-K presentation) less non-financing interest expense 23. Source: 3Q'21 Form 10-Q (acc. 0001770450-21-000050 (xrx-20210930)), Condensed Consolidated Statements of Income (Loss), three months ended Sep 30, 2021.</t>
      </text>
    </comment>
    <comment ref="H33" authorId="0" shapeId="0">
      <text>
        <t>4Q'21 derived = FY2021 (10-K) less 1Q-3Q (10-Qs), so the quarters tie to the reported annual.</t>
      </text>
    </comment>
    <comment ref="I33" authorId="0" shapeId="0">
      <text>
        <t>Other expenses (income), net, 1Q'22: 57-1-29. Conformed: Other expenses, net as reported 57 less Equity in net income of unconsolidated affiliates 1 (folded into Other expenses, net in the FY2023 10-K presentation) less non-financing interest expense 29. Source: 1Q'22 Form 10-Q (acc. 0001770450-22-000020 (xrx-20220331)), Condensed Consolidated Statements of Income (Loss), three months ended Mar 31, 2022.</t>
      </text>
    </comment>
    <comment ref="J33" authorId="0" shapeId="0">
      <text>
        <t>Other expenses (income), net, 2Q'22: 8-1-23. Conformed: Other expenses, net as reported 8 less Equity in net income of unconsolidated affiliates 1 (folded into Other expenses, net in the FY2023 10-K presentation) less non-financing interest expense 23. Source: 2Q'22 Form 10-Q (acc. 0001770450-22-000030 (xrx-20220630)), Condensed Consolidated Statements of Income (Loss), three months ended Jun 30, 2022.</t>
      </text>
    </comment>
    <comment ref="K33" authorId="0" shapeId="0">
      <text>
        <t>Other expenses (income), net, 3Q'22: 1-1-21. Conformed: Other expenses, net as reported 1 less Equity in net income of unconsolidated affiliates 1 (folded into Other expenses, net in the FY2023 10-K presentation) less non-financing interest expense 21. Source: 3Q'22 Form 10-Q (acc. 0001770450-22-000041 (xrx-20220930)), Condensed Consolidated Statements of Income (Loss), three months ended Sep 30, 2022.</t>
      </text>
    </comment>
    <comment ref="L33" authorId="0" shapeId="0">
      <text>
        <t>4Q'22 derived = FY2022 (10-K) less 1Q-3Q (10-Qs), so the quarters tie to the reported annual.</t>
      </text>
    </comment>
    <comment ref="M33" authorId="0" shapeId="0">
      <text>
        <t>Other expenses (income), net, 1Q'23: 20-0-14. Conformed: Other expenses, net as reported 20 less Equity in net income of unconsolidated affiliates 0 (folded into Other expenses, net in the FY2023 10-K presentation) less non-financing interest expense 14. Source: 1Q'23 Form 10-Q (acc. 0001770450-23-000032 (xrx-20230331)), Condensed Consolidated Statements of Income (Loss), three months ended Mar 31, 2023.</t>
      </text>
    </comment>
    <comment ref="N33" authorId="0" shapeId="0">
      <text>
        <t>Other expenses (income), net, 2Q'23: 31-1-12. Conformed: Other expenses, net as reported 31 less Equity in net income of unconsolidated affiliates 1 (folded into Other expenses, net in the FY2023 10-K presentation) less non-financing interest expense 12. Source: 2Q'23 Form 10-Q (acc. 0001770450-23-000042 (xrx-20230630)), Condensed Consolidated Statements of Income (Loss), three months ended Jun 30, 2023.</t>
      </text>
    </comment>
    <comment ref="O33" authorId="0" shapeId="0">
      <text>
        <t>Other expenses (income), net, 3Q'23: -17-1-14. Conformed: Other expenses, net as reported -17 less Equity in net income of unconsolidated affiliates 1 (folded into Other expenses, net in the FY2023 10-K presentation) less non-financing interest expense 14. Source: 3Q'23 Form 10-Q (acc. 0001770450-23-000050 (xrx-20230930)), Condensed Consolidated Statements of Income (Loss), three months ended Sep 30, 2023.</t>
      </text>
    </comment>
    <comment ref="P33" authorId="0" shapeId="0">
      <text>
        <t>4Q'23 derived = FY2023 (10-K) less 1Q-3Q (10-Qs), so the quarters tie to the reported annual.</t>
      </text>
    </comment>
    <comment ref="Q33" authorId="0" shapeId="0">
      <text>
        <t>Other expenses (income), net, 1Q'24: 44-26. Conformed: Other expenses, net as reported 44 less non-financing interest expense 26 (Debt note). Source: 1Q'25 Form 10-Q (acc. 0001770450-25-000026 (xrx-20250331)), Condensed Consolidated Statements of Income (Loss), prior-year column, three months ended Mar 31, 2024 (as reclassified to the current presentation).</t>
      </text>
    </comment>
    <comment ref="R33" authorId="0" shapeId="0">
      <text>
        <t>Other expenses (income), net, 2Q'24: 33-31. Conformed: Other expenses, net as reported 33 less non-financing interest expense 31 (Debt note). Source: 2Q'25 Form 10-Q (acc. 0001628280-25-038980 (xrx-20250630)), Condensed Consolidated Statements of Income (Loss), prior-year column, three months ended Jun 30, 2024 (as reclassified to the current presentation).</t>
      </text>
    </comment>
    <comment ref="S33" authorId="0" shapeId="0">
      <text>
        <t>Other expenses (income), net, 3Q'24: 43-31. Conformed: Other expenses, net as reported 43 less non-financing interest expense 31 (Debt note). Source: 3Q'25 Form 10-Q (acc. 0001770450-25-000037 (xrx-20250930)), Condensed Consolidated Statements of Income (Loss), prior-year column, three months ended Sep 30, 2024 (as reclassified to the current presentation).</t>
      </text>
    </comment>
    <comment ref="T33" authorId="0" shapeId="0">
      <text>
        <t>4Q'24 derived = FY2024 (10-K) less 1Q-3Q (10-Qs), so the quarters tie to the reported annual.</t>
      </text>
    </comment>
    <comment ref="U33" authorId="0" shapeId="0">
      <text>
        <t>Other expenses (income), net, 1Q'25: 35. Source: 1Q'26 Form 10-Q (acc. 0001770450-26-000030 (xrx-20260331)), Condensed Consolidated Statements of Income (Loss), prior-year column, three months ended Mar 31, 2025 (as reclassified to the current presentation).</t>
      </text>
    </comment>
    <comment ref="V33" authorId="0" shapeId="0">
      <text>
        <t>Other expenses (income), net, 2Q'25: 25. Source: 2Q'26 Form 10-Q (acc. 0001770450-26-000040 (xrx-20260630)), Condensed Consolidated Statements of Income (Loss), prior-year column, three months ended Jun 30, 2025 (as reclassified to the current presentation).</t>
      </text>
    </comment>
    <comment ref="W33" authorId="0" shapeId="0">
      <text>
        <t>Other expenses (income), net, 3Q'25: 105-80. Conformed: Other expenses, net as reported 105 less non-financing interest expense 80 (Debt note). Source: 3Q'25 Form 10-Q (acc. 0001770450-25-000037 (xrx-20250930)), Condensed Consolidated Statements of Income (Loss), three months ended Sep 30, 2025.</t>
      </text>
    </comment>
    <comment ref="X33" authorId="0" shapeId="0">
      <text>
        <t>4Q'25 derived = FY2025 (10-K) less 1Q-3Q (10-Qs), so the quarters tie to the reported annual.</t>
      </text>
    </comment>
    <comment ref="Y33" authorId="0" shapeId="0">
      <text>
        <t>Other expenses (income), net, 1Q'26: -31. Source: 1Q'26 Form 10-Q (acc. 0001770450-26-000030 (xrx-20260331)), Condensed Consolidated Statements of Income (Loss), three months ended Mar 31, 2026.</t>
      </text>
    </comment>
    <comment ref="Z33" authorId="0" shapeId="0">
      <text>
        <t>Other expenses (income), net, 2Q'26: 5. Source: 2Q'26 Form 10-Q (acc. 0001770450-26-000040 (xrx-20260630)), Condensed Consolidated Statements of Income (Loss), three months ended Jun 30, 2026.</t>
      </text>
    </comment>
    <comment ref="AB33" authorId="0" shapeId="0">
      <text>
        <t>Other expenses (income), net, FY2021: -27-(207-111). Conformed: Other expenses, net as presented (-27) less non-financing interest expense. Source: FY2023 Form 10-K (acc. 0001770450-24-000012, xrx-20231231), year ended Dec 31, 2021 column (most recent presentation of FY2021); NFI derived from Debt note.</t>
      </text>
    </comment>
    <comment ref="AC33" authorId="0" shapeId="0">
      <text>
        <t>Other expenses (income), net, FY2022: 60-(199-108). Conformed: Other expenses, net as presented (60) less non-financing interest expense. Source: FY2024 Form 10-K (acc. 0001770450-25-000010, xrx-20241231), year ended Dec 31, 2022 column (most recent presentation of FY2022); NFI derived from Debt note.</t>
      </text>
    </comment>
    <comment ref="AD33" authorId="0" shapeId="0">
      <text>
        <t>Other expenses (income), net, FY2023: 75-(198-130). Conformed: Other expenses, net as presented (75) less non-financing interest expense. Source: FY2025 Form 10-K (acc. 0001770450-26-000009, xrx-20251231), year ended Dec 31, 2023 column (as reclassified in 2025); NFI derived from Debt note.</t>
      </text>
    </comment>
    <comment ref="AE33" authorId="0" shapeId="0">
      <text>
        <t>Other expenses (income), net, FY2024: 158-119. Conformed: Other expenses, net as presented (158) less non-financing interest expense. Source: FY2025 Form 10-K (acc. 0001770450-26-000009, xrx-20251231), year ended Dec 31, 2024 column (as reclassified in 2025); NFI per Q2'26 earnings presentation (Xerox IR, 2026-07-30), Adjusted EBITDA and Margin Reconciliation.</t>
      </text>
    </comment>
    <comment ref="AF33" authorId="0" shapeId="0">
      <text>
        <t>Other expenses (income), net, FY2025: 360-248. Conformed: Other expenses, net as presented (360) less non-financing interest expense. Source: FY2025 Form 10-K (acc. 0001770450-26-000009, xrx-20251231), year ended Dec 31, 2025; NFI per Q2'26 earnings presentation (Xerox IR, 2026-07-30), Adjusted EBITDA and Margin Reconciliation.</t>
      </text>
    </comment>
    <comment ref="AH33" authorId="0" shapeId="0">
      <text>
        <t>LTM = 3Q'24 + 4Q'24 + 1Q'25 + 2Q'25 (trailing four quarters).</t>
      </text>
    </comment>
    <comment ref="AI33" authorId="0" shapeId="0">
      <text>
        <t>LTM = 3Q'25 + 4Q'25 + 1Q'26 + 2Q'26 (trailing four quarters).</t>
      </text>
    </comment>
    <comment ref="E35" authorId="0" shapeId="0">
      <text>
        <t>Income tax expense (benefit), 1Q'21: 14. Source: 1Q'21 Form 10-Q (acc. 0001770450-21-000025 (xrx-20210331)), Condensed Consolidated Statements of Income (Loss), three months ended Mar 31, 2021.</t>
      </text>
    </comment>
    <comment ref="F35" authorId="0" shapeId="0">
      <text>
        <t>Income tax expense (benefit), 2Q'21: 9. Source: 2Q'21 Form 10-Q (acc. 0001770450-21-000036 (xrx-20210630)), Condensed Consolidated Statements of Income (Loss), three months ended Jun 30, 2021.</t>
      </text>
    </comment>
    <comment ref="G35" authorId="0" shapeId="0">
      <text>
        <t>Income tax expense (benefit), 3Q'21: -4. Source: 3Q'21 Form 10-Q (acc. 0001770450-21-000050 (xrx-20210930)), Condensed Consolidated Statements of Income (Loss), three months ended Sep 30, 2021.</t>
      </text>
    </comment>
    <comment ref="H35" authorId="0" shapeId="0">
      <text>
        <t>4Q'21 derived = FY2021 (10-K) less 1Q-3Q (10-Qs), so the quarters tie to the reported annual.</t>
      </text>
    </comment>
    <comment ref="I35" authorId="0" shapeId="0">
      <text>
        <t>Income tax expense (benefit), 1Q'22: -31. Source: 1Q'22 Form 10-Q (acc. 0001770450-22-000020 (xrx-20220331)), Condensed Consolidated Statements of Income (Loss), three months ended Mar 31, 2022.</t>
      </text>
    </comment>
    <comment ref="J35" authorId="0" shapeId="0">
      <text>
        <t>Income tax expense (benefit), 2Q'22: 1. Source: 2Q'22 Form 10-Q (acc. 0001770450-22-000030 (xrx-20220630)), Condensed Consolidated Statements of Income (Loss), three months ended Jun 30, 2022.</t>
      </text>
    </comment>
    <comment ref="K35" authorId="0" shapeId="0">
      <text>
        <t>Income tax expense (benefit), 3Q'22: 3. Source: 3Q'22 Form 10-Q (acc. 0001770450-22-000041 (xrx-20220930)), Condensed Consolidated Statements of Income (Loss), three months ended Sep 30, 2022.</t>
      </text>
    </comment>
    <comment ref="L35" authorId="0" shapeId="0">
      <text>
        <t>4Q'22 derived = FY2022 (10-K) less 1Q-3Q (10-Qs), so the quarters tie to the reported annual.</t>
      </text>
    </comment>
    <comment ref="M35" authorId="0" shapeId="0">
      <text>
        <t>Income tax expense (benefit), 1Q'23: 14. Source: 1Q'23 Form 10-Q (acc. 0001770450-23-000032 (xrx-20230331)), Condensed Consolidated Statements of Income (Loss), three months ended Mar 31, 2023.</t>
      </text>
    </comment>
    <comment ref="N35" authorId="0" shapeId="0">
      <text>
        <t>Income tax expense (benefit), 2Q'23: -28. Source: 2Q'23 Form 10-Q (acc. 0001770450-23-000042 (xrx-20230630)), Condensed Consolidated Statements of Income (Loss), three months ended Jun 30, 2023.</t>
      </text>
    </comment>
    <comment ref="O35" authorId="0" shapeId="0">
      <text>
        <t>Income tax expense (benefit), 3Q'23: 15. Source: 3Q'23 Form 10-Q (acc. 0001770450-23-000050 (xrx-20230930)), Condensed Consolidated Statements of Income (Loss), three months ended Sep 30, 2023.</t>
      </text>
    </comment>
    <comment ref="P35" authorId="0" shapeId="0">
      <text>
        <t>4Q'23 derived = FY2023 (10-K) less 1Q-3Q (10-Qs), so the quarters tie to the reported annual.</t>
      </text>
    </comment>
    <comment ref="Q35" authorId="0" shapeId="0">
      <text>
        <t>Income tax expense (benefit), 1Q'24: -37. Source: 1Q'25 Form 10-Q (acc. 0001770450-25-000026 (xrx-20250331)), Condensed Consolidated Statements of Income (Loss), prior-year column, three months ended Mar 31, 2024 (as reclassified to the current presentation).</t>
      </text>
    </comment>
    <comment ref="R35" authorId="0" shapeId="0">
      <text>
        <t>Income tax expense (benefit), 2Q'24: 7. Source: 2Q'25 Form 10-Q (acc. 0001628280-25-038980 (xrx-20250630)), Condensed Consolidated Statements of Income (Loss), prior-year column, three months ended Jun 30, 2024 (as reclassified to the current presentation).</t>
      </text>
    </comment>
    <comment ref="S35" authorId="0" shapeId="0">
      <text>
        <t>Income tax expense (benefit), 3Q'24: 118. Source: 3Q'25 Form 10-Q (acc. 0001770450-25-000037 (xrx-20250930)), Condensed Consolidated Statements of Income (Loss), prior-year column, three months ended Sep 30, 2024 (as reclassified to the current presentation).</t>
      </text>
    </comment>
    <comment ref="T35" authorId="0" shapeId="0">
      <text>
        <t>4Q'24 derived = FY2024 (10-K) less 1Q-3Q (10-Qs), so the quarters tie to the reported annual.</t>
      </text>
    </comment>
    <comment ref="U35" authorId="0" shapeId="0">
      <text>
        <t>Income tax expense (benefit), 1Q'25: 23. Source: 1Q'26 Form 10-Q (acc. 0001770450-26-000030 (xrx-20260331)), Condensed Consolidated Statements of Income (Loss), prior-year column, three months ended Mar 31, 2025 (as reclassified to the current presentation).</t>
      </text>
    </comment>
    <comment ref="V35" authorId="0" shapeId="0">
      <text>
        <t>Income tax expense (benefit), 2Q'25: 46. Source: 2Q'26 Form 10-Q (acc. 0001770450-26-000040 (xrx-20260630)), Condensed Consolidated Statements of Income (Loss), prior-year column, three months ended Jun 30, 2025 (as reclassified to the current presentation).</t>
      </text>
    </comment>
    <comment ref="W35" authorId="0" shapeId="0">
      <text>
        <t>Income tax expense (benefit), 3Q'25: 460. Source: 3Q'25 Form 10-Q (acc. 0001770450-25-000037 (xrx-20250930)), Condensed Consolidated Statements of Income (Loss), three months ended Sep 30, 2025.</t>
      </text>
    </comment>
    <comment ref="X35" authorId="0" shapeId="0">
      <text>
        <t>4Q'25 derived = FY2025 (10-K) less 1Q-3Q (10-Qs), so the quarters tie to the reported annual.</t>
      </text>
    </comment>
    <comment ref="Y35" authorId="0" shapeId="0">
      <text>
        <t>Income tax expense (benefit), 1Q'26: 32. Source: 1Q'26 Form 10-Q (acc. 0001770450-26-000030 (xrx-20260331)), Condensed Consolidated Statements of Income (Loss), three months ended Mar 31, 2026.</t>
      </text>
    </comment>
    <comment ref="Z35" authorId="0" shapeId="0">
      <text>
        <t>Income tax expense (benefit), 2Q'26: 18. Source: 2Q'26 Form 10-Q (acc. 0001770450-26-000040 (xrx-20260630)), Condensed Consolidated Statements of Income (Loss), three months ended Jun 30, 2026.</t>
      </text>
    </comment>
    <comment ref="AB35" authorId="0" shapeId="0">
      <text>
        <t>Income tax expense (benefit), FY2021: -17. Source: FY2023 Form 10-K (acc. 0001770450-24-000012, xrx-20231231), year ended Dec 31, 2021 column (most recent presentation of FY2021), Consolidated Statements of Income (Loss).</t>
      </text>
    </comment>
    <comment ref="AC35" authorId="0" shapeId="0">
      <text>
        <t>Income tax expense (benefit), FY2022: -3. Source: FY2024 Form 10-K (acc. 0001770450-25-000010, xrx-20241231), year ended Dec 31, 2022 column (most recent presentation of FY2022), Consolidated Statements of Income (Loss).</t>
      </text>
    </comment>
    <comment ref="AD35" authorId="0" shapeId="0">
      <text>
        <t>Income tax expense (benefit), FY2023: -29. Source: FY2025 Form 10-K (acc. 0001770450-26-000009, xrx-20251231), year ended Dec 31, 2023 column (as reclassified in 2025), Consolidated Statements of Income (Loss).</t>
      </text>
    </comment>
    <comment ref="AE35" authorId="0" shapeId="0">
      <text>
        <t>Income tax expense (benefit), FY2024: 105. Source: FY2025 Form 10-K (acc. 0001770450-26-000009, xrx-20251231), year ended Dec 31, 2024 column (as reclassified in 2025), Consolidated Statements of Income (Loss).</t>
      </text>
    </comment>
    <comment ref="AF35" authorId="0" shapeId="0">
      <text>
        <t>Income tax expense (benefit), FY2025: 541. Source: FY2025 Form 10-K (acc. 0001770450-26-000009, xrx-20251231), year ended Dec 31, 2025, Consolidated Statements of Income (Loss).</t>
      </text>
    </comment>
    <comment ref="AH35" authorId="0" shapeId="0">
      <text>
        <t>LTM = 3Q'24 + 4Q'24 + 1Q'25 + 2Q'25 (trailing four quarters).</t>
      </text>
    </comment>
    <comment ref="AI35" authorId="0" shapeId="0">
      <text>
        <t>LTM = 3Q'25 + 4Q'25 + 1Q'26 + 2Q'26 (trailing four quarters).</t>
      </text>
    </comment>
    <comment ref="E37" authorId="0" shapeId="0">
      <text>
        <t>Less: net (income) loss attributable to noncontrolling interests, 1Q'21: 0. Net (income) loss attributable to noncontrolling interests, sign flipped to add to net income. Source: 1Q'21 Form 10-Q (acc. 0001770450-21-000025 (xrx-20210331)), Condensed Consolidated Statements of Income (Loss), three months ended Mar 31, 2021.</t>
      </text>
    </comment>
    <comment ref="F37" authorId="0" shapeId="0">
      <text>
        <t>Less: net (income) loss attributable to noncontrolling interests, 2Q'21: 0. Net (income) loss attributable to noncontrolling interests, sign flipped to add to net income. Source: 2Q'21 Form 10-Q (acc. 0001770450-21-000036 (xrx-20210630)), Condensed Consolidated Statements of Income (Loss), three months ended Jun 30, 2021.</t>
      </text>
    </comment>
    <comment ref="G37" authorId="0" shapeId="0">
      <text>
        <t>Less: net (income) loss attributable to noncontrolling interests, 3Q'21: 1. Net (income) loss attributable to noncontrolling interests, sign flipped to add to net income. Source: 3Q'21 Form 10-Q (acc. 0001770450-21-000050 (xrx-20210930)), Condensed Consolidated Statements of Income (Loss), three months ended Sep 30, 2021.</t>
      </text>
    </comment>
    <comment ref="H37" authorId="0" shapeId="0">
      <text>
        <t>4Q'21 derived = FY2021 (10-K) less 1Q-3Q (10-Qs), so the quarters tie to the reported annual.</t>
      </text>
    </comment>
    <comment ref="I37" authorId="0" shapeId="0">
      <text>
        <t>Less: net (income) loss attributable to noncontrolling interests, 1Q'22: 1. Net (income) loss attributable to noncontrolling interests, sign flipped to add to net income. Source: 1Q'22 Form 10-Q (acc. 0001770450-22-000020 (xrx-20220331)), Condensed Consolidated Statements of Income (Loss), three months ended Mar 31, 2022.</t>
      </text>
    </comment>
    <comment ref="J37" authorId="0" shapeId="0">
      <text>
        <t>Less: net (income) loss attributable to noncontrolling interests, 2Q'22: 1. Net (income) loss attributable to noncontrolling interests, sign flipped to add to net income. Source: 2Q'22 Form 10-Q (acc. 0001770450-22-000030 (xrx-20220630)), Condensed Consolidated Statements of Income (Loss), three months ended Jun 30, 2022.</t>
      </text>
    </comment>
    <comment ref="K37" authorId="0" shapeId="0">
      <text>
        <t>Less: net (income) loss attributable to noncontrolling interests, 3Q'22: -1. Net (income) loss attributable to noncontrolling interests, sign flipped to add to net income. Source: 3Q'22 Form 10-Q (acc. 0001770450-22-000041 (xrx-20220930)), Condensed Consolidated Statements of Income (Loss), three months ended Sep 30, 2022.</t>
      </text>
    </comment>
    <comment ref="L37" authorId="0" shapeId="0">
      <text>
        <t>4Q'22 derived = FY2022 (10-K) less 1Q-3Q (10-Qs), so the quarters tie to the reported annual.</t>
      </text>
    </comment>
    <comment ref="M37" authorId="0" shapeId="0">
      <text>
        <t>Less: net (income) loss attributable to noncontrolling interests, 1Q'23: 0. Net (income) loss attributable to noncontrolling interests, sign flipped to add to net income. Source: 1Q'23 Form 10-Q (acc. 0001770450-23-000032 (xrx-20230331)), Condensed Consolidated Statements of Income (Loss), three months ended Mar 31, 2023.</t>
      </text>
    </comment>
    <comment ref="N37" authorId="0" shapeId="0">
      <text>
        <t>Less: net (income) loss attributable to noncontrolling interests, 2Q'23: -1. Net (income) loss attributable to noncontrolling interests, sign flipped to add to net income. Source: 2Q'23 Form 10-Q (acc. 0001770450-23-000042 (xrx-20230630)), Condensed Consolidated Statements of Income (Loss), three months ended Jun 30, 2023.</t>
      </text>
    </comment>
    <comment ref="O37" authorId="0" shapeId="0">
      <text>
        <t>Less: net (income) loss attributable to noncontrolling interests, 3Q'23: 0. Net (income) loss attributable to noncontrolling interests, sign flipped to add to net income. Source: 3Q'23 Form 10-Q (acc. 0001770450-23-000050 (xrx-20230930)), Condensed Consolidated Statements of Income (Loss), three months ended Sep 30, 2023.</t>
      </text>
    </comment>
    <comment ref="P37" authorId="0" shapeId="0">
      <text>
        <t>4Q'23 derived = FY2023 (10-K) less 1Q-3Q (10-Qs), so the quarters tie to the reported annual.</t>
      </text>
    </comment>
    <comment ref="Q37" authorId="0" shapeId="0">
      <text>
        <t>Less: net (income) loss attributable to noncontrolling interests, 1Q'24: 0. No noncontrolling interest line presented from 2024; zero. Source: 1Q'24 Form 10-Q (acc. 0001770450-24-000031 (xrx-20240331)), Condensed Consolidated Statements of Income (Loss), three months ended Mar 31, 2024.</t>
      </text>
    </comment>
    <comment ref="R37" authorId="0" shapeId="0">
      <text>
        <t>Less: net (income) loss attributable to noncontrolling interests, 2Q'24: 0. No noncontrolling interest line presented from 2024; zero. Source: 2Q'24 Form 10-Q (acc. 0001770450-24-000042 (xrx-20240630)), Condensed Consolidated Statements of Income (Loss), three months ended Jun 30, 2024.</t>
      </text>
    </comment>
    <comment ref="S37" authorId="0" shapeId="0">
      <text>
        <t>Less: net (income) loss attributable to noncontrolling interests, 3Q'24: 0. No noncontrolling interest line presented from 2024; zero. Source: 3Q'24 Form 10-Q (acc. 0001770450-24-000050 (xrx-20240930)), Condensed Consolidated Statements of Income (Loss), three months ended Sep 30, 2024.</t>
      </text>
    </comment>
    <comment ref="T37" authorId="0" shapeId="0">
      <text>
        <t>4Q'24 derived = FY2024 (10-K) less 1Q-3Q (10-Qs), so the quarters tie to the reported annual.</t>
      </text>
    </comment>
    <comment ref="U37" authorId="0" shapeId="0">
      <text>
        <t>Less: net (income) loss attributable to noncontrolling interests, 1Q'25: 0. No noncontrolling interest line presented from 2024; zero. Source: 1Q'25 Form 10-Q (acc. 0001770450-25-000026 (xrx-20250331)), Condensed Consolidated Statements of Income (Loss), three months ended Mar 31, 2025.</t>
      </text>
    </comment>
    <comment ref="V37" authorId="0" shapeId="0">
      <text>
        <t>Less: net (income) loss attributable to noncontrolling interests, 2Q'25: 0. No noncontrolling interest line presented from 2024; zero. Source: 2Q'25 Form 10-Q (acc. 0001628280-25-038980 (xrx-20250630)), Condensed Consolidated Statements of Income (Loss), three months ended Jun 30, 2025.</t>
      </text>
    </comment>
    <comment ref="W37" authorId="0" shapeId="0">
      <text>
        <t>Less: net (income) loss attributable to noncontrolling interests, 3Q'25: 0. No noncontrolling interest line presented from 2024; zero. Source: 3Q'25 Form 10-Q (acc. 0001770450-25-000037 (xrx-20250930)), Condensed Consolidated Statements of Income (Loss), three months ended Sep 30, 2025.</t>
      </text>
    </comment>
    <comment ref="X37" authorId="0" shapeId="0">
      <text>
        <t>4Q'25 derived = FY2025 (10-K) less 1Q-3Q (10-Qs), so the quarters tie to the reported annual.</t>
      </text>
    </comment>
    <comment ref="Y37" authorId="0" shapeId="0">
      <text>
        <t>Less: net (income) loss attributable to noncontrolling interests, 1Q'26: 0. No noncontrolling interest line presented from 2024; zero. Source: 1Q'26 Form 10-Q (acc. 0001770450-26-000030 (xrx-20260331)), Condensed Consolidated Statements of Income (Loss), three months ended Mar 31, 2026.</t>
      </text>
    </comment>
    <comment ref="Z37" authorId="0" shapeId="0">
      <text>
        <t>Less: net (income) loss attributable to noncontrolling interests, 2Q'26: 0. No noncontrolling interest line presented from 2024; zero. Source: 2Q'26 Form 10-Q (acc. 0001770450-26-000040 (xrx-20260630)), Condensed Consolidated Statements of Income (Loss), three months ended Jun 30, 2026.</t>
      </text>
    </comment>
    <comment ref="AB37" authorId="0" shapeId="0">
      <text>
        <t>Less: net (income) loss attributable to noncontrolling interests, FY2021: 0. No separate noncontrolling interest line in the most recent 10-K presentation of FY2021; zero. Source: FY2023 Form 10-K (acc. 0001770450-24-000012, xrx-20231231), year ended Dec 31, 2021 column (most recent presentation of FY2021).</t>
      </text>
    </comment>
    <comment ref="AC37" authorId="0" shapeId="0">
      <text>
        <t>Less: net (income) loss attributable to noncontrolling interests, FY2022: 0. No separate noncontrolling interest line in the most recent 10-K presentation of FY2022; zero. Source: FY2024 Form 10-K (acc. 0001770450-25-000010, xrx-20241231), year ended Dec 31, 2022 column (most recent presentation of FY2022).</t>
      </text>
    </comment>
    <comment ref="AD37" authorId="0" shapeId="0">
      <text>
        <t>Less: net (income) loss attributable to noncontrolling interests, FY2023: 0. No separate noncontrolling interest line in the most recent 10-K presentation of FY2023; zero. Source: FY2025 Form 10-K (acc. 0001770450-26-000009, xrx-20251231), year ended Dec 31, 2023 column (as reclassified in 2025).</t>
      </text>
    </comment>
    <comment ref="AE37" authorId="0" shapeId="0">
      <text>
        <t>Less: net (income) loss attributable to noncontrolling interests, FY2024: 0. No separate noncontrolling interest line in the most recent 10-K presentation of FY2024; zero. Source: FY2025 Form 10-K (acc. 0001770450-26-000009, xrx-20251231), year ended Dec 31, 2024 column (as reclassified in 2025).</t>
      </text>
    </comment>
    <comment ref="AF37" authorId="0" shapeId="0">
      <text>
        <t>Less: net (income) loss attributable to noncontrolling interests, FY2025: 0. No separate noncontrolling interest line in the most recent 10-K presentation of FY2025; zero. Source: FY2025 Form 10-K (acc. 0001770450-26-000009, xrx-20251231), year ended Dec 31, 2025.</t>
      </text>
    </comment>
    <comment ref="AH37" authorId="0" shapeId="0">
      <text>
        <t>LTM = 3Q'24 + 4Q'24 + 1Q'25 + 2Q'25 (trailing four quarters).</t>
      </text>
    </comment>
    <comment ref="AI37" authorId="0" shapeId="0">
      <text>
        <t>LTM = 3Q'25 + 4Q'25 + 1Q'26 + 2Q'26 (trailing four quarters).</t>
      </text>
    </comment>
    <comment ref="E39" authorId="0" shapeId="0">
      <text>
        <t>Net (loss) income attributable to Xerox Holdings (reported), 1Q'21: 39. Source: 1Q'21 Form 10-Q (acc. 0001770450-21-000025 (xrx-20210331)), Condensed Consolidated Statements of Income (Loss), three months ended Mar 31, 2021.</t>
      </text>
    </comment>
    <comment ref="F39" authorId="0" shapeId="0">
      <text>
        <t>Net (loss) income attributable to Xerox Holdings (reported), 2Q'21: 91. Source: 2Q'21 Form 10-Q (acc. 0001770450-21-000036 (xrx-20210630)), Condensed Consolidated Statements of Income (Loss), three months ended Jun 30, 2021.</t>
      </text>
    </comment>
    <comment ref="G39" authorId="0" shapeId="0">
      <text>
        <t>Net (loss) income attributable to Xerox Holdings (reported), 3Q'21: 90. Source: 3Q'21 Form 10-Q (acc. 0001770450-21-000050 (xrx-20210930)), Condensed Consolidated Statements of Income (Loss), three months ended Sep 30, 2021.</t>
      </text>
    </comment>
    <comment ref="H39" authorId="0" shapeId="0">
      <text>
        <t>Net (loss) income attributable to Xerox Holdings (reported), 4Q'21: -675. Source: Q4'21 earnings release (8-K Ex. 99.1, filed 2022-01-25), Condensed Consolidated Statements of Income (Loss), three months ended Dec 31, 2021.</t>
      </text>
    </comment>
    <comment ref="I39" authorId="0" shapeId="0">
      <text>
        <t>Net (loss) income attributable to Xerox Holdings (reported), 1Q'22: -56. Source: 1Q'22 Form 10-Q (acc. 0001770450-22-000020 (xrx-20220331)), Condensed Consolidated Statements of Income (Loss), three months ended Mar 31, 2022.</t>
      </text>
    </comment>
    <comment ref="J39" authorId="0" shapeId="0">
      <text>
        <t>Net (loss) income attributable to Xerox Holdings (reported), 2Q'22: -4. Source: 2Q'22 Form 10-Q (acc. 0001770450-22-000030 (xrx-20220630)), Condensed Consolidated Statements of Income (Loss), three months ended Jun 30, 2022.</t>
      </text>
    </comment>
    <comment ref="K39" authorId="0" shapeId="0">
      <text>
        <t>Net (loss) income attributable to Xerox Holdings (reported), 3Q'22: -383. Source: 3Q'22 Form 10-Q (acc. 0001770450-22-000041 (xrx-20220930)), Condensed Consolidated Statements of Income (Loss), three months ended Sep 30, 2022.</t>
      </text>
    </comment>
    <comment ref="L39" authorId="0" shapeId="0">
      <text>
        <t>Net (loss) income attributable to Xerox Holdings (reported), 4Q'22: 121. Source: Q4'22 earnings release (8-K Ex. 99.1, filed 2023-01-26), Condensed Consolidated Statements of Income (Loss), three months ended Dec 31, 2022.</t>
      </text>
    </comment>
    <comment ref="M39" authorId="0" shapeId="0">
      <text>
        <t>Net (loss) income attributable to Xerox Holdings (reported), 1Q'23: 71. Source: 1Q'23 Form 10-Q (acc. 0001770450-23-000032 (xrx-20230331)), Condensed Consolidated Statements of Income (Loss), three months ended Mar 31, 2023.</t>
      </text>
    </comment>
    <comment ref="N39" authorId="0" shapeId="0">
      <text>
        <t>Net (loss) income attributable to Xerox Holdings (reported), 2Q'23: -61. Source: 2Q'23 Form 10-Q (acc. 0001770450-23-000042 (xrx-20230630)), Condensed Consolidated Statements of Income (Loss), three months ended Jun 30, 2023.</t>
      </text>
    </comment>
    <comment ref="O39" authorId="0" shapeId="0">
      <text>
        <t>Net (loss) income attributable to Xerox Holdings (reported), 3Q'23: 49. Source: 3Q'23 Form 10-Q (acc. 0001770450-23-000050 (xrx-20230930)), Condensed Consolidated Statements of Income (Loss), three months ended Sep 30, 2023.</t>
      </text>
    </comment>
    <comment ref="P39" authorId="0" shapeId="0">
      <text>
        <t>Net (loss) income attributable to Xerox Holdings (reported), 4Q'23: -58. Source: Q4'23 earnings release (8-K Ex. 99.1, filed 2024-01-25), Condensed Consolidated Statements of Income (Loss), three months ended Dec 31, 2023.</t>
      </text>
    </comment>
    <comment ref="Q39" authorId="0" shapeId="0">
      <text>
        <t>Net (loss) income (reported), 1Q'24: -113. Source: 1Q'24 Form 10-Q (acc. 0001770450-24-000031 (xrx-20240331)), Condensed Consolidated Statements of Income (Loss), three months ended Mar 31, 2024.</t>
      </text>
    </comment>
    <comment ref="R39" authorId="0" shapeId="0">
      <text>
        <t>Net (loss) income (reported), 2Q'24: 18. Source: 2Q'24 Form 10-Q (acc. 0001770450-24-000042 (xrx-20240630)), Condensed Consolidated Statements of Income (Loss), three months ended Jun 30, 2024.</t>
      </text>
    </comment>
    <comment ref="S39" authorId="0" shapeId="0">
      <text>
        <t>Net (loss) income (reported), 3Q'24: -1,205. Source: 3Q'24 Form 10-Q (acc. 0001770450-24-000050 (xrx-20240930)), Condensed Consolidated Statements of Income (Loss), three months ended Sep 30, 2024.</t>
      </text>
    </comment>
    <comment ref="T39" authorId="0" shapeId="0">
      <text>
        <t>Net (loss) income (reported), 4Q'24: -21. Source: Q4'24 earnings release (8-K Ex. 99.1, filed 2025-01-28), Condensed Consolidated Statements of Income (Loss), three months ended Dec 31, 2024.</t>
      </text>
    </comment>
    <comment ref="U39" authorId="0" shapeId="0">
      <text>
        <t>Net (loss) income (reported), 1Q'25: -90. Source: 1Q'25 Form 10-Q (acc. 0001770450-25-000026 (xrx-20250331)), Condensed Consolidated Statements of Income (Loss), three months ended Mar 31, 2025.</t>
      </text>
    </comment>
    <comment ref="V39" authorId="0" shapeId="0">
      <text>
        <t>Net (loss) income (reported), 2Q'25: -106. Source: 2Q'25 Form 10-Q (acc. 0001628280-25-038980 (xrx-20250630)), Condensed Consolidated Statements of Income (Loss), three months ended Jun 30, 2025.</t>
      </text>
    </comment>
    <comment ref="W39" authorId="0" shapeId="0">
      <text>
        <t>Net (loss) income (reported), 3Q'25: -760. Source: 3Q'25 Form 10-Q (acc. 0001770450-25-000037 (xrx-20250930)), Condensed Consolidated Statements of Income (Loss), three months ended Sep 30, 2025.</t>
      </text>
    </comment>
    <comment ref="X39" authorId="0" shapeId="0">
      <text>
        <t>Net (loss) income (reported), 4Q'25: -73. Source: Q4'25 earnings release (8-K Ex. 99.1, filed 2026-01-29), Condensed Consolidated Statements of Income (Loss), three months ended Dec 31, 2025.</t>
      </text>
    </comment>
    <comment ref="Y39" authorId="0" shapeId="0">
      <text>
        <t>Net (loss) income (reported), 1Q'26: -105. Source: 1Q'26 Form 10-Q (acc. 0001770450-26-000030 (xrx-20260331)), Condensed Consolidated Statements of Income (Loss), three months ended Mar 31, 2026.</t>
      </text>
    </comment>
    <comment ref="Z39" authorId="0" shapeId="0">
      <text>
        <t>Net (loss) income (reported), 2Q'26: 13. Source: 2Q'26 Form 10-Q (acc. 0001770450-26-000040 (xrx-20260630)), Condensed Consolidated Statements of Income (Loss), three months ended Jun 30, 2026.</t>
      </text>
    </comment>
    <comment ref="AB39" authorId="0" shapeId="0">
      <text>
        <t>Net (loss) income attributable to Xerox Holdings (reported), FY2021: -455. Source: FY2023 Form 10-K (acc. 0001770450-24-000012, xrx-20231231), year ended Dec 31, 2021 column (most recent presentation of FY2021), Consolidated Statements of Income (Loss).</t>
      </text>
    </comment>
    <comment ref="AC39" authorId="0" shapeId="0">
      <text>
        <t>Net (loss) income attributable to Xerox Holdings (reported), FY2022: -322. Source: FY2024 Form 10-K (acc. 0001770450-25-000010, xrx-20241231), year ended Dec 31, 2022 column (most recent presentation of FY2022), Consolidated Statements of Income (Loss).</t>
      </text>
    </comment>
    <comment ref="AD39" authorId="0" shapeId="0">
      <text>
        <t>Net (loss) income attributable to Xerox Holdings (reported), FY2023: 1. Source: FY2025 Form 10-K (acc. 0001770450-26-000009, xrx-20251231), year ended Dec 31, 2023 column (as reclassified in 2025), Consolidated Statements of Income (Loss).</t>
      </text>
    </comment>
    <comment ref="AE39" authorId="0" shapeId="0">
      <text>
        <t>Net (loss) income (reported), FY2024: -1,321. Source: FY2025 Form 10-K (acc. 0001770450-26-000009, xrx-20251231), year ended Dec 31, 2024 column (as reclassified in 2025), Consolidated Statements of Income (Loss).</t>
      </text>
    </comment>
    <comment ref="AF39" authorId="0" shapeId="0">
      <text>
        <t>Net (loss) income (reported), FY2025: -1,029. Source: FY2025 Form 10-K (acc. 0001770450-26-000009, xrx-20251231), year ended Dec 31, 2025, Consolidated Statements of Income (Loss).</t>
      </text>
    </comment>
    <comment ref="E41" authorId="0" shapeId="0">
      <text>
        <t>Less: preferred stock dividends, net, 1Q'21: -4. Accrued dividends on preferred stock, Earnings per Share note (Basic and Diluted EPS details). Source: 1Q'21 Form 10-Q (acc. 0001770450-21-000025 (xrx-20210331)), Earnings per Share note, three months ended Mar 31, 2021.</t>
      </text>
    </comment>
    <comment ref="F41" authorId="0" shapeId="0">
      <text>
        <t>Less: preferred stock dividends, net, 2Q'21: -3. Accrued dividends on preferred stock, Earnings per Share note (Basic and Diluted EPS details). Source: 2Q'21 Form 10-Q (acc. 0001770450-21-000036 (xrx-20210630)), Earnings per Share note, three months ended Jun 30, 2021.</t>
      </text>
    </comment>
    <comment ref="G41" authorId="0" shapeId="0">
      <text>
        <t>Less: preferred stock dividends, net, 3Q'21: -4. Accrued dividends on preferred stock, Earnings per Share note (Basic and Diluted EPS details). Source: 3Q'21 Form 10-Q (acc. 0001770450-21-000050 (xrx-20210930)), Earnings per Share note, three months ended Sep 30, 2021.</t>
      </text>
    </comment>
    <comment ref="H41" authorId="0" shapeId="0">
      <text>
        <t>4Q'21 derived = FY2021 (10-K) less 1Q-3Q (10-Qs), so the quarters tie to the reported annual.</t>
      </text>
    </comment>
    <comment ref="I41" authorId="0" shapeId="0">
      <text>
        <t>Less: preferred stock dividends, net, 1Q'22: -4. Accrued dividends on preferred stock, Earnings per Share note (Basic and Diluted EPS details). Source: 1Q'22 Form 10-Q (acc. 0001770450-22-000020 (xrx-20220331)), Earnings per Share note, three months ended Mar 31, 2022.</t>
      </text>
    </comment>
    <comment ref="J41" authorId="0" shapeId="0">
      <text>
        <t>Less: preferred stock dividends, net, 2Q'22: -3. Accrued dividends on preferred stock, Earnings per Share note (Basic and Diluted EPS details). Source: 2Q'22 Form 10-Q (acc. 0001770450-22-000030 (xrx-20220630)), Earnings per Share note, three months ended Jun 30, 2022.</t>
      </text>
    </comment>
    <comment ref="K41" authorId="0" shapeId="0">
      <text>
        <t>Less: preferred stock dividends, net, 3Q'22: -4. Accrued dividends on preferred stock, Earnings per Share note (Basic and Diluted EPS details). Source: 3Q'22 Form 10-Q (acc. 0001770450-22-000041 (xrx-20220930)), Earnings per Share note, three months ended Sep 30, 2022.</t>
      </text>
    </comment>
    <comment ref="L41" authorId="0" shapeId="0">
      <text>
        <t>4Q'22 derived = FY2022 (10-K) less 1Q-3Q (10-Qs), so the quarters tie to the reported annual.</t>
      </text>
    </comment>
    <comment ref="M41" authorId="0" shapeId="0">
      <text>
        <t>Less: preferred stock dividends, net, 1Q'23: -4. Accrued dividends on preferred stock, Earnings per Share note (Basic and Diluted EPS details). Source: 1Q'23 Form 10-Q (acc. 0001770450-23-000032 (xrx-20230331)), Earnings per Share note, three months ended Mar 31, 2023.</t>
      </text>
    </comment>
    <comment ref="N41" authorId="0" shapeId="0">
      <text>
        <t>Less: preferred stock dividends, net, 2Q'23: -3. Accrued dividends on preferred stock, Earnings per Share note (Basic and Diluted EPS details). Source: 2Q'23 Form 10-Q (acc. 0001770450-23-000042 (xrx-20230630)), Earnings per Share note, three months ended Jun 30, 2023.</t>
      </text>
    </comment>
    <comment ref="O41" authorId="0" shapeId="0">
      <text>
        <t>Less: preferred stock dividends, net, 3Q'23: -4. Accrued dividends on preferred stock, Earnings per Share note (Basic and Diluted EPS details). Source: 3Q'23 Form 10-Q (acc. 0001770450-23-000050 (xrx-20230930)), Earnings per Share note, three months ended Sep 30, 2023.</t>
      </text>
    </comment>
    <comment ref="P41" authorId="0" shapeId="0">
      <text>
        <t>4Q'23 derived = FY2023 (10-K) less 1Q-3Q (10-Qs), so the quarters tie to the reported annual.</t>
      </text>
    </comment>
    <comment ref="Q41" authorId="0" shapeId="0">
      <text>
        <t>Less: preferred stock dividends, net, 1Q'24: -4. Source: 1Q'24 Form 10-Q (acc. 0001770450-24-000031 (xrx-20240331)), Condensed Consolidated Statements of Income (Loss), three months ended Mar 31, 2024.</t>
      </text>
    </comment>
    <comment ref="R41" authorId="0" shapeId="0">
      <text>
        <t>Less: preferred stock dividends, net, 2Q'24: -3. Source: 2Q'24 Form 10-Q (acc. 0001770450-24-000042 (xrx-20240630)), Condensed Consolidated Statements of Income (Loss), three months ended Jun 30, 2024.</t>
      </text>
    </comment>
    <comment ref="S41" authorId="0" shapeId="0">
      <text>
        <t>Less: preferred stock dividends, net, 3Q'24: -4. Source: 3Q'24 Form 10-Q (acc. 0001770450-24-000050 (xrx-20240930)), Condensed Consolidated Statements of Income (Loss), three months ended Sep 30, 2024.</t>
      </text>
    </comment>
    <comment ref="T41" authorId="0" shapeId="0">
      <text>
        <t>4Q'24 derived = FY2024 (10-K) less 1Q-3Q (10-Qs), so the quarters tie to the reported annual.</t>
      </text>
    </comment>
    <comment ref="U41" authorId="0" shapeId="0">
      <text>
        <t>Less: preferred stock dividends, net, 1Q'25: -4. Source: 1Q'25 Form 10-Q (acc. 0001770450-25-000026 (xrx-20250331)), Condensed Consolidated Statements of Income (Loss), three months ended Mar 31, 2025.</t>
      </text>
    </comment>
    <comment ref="V41" authorId="0" shapeId="0">
      <text>
        <t>Less: preferred stock dividends, net, 2Q'25: -3. Source: 2Q'25 Form 10-Q (acc. 0001628280-25-038980 (xrx-20250630)), Condensed Consolidated Statements of Income (Loss), three months ended Jun 30, 2025.</t>
      </text>
    </comment>
    <comment ref="W41" authorId="0" shapeId="0">
      <text>
        <t>Less: preferred stock dividends, net, 3Q'25: -4. Source: 3Q'25 Form 10-Q (acc. 0001770450-25-000037 (xrx-20250930)), Condensed Consolidated Statements of Income (Loss), three months ended Sep 30, 2025.</t>
      </text>
    </comment>
    <comment ref="X41" authorId="0" shapeId="0">
      <text>
        <t>4Q'25 derived = FY2025 (10-K) less 1Q-3Q (10-Qs), so the quarters tie to the reported annual.</t>
      </text>
    </comment>
    <comment ref="Y41" authorId="0" shapeId="0">
      <text>
        <t>Less: preferred stock dividends, net, 1Q'26: -4. Source: 1Q'26 Form 10-Q (acc. 0001770450-26-000030 (xrx-20260331)), Condensed Consolidated Statements of Income (Loss), three months ended Mar 31, 2026.</t>
      </text>
    </comment>
    <comment ref="Z41" authorId="0" shapeId="0">
      <text>
        <t>Less: preferred stock dividends, net, 2Q'26: -3. Source: 2Q'26 Form 10-Q (acc. 0001770450-26-000040 (xrx-20260630)), Condensed Consolidated Statements of Income (Loss), three months ended Jun 30, 2026.</t>
      </text>
    </comment>
    <comment ref="AB41" authorId="0" shapeId="0">
      <text>
        <t>Less: preferred stock dividends, net, FY2021: -14. Source: FY2023 Form 10-K (acc. 0001770450-24-000012, xrx-20231231), year ended Dec 31, 2021 column (most recent presentation of FY2021), Consolidated Statements of Income (Loss).</t>
      </text>
    </comment>
    <comment ref="AC41" authorId="0" shapeId="0">
      <text>
        <t>Less: preferred stock dividends, net, FY2022: -14. Source: FY2024 Form 10-K (acc. 0001770450-25-000010, xrx-20241231), year ended Dec 31, 2022 column (most recent presentation of FY2022), Consolidated Statements of Income (Loss).</t>
      </text>
    </comment>
    <comment ref="AD41" authorId="0" shapeId="0">
      <text>
        <t>Less: preferred stock dividends, net, FY2023: -14. Source: FY2025 Form 10-K (acc. 0001770450-26-000009, xrx-20251231), year ended Dec 31, 2023 column (as reclassified in 2025), Consolidated Statements of Income (Loss).</t>
      </text>
    </comment>
    <comment ref="AE41" authorId="0" shapeId="0">
      <text>
        <t>Less: preferred stock dividends, net, FY2024: -14. Source: FY2025 Form 10-K (acc. 0001770450-26-000009, xrx-20251231), year ended Dec 31, 2024 column (as reclassified in 2025), Consolidated Statements of Income (Loss).</t>
      </text>
    </comment>
    <comment ref="AF41" authorId="0" shapeId="0">
      <text>
        <t>Less: preferred stock dividends, net, FY2025: -14. Source: FY2025 Form 10-K (acc. 0001770450-26-000009, xrx-20251231), year ended Dec 31, 2025, Consolidated Statements of Income (Loss).</t>
      </text>
    </comment>
    <comment ref="AH41" authorId="0" shapeId="0">
      <text>
        <t>LTM = 3Q'24 + 4Q'24 + 1Q'25 + 2Q'25 (trailing four quarters).</t>
      </text>
    </comment>
    <comment ref="AI41" authorId="0" shapeId="0">
      <text>
        <t>LTM = 3Q'25 + 4Q'25 + 1Q'26 + 2Q'26 (trailing four quarters).</t>
      </text>
    </comment>
    <comment ref="E43" authorId="0" shapeId="0">
      <text>
        <t>Diluted (loss) earnings per share, 1Q'21: 0.18. Source: 1Q'21 Form 10-Q (acc. 0001770450-21-000025 (xrx-20210331)), Condensed Consolidated Statements of Income (Loss), three months ended Mar 31, 2021.</t>
      </text>
    </comment>
    <comment ref="F43" authorId="0" shapeId="0">
      <text>
        <t>Diluted (loss) earnings per share, 2Q'21: 0.46. Source: 2Q'21 Form 10-Q (acc. 0001770450-21-000036 (xrx-20210630)), Condensed Consolidated Statements of Income (Loss), three months ended Jun 30, 2021.</t>
      </text>
    </comment>
    <comment ref="G43" authorId="0" shapeId="0">
      <text>
        <t>Diluted (loss) earnings per share, 3Q'21: 0.48. Source: 3Q'21 Form 10-Q (acc. 0001770450-21-000050 (xrx-20210930)), Condensed Consolidated Statements of Income (Loss), three months ended Sep 30, 2021.</t>
      </text>
    </comment>
    <comment ref="H43" authorId="0" shapeId="0">
      <text>
        <t>Diluted (loss) earnings per share, 4Q'21: -3.97. Source: Q4'21 earnings release (8-K Ex. 99.1, filed 2022-01-25), Condensed Consolidated Statements of Income (Loss), three months ended Dec 31, 2021. EPS is not additive, so 4Q is taken as reported rather than derived.</t>
      </text>
    </comment>
    <comment ref="I43" authorId="0" shapeId="0">
      <text>
        <t>Diluted (loss) earnings per share, 1Q'22: -0.38. Source: 1Q'22 Form 10-Q (acc. 0001770450-22-000020 (xrx-20220331)), Condensed Consolidated Statements of Income (Loss), three months ended Mar 31, 2022.</t>
      </text>
    </comment>
    <comment ref="J43" authorId="0" shapeId="0">
      <text>
        <t>Diluted (loss) earnings per share, 2Q'22: -0.05. Source: 2Q'22 Form 10-Q (acc. 0001770450-22-000030 (xrx-20220630)), Condensed Consolidated Statements of Income (Loss), three months ended Jun 30, 2022.</t>
      </text>
    </comment>
    <comment ref="K43" authorId="0" shapeId="0">
      <text>
        <t>Diluted (loss) earnings per share, 3Q'22: -2.48. Source: 3Q'22 Form 10-Q (acc. 0001770450-22-000041 (xrx-20220930)), Condensed Consolidated Statements of Income (Loss), three months ended Sep 30, 2022.</t>
      </text>
    </comment>
    <comment ref="L43" authorId="0" shapeId="0">
      <text>
        <t>Diluted (loss) earnings per share, 4Q'22: 0.74. Source: Q4'22 earnings release (8-K Ex. 99.1, filed 2023-01-26), Condensed Consolidated Statements of Income (Loss), three months ended Dec 31, 2022. EPS is not additive, so 4Q is taken as reported rather than derived.</t>
      </text>
    </comment>
    <comment ref="M43" authorId="0" shapeId="0">
      <text>
        <t>Diluted (loss) earnings per share, 1Q'23: 0.43. Source: 1Q'23 Form 10-Q (acc. 0001770450-23-000032 (xrx-20230331)), Condensed Consolidated Statements of Income (Loss), three months ended Mar 31, 2023.</t>
      </text>
    </comment>
    <comment ref="N43" authorId="0" shapeId="0">
      <text>
        <t>Diluted (loss) earnings per share, 2Q'23: -0.41. Source: 2Q'23 Form 10-Q (acc. 0001770450-23-000042 (xrx-20230630)), Condensed Consolidated Statements of Income (Loss), three months ended Jun 30, 2023.</t>
      </text>
    </comment>
    <comment ref="O43" authorId="0" shapeId="0">
      <text>
        <t>Diluted (loss) earnings per share, 3Q'23: 0.28. Source: 3Q'23 Form 10-Q (acc. 0001770450-23-000050 (xrx-20230930)), Condensed Consolidated Statements of Income (Loss), three months ended Sep 30, 2023.</t>
      </text>
    </comment>
    <comment ref="P43" authorId="0" shapeId="0">
      <text>
        <t>Diluted (loss) earnings per share, 4Q'23: -0.50. Source: Q4'23 earnings release (8-K Ex. 99.1, filed 2024-01-25), Condensed Consolidated Statements of Income (Loss), three months ended Dec 31, 2023. EPS is not additive, so 4Q is taken as reported rather than derived.</t>
      </text>
    </comment>
    <comment ref="Q43" authorId="0" shapeId="0">
      <text>
        <t>Diluted (loss) earnings per share, 1Q'24: -0.94. Source: 1Q'24 Form 10-Q (acc. 0001770450-24-000031 (xrx-20240331)), Condensed Consolidated Statements of Income (Loss), three months ended Mar 31, 2024.</t>
      </text>
    </comment>
    <comment ref="R43" authorId="0" shapeId="0">
      <text>
        <t>Diluted (loss) earnings per share, 2Q'24: 0.11. Source: 2Q'24 Form 10-Q (acc. 0001770450-24-000042 (xrx-20240630)), Condensed Consolidated Statements of Income (Loss), three months ended Jun 30, 2024.</t>
      </text>
    </comment>
    <comment ref="S43" authorId="0" shapeId="0">
      <text>
        <t>Diluted (loss) earnings per share, 3Q'24: -9.71. Source: 3Q'24 Form 10-Q (acc. 0001770450-24-000050 (xrx-20240930)), Condensed Consolidated Statements of Income (Loss), three months ended Sep 30, 2024.</t>
      </text>
    </comment>
    <comment ref="T43" authorId="0" shapeId="0">
      <text>
        <t>Diluted (loss) earnings per share, 4Q'24: -0.20. Source: Q4'24 earnings release (8-K Ex. 99.1, filed 2025-01-28), Condensed Consolidated Statements of Income (Loss), three months ended Dec 31, 2024. EPS is not additive, so 4Q is taken as reported rather than derived.</t>
      </text>
    </comment>
    <comment ref="U43" authorId="0" shapeId="0">
      <text>
        <t>Diluted (loss) earnings per share, 1Q'25: -0.75. Source: 1Q'25 Form 10-Q (acc. 0001770450-25-000026 (xrx-20250331)), Condensed Consolidated Statements of Income (Loss), three months ended Mar 31, 2025.</t>
      </text>
    </comment>
    <comment ref="V43" authorId="0" shapeId="0">
      <text>
        <t>Diluted (loss) earnings per share, 2Q'25: -0.87. Source: 2Q'25 Form 10-Q (acc. 0001628280-25-038980 (xrx-20250630)), Condensed Consolidated Statements of Income (Loss), three months ended Jun 30, 2025.</t>
      </text>
    </comment>
    <comment ref="W43" authorId="0" shapeId="0">
      <text>
        <t>Diluted (loss) earnings per share, 3Q'25: -6.01. Source: 3Q'25 Form 10-Q (acc. 0001770450-25-000037 (xrx-20250930)), Condensed Consolidated Statements of Income (Loss), three months ended Sep 30, 2025.</t>
      </text>
    </comment>
    <comment ref="X43" authorId="0" shapeId="0">
      <text>
        <t>Diluted (loss) earnings per share, 4Q'25: -0.60. Source: Q4'25 earnings release (8-K Ex. 99.1, filed 2026-01-29), Condensed Consolidated Statements of Income (Loss), three months ended Dec 31, 2025. EPS is not additive, so 4Q is taken as reported rather than derived.</t>
      </text>
    </comment>
    <comment ref="Y43" authorId="0" shapeId="0">
      <text>
        <t>Diluted (loss) earnings per share, 1Q'26: -0.84. Source: 1Q'26 Form 10-Q (acc. 0001770450-26-000030 (xrx-20260331)), Condensed Consolidated Statements of Income (Loss), three months ended Mar 31, 2026.</t>
      </text>
    </comment>
    <comment ref="Z43" authorId="0" shapeId="0">
      <text>
        <t>Diluted (loss) earnings per share, 2Q'26: 0.07. Source: 2Q'26 Form 10-Q (acc. 0001770450-26-000040 (xrx-20260630)), Condensed Consolidated Statements of Income (Loss), three months ended Jun 30, 2026.</t>
      </text>
    </comment>
    <comment ref="AB43" authorId="0" shapeId="0">
      <text>
        <t>Diluted (loss) earnings per share, FY2021: -2.56. Source: FY2023 Form 10-K (acc. 0001770450-24-000012, xrx-20231231), year ended Dec 31, 2021 column (most recent presentation of FY2021).</t>
      </text>
    </comment>
    <comment ref="AC43" authorId="0" shapeId="0">
      <text>
        <t>Diluted (loss) earnings per share, FY2022: -2.15. Source: FY2024 Form 10-K (acc. 0001770450-25-000010, xrx-20241231), year ended Dec 31, 2022 column (most recent presentation of FY2022).</t>
      </text>
    </comment>
    <comment ref="AD43" authorId="0" shapeId="0">
      <text>
        <t>Diluted (loss) earnings per share, FY2023: -0.09. Source: FY2025 Form 10-K (acc. 0001770450-26-000009, xrx-20251231), year ended Dec 31, 2023 column (as reclassified in 2025).</t>
      </text>
    </comment>
    <comment ref="AE43" authorId="0" shapeId="0">
      <text>
        <t>Diluted (loss) earnings per share, FY2024: -10.75. Source: FY2025 Form 10-K (acc. 0001770450-26-000009, xrx-20251231), year ended Dec 31, 2024 column (as reclassified in 2025).</t>
      </text>
    </comment>
    <comment ref="AF43" authorId="0" shapeId="0">
      <text>
        <t>Diluted (loss) earnings per share, FY2025: -8.25. Source: FY2025 Form 10-K (acc. 0001770450-26-000009, xrx-20251231), year ended Dec 31, 2025.</t>
      </text>
    </comment>
    <comment ref="D45" authorId="0" shapeId="0">
      <text>
        <t>Company definition per Xerox earnings presentations: Net income + non-financing interest + other expenses (income), net + income taxes + D&amp;A (excl. customer contract costs) + goodwill impairment = EBITDA; then stock-based comp, restructuring, PARC donation, divestitures, transformation, transaction, inventory exit and Lexmark items. Company reports Adjusted EBITDA from FY2023; 2021, 2022 and 2023 quarters are rebuilt here from filed figures.</t>
      </text>
    </comment>
    <comment ref="E50" authorId="0" shapeId="0">
      <text>
        <t>Link to CFS (Depreciation and amortization, 1Q'21). Sourced and differenced on the CFS tab from the cash flow statements; ties to the company Adj. EBITDA reconciliation.</t>
      </text>
    </comment>
    <comment ref="F50" authorId="0" shapeId="0">
      <text>
        <t>Link to CFS (Depreciation and amortization, 2Q'21). Sourced and differenced on the CFS tab from the cash flow statements; ties to the company Adj. EBITDA reconciliation.</t>
      </text>
    </comment>
    <comment ref="G50" authorId="0" shapeId="0">
      <text>
        <t>Link to CFS (Depreciation and amortization, 3Q'21). Sourced and differenced on the CFS tab from the cash flow statements; ties to the company Adj. EBITDA reconciliation.</t>
      </text>
    </comment>
    <comment ref="H50" authorId="0" shapeId="0">
      <text>
        <t>Link to CFS (Depreciation and amortization, 4Q'21). Sourced and differenced on the CFS tab from the cash flow statements; ties to the company Adj. EBITDA reconciliation.</t>
      </text>
    </comment>
    <comment ref="I50" authorId="0" shapeId="0">
      <text>
        <t>Link to CFS (Depreciation and amortization, 1Q'22). Sourced and differenced on the CFS tab from the cash flow statements; ties to the company Adj. EBITDA reconciliation.</t>
      </text>
    </comment>
    <comment ref="J50" authorId="0" shapeId="0">
      <text>
        <t>Link to CFS (Depreciation and amortization, 2Q'22). Sourced and differenced on the CFS tab from the cash flow statements; ties to the company Adj. EBITDA reconciliation.</t>
      </text>
    </comment>
    <comment ref="K50" authorId="0" shapeId="0">
      <text>
        <t>Link to CFS (Depreciation and amortization, 3Q'22). Sourced and differenced on the CFS tab from the cash flow statements; ties to the company Adj. EBITDA reconciliation.</t>
      </text>
    </comment>
    <comment ref="L50" authorId="0" shapeId="0">
      <text>
        <t>Link to CFS (Depreciation and amortization, 4Q'22). Sourced and differenced on the CFS tab from the cash flow statements; ties to the company Adj. EBITDA reconciliation.</t>
      </text>
    </comment>
    <comment ref="M50" authorId="0" shapeId="0">
      <text>
        <t>Link to CFS (Depreciation and amortization, 1Q'23). Sourced and differenced on the CFS tab from the cash flow statements; ties to the company Adj. EBITDA reconciliation.</t>
      </text>
    </comment>
    <comment ref="N50" authorId="0" shapeId="0">
      <text>
        <t>Link to CFS (Depreciation and amortization, 2Q'23). Sourced and differenced on the CFS tab from the cash flow statements; ties to the company Adj. EBITDA reconciliation.</t>
      </text>
    </comment>
    <comment ref="O50" authorId="0" shapeId="0">
      <text>
        <t>Link to CFS (Depreciation and amortization, 3Q'23). Sourced and differenced on the CFS tab from the cash flow statements; ties to the company Adj. EBITDA reconciliation.</t>
      </text>
    </comment>
    <comment ref="P50" authorId="0" shapeId="0">
      <text>
        <t>Link to CFS (Depreciation and amortization, 4Q'23). Sourced and differenced on the CFS tab from the cash flow statements; ties to the company Adj. EBITDA reconciliation.</t>
      </text>
    </comment>
    <comment ref="Q50" authorId="0" shapeId="0">
      <text>
        <t>Link to CFS (Depreciation and amortization, 1Q'24). Sourced and differenced on the CFS tab from the cash flow statements; ties to the company Adj. EBITDA reconciliation.</t>
      </text>
    </comment>
    <comment ref="R50" authorId="0" shapeId="0">
      <text>
        <t>Link to CFS (Depreciation and amortization, 2Q'24). Sourced and differenced on the CFS tab from the cash flow statements; ties to the company Adj. EBITDA reconciliation.</t>
      </text>
    </comment>
    <comment ref="S50" authorId="0" shapeId="0">
      <text>
        <t>Link to CFS (Depreciation and amortization, 3Q'24). Sourced and differenced on the CFS tab from the cash flow statements; ties to the company Adj. EBITDA reconciliation.</t>
      </text>
    </comment>
    <comment ref="T50" authorId="0" shapeId="0">
      <text>
        <t>Link to CFS (Depreciation and amortization, 4Q'24). Sourced and differenced on the CFS tab from the cash flow statements; ties to the company Adj. EBITDA reconciliation.</t>
      </text>
    </comment>
    <comment ref="U50" authorId="0" shapeId="0">
      <text>
        <t>Link to CFS (Depreciation and amortization, 1Q'25). Sourced and differenced on the CFS tab from the cash flow statements; ties to the company Adj. EBITDA reconciliation.</t>
      </text>
    </comment>
    <comment ref="V50" authorId="0" shapeId="0">
      <text>
        <t>Link to CFS (Depreciation and amortization, 2Q'25). Sourced and differenced on the CFS tab from the cash flow statements; ties to the company Adj. EBITDA reconciliation.</t>
      </text>
    </comment>
    <comment ref="W50" authorId="0" shapeId="0">
      <text>
        <t>Link to CFS (Depreciation and amortization, 3Q'25). Sourced and differenced on the CFS tab from the cash flow statements; ties to the company Adj. EBITDA reconciliation.</t>
      </text>
    </comment>
    <comment ref="X50" authorId="0" shapeId="0">
      <text>
        <t>Link to CFS (Depreciation and amortization, 4Q'25). Sourced and differenced on the CFS tab from the cash flow statements; ties to the company Adj. EBITDA reconciliation.</t>
      </text>
    </comment>
    <comment ref="Y50" authorId="0" shapeId="0">
      <text>
        <t>Link to CFS (Depreciation and amortization, 1Q'26). Sourced and differenced on the CFS tab from the cash flow statements; ties to the company Adj. EBITDA reconciliation.</t>
      </text>
    </comment>
    <comment ref="Z50" authorId="0" shapeId="0">
      <text>
        <t>Link to CFS (Depreciation and amortization, 2Q'26). Sourced and differenced on the CFS tab from the cash flow statements; ties to the company Adj. EBITDA reconciliation.</t>
      </text>
    </comment>
    <comment ref="AB50" authorId="0" shapeId="0">
      <text>
        <t>Link to CFS FY2021 (10-K cash flow statement).</t>
      </text>
    </comment>
    <comment ref="AC50" authorId="0" shapeId="0">
      <text>
        <t>Link to CFS FY2022 (10-K cash flow statement).</t>
      </text>
    </comment>
    <comment ref="AD50" authorId="0" shapeId="0">
      <text>
        <t>Link to CFS FY2023 (10-K cash flow statement).</t>
      </text>
    </comment>
    <comment ref="AE50" authorId="0" shapeId="0">
      <text>
        <t>Link to CFS FY2024 (10-K cash flow statement).</t>
      </text>
    </comment>
    <comment ref="AF50" authorId="0" shapeId="0">
      <text>
        <t>Link to CFS FY2025 (10-K cash flow statement).</t>
      </text>
    </comment>
    <comment ref="AH50" authorId="0" shapeId="0">
      <text>
        <t>LTM = 3Q'24 + 4Q'24 + 1Q'25 + 2Q'25 (trailing four quarters).</t>
      </text>
    </comment>
    <comment ref="AI50" authorId="0" shapeId="0">
      <text>
        <t>LTM = 3Q'25 + 4Q'25 + 1Q'26 + 2Q'26 (trailing four quarters).</t>
      </text>
    </comment>
    <comment ref="E54" authorId="0" shapeId="0">
      <text>
        <t>Link to CFS (Stock-based compensation, 1Q'21). Sourced and differenced on the CFS tab from the cash flow statements; ties to the company Adj. EBITDA reconciliation.</t>
      </text>
    </comment>
    <comment ref="F54" authorId="0" shapeId="0">
      <text>
        <t>Link to CFS (Stock-based compensation, 2Q'21). Sourced and differenced on the CFS tab from the cash flow statements; ties to the company Adj. EBITDA reconciliation.</t>
      </text>
    </comment>
    <comment ref="G54" authorId="0" shapeId="0">
      <text>
        <t>Link to CFS (Stock-based compensation, 3Q'21). Sourced and differenced on the CFS tab from the cash flow statements; ties to the company Adj. EBITDA reconciliation.</t>
      </text>
    </comment>
    <comment ref="H54" authorId="0" shapeId="0">
      <text>
        <t>Link to CFS (Stock-based compensation, 4Q'21). Sourced and differenced on the CFS tab from the cash flow statements; ties to the company Adj. EBITDA reconciliation.</t>
      </text>
    </comment>
    <comment ref="I54" authorId="0" shapeId="0">
      <text>
        <t>Link to CFS (Stock-based compensation, 1Q'22). Sourced and differenced on the CFS tab from the cash flow statements; ties to the company Adj. EBITDA reconciliation.</t>
      </text>
    </comment>
    <comment ref="J54" authorId="0" shapeId="0">
      <text>
        <t>Link to CFS (Stock-based compensation, 2Q'22). Sourced and differenced on the CFS tab from the cash flow statements; ties to the company Adj. EBITDA reconciliation.</t>
      </text>
    </comment>
    <comment ref="K54" authorId="0" shapeId="0">
      <text>
        <t>Link to CFS (Stock-based compensation, 3Q'22). Sourced and differenced on the CFS tab from the cash flow statements; ties to the company Adj. EBITDA reconciliation.</t>
      </text>
    </comment>
    <comment ref="L54" authorId="0" shapeId="0">
      <text>
        <t>Link to CFS (Stock-based compensation, 4Q'22). Sourced and differenced on the CFS tab from the cash flow statements; ties to the company Adj. EBITDA reconciliation.</t>
      </text>
    </comment>
    <comment ref="M54" authorId="0" shapeId="0">
      <text>
        <t>Link to CFS (Stock-based compensation, 1Q'23). Sourced and differenced on the CFS tab from the cash flow statements; ties to the company Adj. EBITDA reconciliation.</t>
      </text>
    </comment>
    <comment ref="N54" authorId="0" shapeId="0">
      <text>
        <t>Link to CFS (Stock-based compensation, 2Q'23). Sourced and differenced on the CFS tab from the cash flow statements; ties to the company Adj. EBITDA reconciliation.</t>
      </text>
    </comment>
    <comment ref="O54" authorId="0" shapeId="0">
      <text>
        <t>Link to CFS (Stock-based compensation, 3Q'23). Sourced and differenced on the CFS tab from the cash flow statements; ties to the company Adj. EBITDA reconciliation.</t>
      </text>
    </comment>
    <comment ref="P54" authorId="0" shapeId="0">
      <text>
        <t>Link to CFS (Stock-based compensation, 4Q'23). Sourced and differenced on the CFS tab from the cash flow statements; ties to the company Adj. EBITDA reconciliation.</t>
      </text>
    </comment>
    <comment ref="Q54" authorId="0" shapeId="0">
      <text>
        <t>Link to CFS (Stock-based compensation, 1Q'24). Sourced and differenced on the CFS tab from the cash flow statements; ties to the company Adj. EBITDA reconciliation.</t>
      </text>
    </comment>
    <comment ref="R54" authorId="0" shapeId="0">
      <text>
        <t>Link to CFS (Stock-based compensation, 2Q'24). Sourced and differenced on the CFS tab from the cash flow statements; ties to the company Adj. EBITDA reconciliation.</t>
      </text>
    </comment>
    <comment ref="S54" authorId="0" shapeId="0">
      <text>
        <t>Link to CFS (Stock-based compensation, 3Q'24). Sourced and differenced on the CFS tab from the cash flow statements; ties to the company Adj. EBITDA reconciliation.</t>
      </text>
    </comment>
    <comment ref="T54" authorId="0" shapeId="0">
      <text>
        <t>Link to CFS (Stock-based compensation, 4Q'24). Sourced and differenced on the CFS tab from the cash flow statements; ties to the company Adj. EBITDA reconciliation.</t>
      </text>
    </comment>
    <comment ref="U54" authorId="0" shapeId="0">
      <text>
        <t>Link to CFS (Stock-based compensation, 1Q'25). Sourced and differenced on the CFS tab from the cash flow statements; ties to the company Adj. EBITDA reconciliation.</t>
      </text>
    </comment>
    <comment ref="V54" authorId="0" shapeId="0">
      <text>
        <t>Link to CFS (Stock-based compensation, 2Q'25). Sourced and differenced on the CFS tab from the cash flow statements; ties to the company Adj. EBITDA reconciliation.</t>
      </text>
    </comment>
    <comment ref="W54" authorId="0" shapeId="0">
      <text>
        <t>Link to CFS (Stock-based compensation, 3Q'25). Sourced and differenced on the CFS tab from the cash flow statements; ties to the company Adj. EBITDA reconciliation.</t>
      </text>
    </comment>
    <comment ref="X54" authorId="0" shapeId="0">
      <text>
        <t>Link to CFS (Stock-based compensation, 4Q'25). Sourced and differenced on the CFS tab from the cash flow statements; ties to the company Adj. EBITDA reconciliation.</t>
      </text>
    </comment>
    <comment ref="Y54" authorId="0" shapeId="0">
      <text>
        <t>Link to CFS (Stock-based compensation, 1Q'26). Sourced and differenced on the CFS tab from the cash flow statements; ties to the company Adj. EBITDA reconciliation.</t>
      </text>
    </comment>
    <comment ref="Z54" authorId="0" shapeId="0">
      <text>
        <t>Link to CFS (Stock-based compensation, 2Q'26). Sourced and differenced on the CFS tab from the cash flow statements; ties to the company Adj. EBITDA reconciliation.</t>
      </text>
    </comment>
    <comment ref="AB54" authorId="0" shapeId="0">
      <text>
        <t>Link to CFS FY2021 (10-K cash flow statement).</t>
      </text>
    </comment>
    <comment ref="AC54" authorId="0" shapeId="0">
      <text>
        <t>Link to CFS FY2022 (10-K cash flow statement).</t>
      </text>
    </comment>
    <comment ref="AD54" authorId="0" shapeId="0">
      <text>
        <t>Link to CFS FY2023 (10-K cash flow statement).</t>
      </text>
    </comment>
    <comment ref="AE54" authorId="0" shapeId="0">
      <text>
        <t>Link to CFS FY2024 (10-K cash flow statement).</t>
      </text>
    </comment>
    <comment ref="AF54" authorId="0" shapeId="0">
      <text>
        <t>Link to CFS FY2025 (10-K cash flow statement).</t>
      </text>
    </comment>
    <comment ref="AH54" authorId="0" shapeId="0">
      <text>
        <t>LTM = 3Q'24 + 4Q'24 + 1Q'25 + 2Q'25 (trailing four quarters).</t>
      </text>
    </comment>
    <comment ref="AI54" authorId="0" shapeId="0">
      <text>
        <t>LTM = 3Q'25 + 4Q'25 + 1Q'26 + 2Q'26 (trailing four quarters).</t>
      </text>
    </comment>
    <comment ref="Q58" authorId="0" shapeId="0">
      <text>
        <t>Transformation-related costs, 1Q'24: 0. Source: Q2'25 earnings presentation (Xerox IR, 2025-07-31), Adjusted EBITDA and Margin Reconciliation, 1Q'24 column.</t>
      </text>
    </comment>
    <comment ref="R58" authorId="0" shapeId="0">
      <text>
        <t>Transformation-related costs, 2Q'24: 0. Source: Q2'25 earnings presentation (Xerox IR, 2025-07-31), Adjusted EBITDA and Margin Reconciliation, 2Q'24 column.</t>
      </text>
    </comment>
    <comment ref="S58" authorId="0" shapeId="0">
      <text>
        <t>Transformation-related costs, 3Q'24: 0. Source: Q2'25 earnings presentation (Xerox IR, 2025-07-31), Adjusted EBITDA and Margin Reconciliation, 3Q'24 column.</t>
      </text>
    </comment>
    <comment ref="T58" authorId="0" shapeId="0">
      <text>
        <t>4Q'24 derived = FY2024 (10-K) less 1Q-3Q (10-Qs), so the quarters tie to the reported annual.</t>
      </text>
    </comment>
    <comment ref="U58" authorId="0" shapeId="0">
      <text>
        <t>Transformation-related costs, 1Q'25: 6. Source: Q2'26 earnings presentation (Xerox IR, 2026-07-30), Adjusted EBITDA and Margin Reconciliation, 1Q'25 column.</t>
      </text>
    </comment>
    <comment ref="V58" authorId="0" shapeId="0">
      <text>
        <t>Transformation-related costs, 2Q'25: 3. Source: Q2'26 earnings presentation (Xerox IR, 2026-07-30), Adjusted EBITDA and Margin Reconciliation, 2Q'25 column.</t>
      </text>
    </comment>
    <comment ref="W58" authorId="0" shapeId="0">
      <text>
        <t>Transformation-related costs, 3Q'25: 3. Source: Q2'26 earnings presentation (Xerox IR, 2026-07-30), Adjusted EBITDA and Margin Reconciliation, 3Q'25 column.</t>
      </text>
    </comment>
    <comment ref="X58" authorId="0" shapeId="0">
      <text>
        <t>4Q'25 derived = FY2025 (10-K) less 1Q-3Q (10-Qs), so the quarters tie to the reported annual.</t>
      </text>
    </comment>
    <comment ref="Y58" authorId="0" shapeId="0">
      <text>
        <t>Transformation-related costs, 1Q'26: 2. Source: Q2'26 earnings presentation (Xerox IR, 2026-07-30), Adjusted EBITDA and Margin Reconciliation, 1Q'26 column.</t>
      </text>
    </comment>
    <comment ref="Z58" authorId="0" shapeId="0">
      <text>
        <t>Transformation-related costs, 2Q'26: 2. Source: Q2'26 earnings presentation (Xerox IR, 2026-07-30), Adjusted EBITDA and Margin Reconciliation, 2Q'26 column.</t>
      </text>
    </comment>
    <comment ref="AE58" authorId="0" shapeId="0">
      <text>
        <t>Transformation-related costs, FY2024: 12. Source: Q2'26 earnings presentation (Xerox IR, 2026-07-30), Adjusted EBITDA and Margin Reconciliation, FY-24 column.</t>
      </text>
    </comment>
    <comment ref="AF58" authorId="0" shapeId="0">
      <text>
        <t>Transformation-related costs, FY2025: 17. Source: Q2'26 earnings presentation (Xerox IR, 2026-07-30), Adjusted EBITDA and Margin Reconciliation, FY-25 column.</t>
      </text>
    </comment>
    <comment ref="AH58" authorId="0" shapeId="0">
      <text>
        <t>LTM = 3Q'24 + 4Q'24 + 1Q'25 + 2Q'25 (trailing four quarters).</t>
      </text>
    </comment>
    <comment ref="AI58" authorId="0" shapeId="0">
      <text>
        <t>LTM = 3Q'25 + 4Q'25 + 1Q'26 + 2Q'26 (trailing four quarters).</t>
      </text>
    </comment>
    <comment ref="Q59" authorId="0" shapeId="0">
      <text>
        <t>Transaction and related costs, net, 1Q'24: 0. Source: Q2'25 earnings presentation (Xerox IR, 2025-07-31), Adjusted EBITDA and Margin Reconciliation, 1Q'24 column.</t>
      </text>
    </comment>
    <comment ref="R59" authorId="0" shapeId="0">
      <text>
        <t>Transaction and related costs, net, 2Q'24: 0. Source: Q2'25 earnings presentation (Xerox IR, 2025-07-31), Adjusted EBITDA and Margin Reconciliation, 2Q'24 column.</t>
      </text>
    </comment>
    <comment ref="S59" authorId="0" shapeId="0">
      <text>
        <t>Transaction and related costs, net, 3Q'24: 0. Source: Q2'25 earnings presentation (Xerox IR, 2025-07-31), Adjusted EBITDA and Margin Reconciliation, 3Q'24 column.</t>
      </text>
    </comment>
    <comment ref="T59" authorId="0" shapeId="0">
      <text>
        <t>4Q'24 derived = FY2024 (10-K) less 1Q-3Q (10-Qs), so the quarters tie to the reported annual.</t>
      </text>
    </comment>
    <comment ref="U59" authorId="0" shapeId="0">
      <text>
        <t>Transaction and related costs, net, 1Q'25: 3. Source: Q2'26 earnings presentation (Xerox IR, 2026-07-30), Adjusted EBITDA and Margin Reconciliation, 1Q'25 column.</t>
      </text>
    </comment>
    <comment ref="V59" authorId="0" shapeId="0">
      <text>
        <t>Transaction and related costs, net, 2Q'25: 6. Source: Q2'26 earnings presentation (Xerox IR, 2026-07-30), Adjusted EBITDA and Margin Reconciliation, 2Q'25 column.</t>
      </text>
    </comment>
    <comment ref="W59" authorId="0" shapeId="0">
      <text>
        <t>Transaction and related costs, net, 3Q'25: 23. Source: Q2'26 earnings presentation (Xerox IR, 2026-07-30), Adjusted EBITDA and Margin Reconciliation, 3Q'25 column.</t>
      </text>
    </comment>
    <comment ref="X59" authorId="0" shapeId="0">
      <text>
        <t>4Q'25 derived = FY2025 (10-K) less 1Q-3Q (10-Qs), so the quarters tie to the reported annual.</t>
      </text>
    </comment>
    <comment ref="Y59" authorId="0" shapeId="0">
      <text>
        <t>Transaction and related costs, net, 1Q'26: 4. Source: Q2'26 earnings presentation (Xerox IR, 2026-07-30), Adjusted EBITDA and Margin Reconciliation, 1Q'26 column.</t>
      </text>
    </comment>
    <comment ref="Z59" authorId="0" shapeId="0">
      <text>
        <t>Transaction and related costs, net, 2Q'26: 0. Source: Q2'26 earnings presentation (Xerox IR, 2026-07-30), Adjusted EBITDA and Margin Reconciliation, 2Q'26 column.</t>
      </text>
    </comment>
    <comment ref="AE59" authorId="0" shapeId="0">
      <text>
        <t>Transaction and related costs, net, FY2024: 7. Source: Q2'26 earnings presentation (Xerox IR, 2026-07-30), Adjusted EBITDA and Margin Reconciliation, FY-24 column.</t>
      </text>
    </comment>
    <comment ref="AF59" authorId="0" shapeId="0">
      <text>
        <t>Transaction and related costs, net, FY2025: 34. Source: Q2'26 earnings presentation (Xerox IR, 2026-07-30), Adjusted EBITDA and Margin Reconciliation, FY-25 column.</t>
      </text>
    </comment>
    <comment ref="AH59" authorId="0" shapeId="0">
      <text>
        <t>LTM = 3Q'24 + 4Q'24 + 1Q'25 + 2Q'25 (trailing four quarters).</t>
      </text>
    </comment>
    <comment ref="AI59" authorId="0" shapeId="0">
      <text>
        <t>LTM = 3Q'25 + 4Q'25 + 1Q'26 + 2Q'26 (trailing four quarters).</t>
      </text>
    </comment>
    <comment ref="Q60" authorId="0" shapeId="0">
      <text>
        <t>Inventory impact, exit of Production Print manufacturing, 1Q'24: 36. Source: Q2'25 earnings presentation (Xerox IR, 2025-07-31), Adjusted EBITDA and Margin Reconciliation, 1Q'24 column.</t>
      </text>
    </comment>
    <comment ref="R60" authorId="0" shapeId="0">
      <text>
        <t>Inventory impact, exit of Production Print manufacturing, 2Q'24: 8. Source: Q2'25 earnings presentation (Xerox IR, 2025-07-31), Adjusted EBITDA and Margin Reconciliation, 2Q'24 column.</t>
      </text>
    </comment>
    <comment ref="S60" authorId="0" shapeId="0">
      <text>
        <t>Inventory impact, exit of Production Print manufacturing, 3Q'24: 0. Source: Q2'25 earnings presentation (Xerox IR, 2025-07-31), Adjusted EBITDA and Margin Reconciliation, 3Q'24 column.</t>
      </text>
    </comment>
    <comment ref="T60" authorId="0" shapeId="0">
      <text>
        <t>4Q'24 derived = FY2024 (10-K) less 1Q-3Q (10-Qs), so the quarters tie to the reported annual.</t>
      </text>
    </comment>
    <comment ref="U60" authorId="0" shapeId="0">
      <text>
        <t>Inventory impact, exit of Production Print manufacturing, 1Q'25: 7. Source: Q2'26 earnings presentation (Xerox IR, 2026-07-30), Adjusted EBITDA and Margin Reconciliation, 1Q'25 column.</t>
      </text>
    </comment>
    <comment ref="V60" authorId="0" shapeId="0">
      <text>
        <t>Inventory impact, exit of Production Print manufacturing, 2Q'25: 10. Source: Q2'26 earnings presentation (Xerox IR, 2026-07-30), Adjusted EBITDA and Margin Reconciliation, 2Q'25 column.</t>
      </text>
    </comment>
    <comment ref="W60" authorId="0" shapeId="0">
      <text>
        <t>Inventory impact, exit of Production Print manufacturing, 3Q'25: 3. Source: Q2'26 earnings presentation (Xerox IR, 2026-07-30), Adjusted EBITDA and Margin Reconciliation, 3Q'25 column.</t>
      </text>
    </comment>
    <comment ref="X60" authorId="0" shapeId="0">
      <text>
        <t>4Q'25 derived = FY2025 (10-K) less 1Q-3Q (10-Qs), so the quarters tie to the reported annual.</t>
      </text>
    </comment>
    <comment ref="Y60" authorId="0" shapeId="0">
      <text>
        <t>Inventory impact, exit of Production Print manufacturing, 1Q'26: 0. Source: Q2'26 earnings presentation (Xerox IR, 2026-07-30), Adjusted EBITDA and Margin Reconciliation, 1Q'26 column.</t>
      </text>
    </comment>
    <comment ref="Z60" authorId="0" shapeId="0">
      <text>
        <t>Inventory impact, exit of Production Print manufacturing, 2Q'26: 0. Source: Q2'26 earnings presentation (Xerox IR, 2026-07-30), Adjusted EBITDA and Margin Reconciliation, 2Q'26 column.</t>
      </text>
    </comment>
    <comment ref="AE60" authorId="0" shapeId="0">
      <text>
        <t>Inventory impact, exit of Production Print manufacturing, FY2024: 51. Source: Q2'26 earnings presentation (Xerox IR, 2026-07-30), Adjusted EBITDA and Margin Reconciliation, FY-24 column.</t>
      </text>
    </comment>
    <comment ref="AF60" authorId="0" shapeId="0">
      <text>
        <t>Inventory impact, exit of Production Print manufacturing, FY2025: 24. Source: Q2'26 earnings presentation (Xerox IR, 2026-07-30), Adjusted EBITDA and Margin Reconciliation, FY-25 column.</t>
      </text>
    </comment>
    <comment ref="AH60" authorId="0" shapeId="0">
      <text>
        <t>LTM = 3Q'24 + 4Q'24 + 1Q'25 + 2Q'25 (trailing four quarters).</t>
      </text>
    </comment>
    <comment ref="AI60" authorId="0" shapeId="0">
      <text>
        <t>LTM = 3Q'25 + 4Q'25 + 1Q'26 + 2Q'26 (trailing four quarters).</t>
      </text>
    </comment>
    <comment ref="U61" authorId="0" shapeId="0">
      <text>
        <t>Lexmark inventory purchase accounting adjustment, 1Q'25: 0. Source: Q2'26 earnings presentation (Xerox IR, 2026-07-30), Adjusted EBITDA and Margin Reconciliation, 1Q'25 column.</t>
      </text>
    </comment>
    <comment ref="V61" authorId="0" shapeId="0">
      <text>
        <t>Lexmark inventory purchase accounting adjustment, 2Q'25: 0. Source: Q2'26 earnings presentation (Xerox IR, 2026-07-30), Adjusted EBITDA and Margin Reconciliation, 2Q'25 column.</t>
      </text>
    </comment>
    <comment ref="W61" authorId="0" shapeId="0">
      <text>
        <t>Lexmark inventory purchase accounting adjustment, 3Q'25: 102. Source: Q2'26 earnings presentation (Xerox IR, 2026-07-30), Adjusted EBITDA and Margin Reconciliation, 3Q'25 column.</t>
      </text>
    </comment>
    <comment ref="X61" authorId="0" shapeId="0">
      <text>
        <t>4Q'25 derived = FY2025 (10-K) less 1Q-3Q (10-Qs), so the quarters tie to the reported annual.</t>
      </text>
    </comment>
    <comment ref="Y61" authorId="0" shapeId="0">
      <text>
        <t>Lexmark inventory purchase accounting adjustment, 1Q'26: 0. Source: Q2'26 earnings presentation (Xerox IR, 2026-07-30), Adjusted EBITDA and Margin Reconciliation, 1Q'26 column.</t>
      </text>
    </comment>
    <comment ref="Z61" authorId="0" shapeId="0">
      <text>
        <t>Lexmark inventory purchase accounting adjustment, 2Q'26: 0. Source: Q2'26 earnings presentation (Xerox IR, 2026-07-30), Adjusted EBITDA and Margin Reconciliation, 2Q'26 column.</t>
      </text>
    </comment>
    <comment ref="AF61" authorId="0" shapeId="0">
      <text>
        <t>Lexmark inventory purchase accounting adjustment, FY2025: 102. Source: Q2'26 earnings presentation (Xerox IR, 2026-07-30), Adjusted EBITDA and Margin Reconciliation, FY-25 column.</t>
      </text>
    </comment>
    <comment ref="AH61" authorId="0" shapeId="0">
      <text>
        <t>LTM = 3Q'24 + 4Q'24 + 1Q'25 + 2Q'25 (trailing four quarters).</t>
      </text>
    </comment>
    <comment ref="AI61" authorId="0" shapeId="0">
      <text>
        <t>LTM = 3Q'25 + 4Q'25 + 1Q'26 + 2Q'26 (trailing four quarters).</t>
      </text>
    </comment>
    <comment ref="U62" authorId="0" shapeId="0">
      <text>
        <t>Lexmark settlement of pre-existing employment agreements, 1Q'25: 0. Source: Q2'26 earnings presentation (Xerox IR, 2026-07-30), Adjusted EBITDA and Margin Reconciliation, 1Q'25 column.</t>
      </text>
    </comment>
    <comment ref="V62" authorId="0" shapeId="0">
      <text>
        <t>Lexmark settlement of pre-existing employment agreements, 2Q'25: 0. Source: Q2'26 earnings presentation (Xerox IR, 2026-07-30), Adjusted EBITDA and Margin Reconciliation, 2Q'25 column.</t>
      </text>
    </comment>
    <comment ref="W62" authorId="0" shapeId="0">
      <text>
        <t>Lexmark settlement of pre-existing employment agreements, 3Q'25: 24. Source: Q2'26 earnings presentation (Xerox IR, 2026-07-30), Adjusted EBITDA and Margin Reconciliation, 3Q'25 column.</t>
      </text>
    </comment>
    <comment ref="X62" authorId="0" shapeId="0">
      <text>
        <t>4Q'25 derived = FY2025 (10-K) less 1Q-3Q (10-Qs), so the quarters tie to the reported annual.</t>
      </text>
    </comment>
    <comment ref="Y62" authorId="0" shapeId="0">
      <text>
        <t>Lexmark settlement of pre-existing employment agreements, 1Q'26: 0. Source: Q2'26 earnings presentation (Xerox IR, 2026-07-30), Adjusted EBITDA and Margin Reconciliation, 1Q'26 column.</t>
      </text>
    </comment>
    <comment ref="Z62" authorId="0" shapeId="0">
      <text>
        <t>Lexmark settlement of pre-existing employment agreements, 2Q'26: 0. Source: Q2'26 earnings presentation (Xerox IR, 2026-07-30), Adjusted EBITDA and Margin Reconciliation, 2Q'26 column.</t>
      </text>
    </comment>
    <comment ref="AF62" authorId="0" shapeId="0">
      <text>
        <t>Lexmark settlement of pre-existing employment agreements, FY2025: 25. Source: Q2'26 earnings presentation (Xerox IR, 2026-07-30), Adjusted EBITDA and Margin Reconciliation, FY-25 column.</t>
      </text>
    </comment>
    <comment ref="AH62" authorId="0" shapeId="0">
      <text>
        <t>LTM = 3Q'24 + 4Q'24 + 1Q'25 + 2Q'25 (trailing four quarters).</t>
      </text>
    </comment>
    <comment ref="AI62" authorId="0" shapeId="0">
      <text>
        <t>LTM = 3Q'25 + 4Q'25 + 1Q'26 + 2Q'26 (trailing four quarters).</t>
      </text>
    </comment>
    <comment ref="Q64" authorId="0" shapeId="0">
      <text>
        <t>Adjusted EBITDA (company-reported), 1Q'24: 94. Source: Q2'25 earnings presentation (Xerox IR, 2025-07-31), Adjusted EBITDA and Margin Reconciliation, 1Q-24 column.</t>
      </text>
    </comment>
    <comment ref="R64" authorId="0" shapeId="0">
      <text>
        <t>Adjusted EBITDA (company-reported), 2Q'24: 151. Source: Q2'25 earnings presentation (Xerox IR, 2025-07-31), Adjusted EBITDA and Margin Reconciliation, 2Q-24 column.</t>
      </text>
    </comment>
    <comment ref="S64" authorId="0" shapeId="0">
      <text>
        <t>Adjusted EBITDA (company-reported), 3Q'24: 138. Source: Q2'25 earnings presentation (Xerox IR, 2025-07-31), Adjusted EBITDA and Margin Reconciliation, 3Q-24 column.</t>
      </text>
    </comment>
    <comment ref="T64" authorId="0" shapeId="0">
      <text>
        <t>Adjusted EBITDA (company-reported), 4Q'24: 172. Source: Q2'25 earnings presentation (Xerox IR, 2025-07-31), Adjusted EBITDA and Margin Reconciliation, 4Q-24 column.</t>
      </text>
    </comment>
    <comment ref="U64" authorId="0" shapeId="0">
      <text>
        <t>Adjusted EBITDA (company-reported), 1Q'25: 84. Source: Q2'26 earnings presentation (Xerox IR, 2026-07-30), Adjusted EBITDA and Margin Reconciliation, 1Q-25 column.</t>
      </text>
    </comment>
    <comment ref="V64" authorId="0" shapeId="0">
      <text>
        <t>Adjusted EBITDA (company-reported), 2Q'25: 120. Source: Q2'26 earnings presentation (Xerox IR, 2026-07-30), Adjusted EBITDA and Margin Reconciliation, 2Q-25 column.</t>
      </text>
    </comment>
    <comment ref="W64" authorId="0" shapeId="0">
      <text>
        <t>Adjusted EBITDA (company-reported), 3Q'25: 133. Source: Q2'26 earnings presentation (Xerox IR, 2026-07-30), Adjusted EBITDA and Margin Reconciliation, 3Q-25 column.</t>
      </text>
    </comment>
    <comment ref="X64" authorId="0" shapeId="0">
      <text>
        <t>Adjusted EBITDA (company-reported), 4Q'25: 175. Source: Q2'26 earnings presentation (Xerox IR, 2026-07-30), Adjusted EBITDA and Margin Reconciliation, 4Q-25 column.</t>
      </text>
    </comment>
    <comment ref="Y64" authorId="0" shapeId="0">
      <text>
        <t>Adjusted EBITDA (company-reported), 1Q'26: 140. Source: Q2'26 earnings presentation (Xerox IR, 2026-07-30), Adjusted EBITDA and Margin Reconciliation, 1Q-26 column.</t>
      </text>
    </comment>
    <comment ref="Z64" authorId="0" shapeId="0">
      <text>
        <t>Adjusted EBITDA (company-reported), 2Q'26: 271. Source: Q2'26 earnings presentation (Xerox IR, 2026-07-30), Adjusted EBITDA and Margin Reconciliation, 2Q-26 column.</t>
      </text>
    </comment>
    <comment ref="AD64" authorId="0" shapeId="0">
      <text>
        <t>Adjusted EBITDA (company-reported), FY2023: 651. Source: Q2'25 earnings presentation (Xerox IR, 2025-07-31), Adjusted EBITDA and Margin Reconciliation, FY-23 column.</t>
      </text>
    </comment>
    <comment ref="AE64" authorId="0" shapeId="0">
      <text>
        <t>Adjusted EBITDA (company-reported), FY2024: 555. Source: Q2'26 earnings presentation (Xerox IR, 2026-07-30), Adjusted EBITDA and Margin Reconciliation, FY-24 column.</t>
      </text>
    </comment>
    <comment ref="AF64" authorId="0" shapeId="0">
      <text>
        <t>Adjusted EBITDA (company-reported), FY2025: 512. Source: Q2'26 earnings presentation (Xerox IR, 2026-07-30), Adjusted EBITDA and Margin Reconciliation, FY-25 column.</t>
      </text>
    </comment>
    <comment ref="Z67" authorId="0" shapeId="0">
      <text>
        <t>Less: IEEPA tariff refund benefit (in cost of sales), 2Q'26: -105. Source: 2Q'26 Form 10-Q (acc. 0001770450-26-000040): $105 reduction to Cost of sales from recognition of IEEPA tariff receivables (loss recovery model). Q2'26 earnings presentation footnote confirms the $105 pre-tax benefit is included in Adjusted EBITDA.</t>
      </text>
    </comment>
    <comment ref="AH67" authorId="0" shapeId="0">
      <text>
        <t>LTM = 3Q'24 + 4Q'24 + 1Q'25 + 2Q'25 (trailing four quarters).</t>
      </text>
    </comment>
    <comment ref="AI67" authorId="0" shapeId="0">
      <text>
        <t>LTM = 3Q'25 + 4Q'25 + 1Q'26 + 2Q'26 (trailing four quarters).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14" authorId="0" shapeId="0">
      <text>
        <t>Link to IS (1Q'21). Equals the cash flow statement figure; CFO tie-out below confirms.</t>
      </text>
    </comment>
    <comment ref="G14" authorId="0" shapeId="0">
      <text>
        <t>Link to IS (2Q'21). Equals the cash flow statement figure; CFO tie-out below confirms.</t>
      </text>
    </comment>
    <comment ref="H14" authorId="0" shapeId="0">
      <text>
        <t>Link to IS (3Q'21). Equals the cash flow statement figure; CFO tie-out below confirms.</t>
      </text>
    </comment>
    <comment ref="I14" authorId="0" shapeId="0">
      <text>
        <t>Link to IS (4Q'21). Equals the cash flow statement figure; CFO tie-out below confirms.</t>
      </text>
    </comment>
    <comment ref="J14" authorId="0" shapeId="0">
      <text>
        <t>Link to IS (1Q'22). Equals the cash flow statement figure; CFO tie-out below confirms.</t>
      </text>
    </comment>
    <comment ref="K14" authorId="0" shapeId="0">
      <text>
        <t>Link to IS (2Q'22). Equals the cash flow statement figure; CFO tie-out below confirms.</t>
      </text>
    </comment>
    <comment ref="L14" authorId="0" shapeId="0">
      <text>
        <t>Link to IS (3Q'22). Equals the cash flow statement figure; CFO tie-out below confirms.</t>
      </text>
    </comment>
    <comment ref="M14" authorId="0" shapeId="0">
      <text>
        <t>Link to IS (4Q'22). Equals the cash flow statement figure; CFO tie-out below confirms.</t>
      </text>
    </comment>
    <comment ref="N14" authorId="0" shapeId="0">
      <text>
        <t>Link to IS (1Q'23). Equals the cash flow statement figure; CFO tie-out below confirms.</t>
      </text>
    </comment>
    <comment ref="O14" authorId="0" shapeId="0">
      <text>
        <t>Link to IS (2Q'23). Equals the cash flow statement figure; CFO tie-out below confirms.</t>
      </text>
    </comment>
    <comment ref="P14" authorId="0" shapeId="0">
      <text>
        <t>Link to IS (3Q'23). Equals the cash flow statement figure; CFO tie-out below confirms.</t>
      </text>
    </comment>
    <comment ref="Q14" authorId="0" shapeId="0">
      <text>
        <t>Link to IS (4Q'23). Equals the cash flow statement figure; CFO tie-out below confirms.</t>
      </text>
    </comment>
    <comment ref="R14" authorId="0" shapeId="0">
      <text>
        <t>Link to IS (1Q'24). Equals the cash flow statement figure; CFO tie-out below confirms.</t>
      </text>
    </comment>
    <comment ref="S14" authorId="0" shapeId="0">
      <text>
        <t>Link to IS (2Q'24). Equals the cash flow statement figure; CFO tie-out below confirms.</t>
      </text>
    </comment>
    <comment ref="T14" authorId="0" shapeId="0">
      <text>
        <t>Link to IS (3Q'24). Equals the cash flow statement figure; CFO tie-out below confirms.</t>
      </text>
    </comment>
    <comment ref="U14" authorId="0" shapeId="0">
      <text>
        <t>Link to IS (4Q'24). Equals the cash flow statement figure; CFO tie-out below confirms.</t>
      </text>
    </comment>
    <comment ref="V14" authorId="0" shapeId="0">
      <text>
        <t>Link to IS (1Q'25). Equals the cash flow statement figure; CFO tie-out below confirms.</t>
      </text>
    </comment>
    <comment ref="W14" authorId="0" shapeId="0">
      <text>
        <t>Link to IS (2Q'25). Equals the cash flow statement figure; CFO tie-out below confirms.</t>
      </text>
    </comment>
    <comment ref="X14" authorId="0" shapeId="0">
      <text>
        <t>Link to IS (3Q'25). Equals the cash flow statement figure; CFO tie-out below confirms.</t>
      </text>
    </comment>
    <comment ref="Y14" authorId="0" shapeId="0">
      <text>
        <t>Link to IS (4Q'25). Equals the cash flow statement figure; CFO tie-out below confirms.</t>
      </text>
    </comment>
    <comment ref="Z14" authorId="0" shapeId="0">
      <text>
        <t>Link to IS (1Q'26). Equals the cash flow statement figure; CFO tie-out below confirms.</t>
      </text>
    </comment>
    <comment ref="AA14" authorId="0" shapeId="0">
      <text>
        <t>Link to IS (2Q'26). Equals the cash flow statement figure; CFO tie-out below confirms.</t>
      </text>
    </comment>
    <comment ref="AC14" authorId="0" shapeId="0">
      <text>
        <t>Link to IS FY2021.</t>
      </text>
    </comment>
    <comment ref="AD14" authorId="0" shapeId="0">
      <text>
        <t>Link to IS FY2022.</t>
      </text>
    </comment>
    <comment ref="AE14" authorId="0" shapeId="0">
      <text>
        <t>Link to IS FY2023.</t>
      </text>
    </comment>
    <comment ref="AF14" authorId="0" shapeId="0">
      <text>
        <t>Link to IS FY2024.</t>
      </text>
    </comment>
    <comment ref="AG14" authorId="0" shapeId="0">
      <text>
        <t>Link to IS FY2025.</t>
      </text>
    </comment>
    <comment ref="F16" authorId="0" shapeId="0">
      <text>
        <t>Depreciation and amortization, 1Q'21: 86.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16" authorId="0" shapeId="0">
      <text>
        <t>Depreciation and amortization, 2Q'21: six-month YTD 170 less 1Q. Q2 = H1 - Q1. Source: Xerox Holdings 10-Q for period ended 2021-06-30 (acc. 0001770450-21-000036, xrx-20210630.htm), Condensed Consolidated Statements of Cash Flows (XBRL R6.htm), six months ended column.</t>
      </text>
    </comment>
    <comment ref="H16" authorId="0" shapeId="0">
      <text>
        <t>Depreciation and amortization, 3Q'21: nine-month YTD 249 less H1. Q3 = 9M - H1. Source: Xerox Holdings 10-Q for period ended 2021-09-30 (acc. 0001770450-21-000050, xrx-20210930.htm), Condensed Consolidated Statements of Cash Flows (XBRL R6.htm), nine months ended column.</t>
      </text>
    </comment>
    <comment ref="I16" authorId="0" shapeId="0">
      <text>
        <t>4Q'21 derived = FY2021 (10-K, acc. 0001770450-22-000010) less 9M YTD (3Q'21 10-Q, acc. 0001770450-21-000050).</t>
      </text>
    </comment>
    <comment ref="J16" authorId="0" shapeId="0">
      <text>
        <t>Depreciation and amortization, 1Q'22: 72.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16" authorId="0" shapeId="0">
      <text>
        <t>Depreciation and amortization, 2Q'22: six-month YTD 140 less 1Q. Q2 = H1 - Q1. Source: Xerox Holdings 10-Q for period ended 2022-06-30 (acc. 0001770450-22-000030, xrx-20220630.htm), Condensed Consolidated Statements of Cash Flows (XBRL R6.htm), six months ended column.</t>
      </text>
    </comment>
    <comment ref="L16" authorId="0" shapeId="0">
      <text>
        <t>Depreciation and amortization, 3Q'22: nine-month YTD 205 less H1. Q3 = 9M - H1. Source: Xerox Holdings 10-Q for period ended 2022-09-30 (acc. 0001770450-22-000041, xrx-20220930.htm), Condensed Consolidated Statements of Cash Flows (XBRL R6.htm), nine months ended column.</t>
      </text>
    </comment>
    <comment ref="M16" authorId="0" shapeId="0">
      <text>
        <t>4Q'22 derived = FY2022 (10-K, acc. 0001770450-23-000011) less 9M YTD (3Q'22 10-Q, acc. 0001770450-22-000041).</t>
      </text>
    </comment>
    <comment ref="N16" authorId="0" shapeId="0">
      <text>
        <t>Depreciation and amortization, 1Q'23: 64.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16" authorId="0" shapeId="0">
      <text>
        <t>Depreciation and amortization, 2Q'23: six-month YTD 126 less 1Q. Q2 = H1 - Q1. Source: Xerox Holdings 10-Q for period ended 2023-06-30 (acc. 0001770450-23-000042, xrx-20230630.htm), Condensed Consolidated Statements of Cash Flows (XBRL R6.htm), six months ended column.</t>
      </text>
    </comment>
    <comment ref="P16" authorId="0" shapeId="0">
      <text>
        <t>Depreciation and amortization, 3Q'23: nine-month YTD 189 less H1. Q3 = 9M - H1. Source: Xerox Holdings 10-Q for period ended 2023-09-30 (acc. 0001770450-23-000050, xrx-20230930.htm), Condensed Consolidated Statements of Cash Flows (XBRL R6.htm), nine months ended column.</t>
      </text>
    </comment>
    <comment ref="Q16" authorId="0" shapeId="0">
      <text>
        <t>4Q'23 derived = FY2023 (10-K, acc. 0001770450-24-000012) less 9M YTD (3Q'23 10-Q, acc. 0001770450-23-000050).</t>
      </text>
    </comment>
    <comment ref="R16" authorId="0" shapeId="0">
      <text>
        <t>Depreciation and amortization, 1Q'24: 59.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16" authorId="0" shapeId="0">
      <text>
        <t>Depreciation and amortization, 2Q'24: six-month YTD 118 less 1Q. Q2 = H1 - Q1. Source: Xerox Holdings 10-Q for period ended 2024-06-30 (acc. 0001770450-24-000042, xrx-20240630.htm), Condensed Consolidated Statements of Cash Flows (XBRL R6.htm), six months ended column.</t>
      </text>
    </comment>
    <comment ref="T16" authorId="0" shapeId="0">
      <text>
        <t>Depreciation and amortization, 3Q'24: nine-month YTD 177 less H1. Q3 = 9M - H1. Source: Xerox Holdings 10-Q for period ended 2024-09-30 (acc. 0001770450-24-000050, xrx-20240930.htm), Condensed Consolidated Statements of Cash Flows (XBRL R6.htm), nine months ended column.</t>
      </text>
    </comment>
    <comment ref="U16" authorId="0" shapeId="0">
      <text>
        <t>4Q'24 derived = FY2024 (10-K, acc. 0001770450-25-000010) less 9M YTD (3Q'24 10-Q, acc. 0001770450-24-000050).</t>
      </text>
    </comment>
    <comment ref="V16" authorId="0" shapeId="0">
      <text>
        <t>Depreciation and amortization, 1Q'25: 60.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16" authorId="0" shapeId="0">
      <text>
        <t>Depreciation and amortization, 2Q'25: six-month YTD 117 less 1Q. Q2 = H1 - Q1. Source: Xerox Holdings 10-Q for period ended 2025-06-30 (acc. 0001628280-25-038980, xrx-20250630.htm), Condensed Consolidated Statements of Cash Flows (XBRL R6.htm), six months ended column.</t>
      </text>
    </comment>
    <comment ref="X16" authorId="0" shapeId="0">
      <text>
        <t>Depreciation and amortization, 3Q'25: nine-month YTD 224 less H1. Q3 = 9M - H1. Source: Xerox Holdings 10-Q for period ended 2025-09-30 (acc. 0001770450-25-000037, xrx-20250930.htm), Condensed Consolidated Statements of Cash Flows (XBRL R6.htm), nine months ended column.</t>
      </text>
    </comment>
    <comment ref="Y16" authorId="0" shapeId="0">
      <text>
        <t>4Q'25 derived = FY2025 (10-K, acc. 0001770450-26-000009) less 9M YTD (3Q'25 10-Q, acc. 0001770450-25-000037).</t>
      </text>
    </comment>
    <comment ref="Z16" authorId="0" shapeId="0">
      <text>
        <t>Depreciation and amortization, 1Q'26: 100.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6" authorId="0" shapeId="0">
      <text>
        <t>Depreciation and amortization, 2Q'26: six-month YTD 201 less 1Q. Q2 = H1 - Q1. Source: Xerox Holdings 10-Q for period ended 2026-06-30 (acc. 0001770450-26-000040, xrx-20260630.htm), Condensed Consolidated Statements of Cash Flows (XBRL R6.htm), six months ended column.</t>
      </text>
    </comment>
    <comment ref="AC16" authorId="0" shapeId="0">
      <text>
        <t>Depreciation and amortization, FY2021: 327. Source: Xerox Holdings 10-K for period ended 2021-12-31 (acc. 0001770450-22-000010, xrx-20211231.htm), Condensed Consolidated Statements of Cash Flows (XBRL R7.htm), twelve months ended column.</t>
      </text>
    </comment>
    <comment ref="AD16" authorId="0" shapeId="0">
      <text>
        <t>Depreciation and amortization, FY2022: 270. Source: Xerox Holdings 10-K for period ended 2022-12-31 (acc. 0001770450-23-000011, xrx-20221231.htm), Condensed Consolidated Statements of Cash Flows (XBRL R7.htm), twelve months ended column.</t>
      </text>
    </comment>
    <comment ref="AE16" authorId="0" shapeId="0">
      <text>
        <t>Depreciation and amortization, FY2023: 251. Source: Xerox Holdings 10-K for period ended 2023-12-31 (acc. 0001770450-24-000012, xrx-20231231.htm), Condensed Consolidated Statements of Cash Flows (XBRL R7.htm), twelve months ended column.</t>
      </text>
    </comment>
    <comment ref="AF16" authorId="0" shapeId="0">
      <text>
        <t>Depreciation and amortization, FY2024: 274. Source: Xerox Holdings 10-K for period ended 2024-12-31 (acc. 0001770450-25-000010, xrx-20241231.htm), Condensed Consolidated Statements of Cash Flows (XBRL R7.htm), twelve months ended column.</t>
      </text>
    </comment>
    <comment ref="AG16" authorId="0" shapeId="0">
      <text>
        <t>Depreciation and amortization, FY2025: 331. Source: Xerox Holdings 10-K for period ended 2025-12-31 (acc. 0001770450-26-000009, xrx-20251231.htm), Condensed Consolidated Statements of Cash Flows (XBRL R7.htm), twelve months ended column.</t>
      </text>
    </comment>
    <comment ref="F17" authorId="0" shapeId="0">
      <text>
        <t>Provisions, 1Q'21: 20.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17" authorId="0" shapeId="0">
      <text>
        <t>Provisions, 2Q'21: six-month YTD 34 less 1Q. Q2 = H1 - Q1. Source: Xerox Holdings 10-Q for period ended 2021-06-30 (acc. 0001770450-21-000036, xrx-20210630.htm), Condensed Consolidated Statements of Cash Flows (XBRL R6.htm), six months ended column.</t>
      </text>
    </comment>
    <comment ref="H17" authorId="0" shapeId="0">
      <text>
        <t>Provisions, 3Q'21: nine-month YTD 38 less H1. Q3 = 9M - H1. Source: Xerox Holdings 10-Q for period ended 2021-09-30 (acc. 0001770450-21-000050, xrx-20210930.htm), Condensed Consolidated Statements of Cash Flows (XBRL R6.htm), nine months ended column.</t>
      </text>
    </comment>
    <comment ref="I17" authorId="0" shapeId="0">
      <text>
        <t>4Q'21 derived = FY2021 (10-K, acc. 0001770450-22-000010) less 9M YTD (3Q'21 10-Q, acc. 0001770450-21-000050).</t>
      </text>
    </comment>
    <comment ref="J17" authorId="0" shapeId="0">
      <text>
        <t>Provisions, 1Q'22: 19.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17" authorId="0" shapeId="0">
      <text>
        <t>Provisions, 2Q'22: six-month YTD 35 less 1Q. Q2 = H1 - Q1. Source: Xerox Holdings 10-Q for period ended 2022-06-30 (acc. 0001770450-22-000030, xrx-20220630.htm), Condensed Consolidated Statements of Cash Flows (XBRL R6.htm), six months ended column.</t>
      </text>
    </comment>
    <comment ref="L17" authorId="0" shapeId="0">
      <text>
        <t>Provisions, 3Q'22: nine-month YTD 48 less H1. Q3 = 9M - H1. Source: Xerox Holdings 10-Q for period ended 2022-09-30 (acc. 0001770450-22-000041, xrx-20220930.htm), Condensed Consolidated Statements of Cash Flows (XBRL R6.htm), nine months ended column.</t>
      </text>
    </comment>
    <comment ref="M17" authorId="0" shapeId="0">
      <text>
        <t>4Q'22 derived = FY2022 (10-K, acc. 0001770450-23-000011) less 9M YTD (3Q'22 10-Q, acc. 0001770450-22-000041).</t>
      </text>
    </comment>
    <comment ref="N17" authorId="0" shapeId="0">
      <text>
        <t>Provisions, 1Q'23: 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17" authorId="0" shapeId="0">
      <text>
        <t>Provisions, 2Q'23: six-month YTD 21 less 1Q. Q2 = H1 - Q1. Source: Xerox Holdings 10-Q for period ended 2023-06-30 (acc. 0001770450-23-000042, xrx-20230630.htm), Condensed Consolidated Statements of Cash Flows (XBRL R6.htm), six months ended column.</t>
      </text>
    </comment>
    <comment ref="P17" authorId="0" shapeId="0">
      <text>
        <t>Provisions, 3Q'23: nine-month YTD 37 less H1. Q3 = 9M - H1. Source: Xerox Holdings 10-Q for period ended 2023-09-30 (acc. 0001770450-23-000050, xrx-20230930.htm), Condensed Consolidated Statements of Cash Flows (XBRL R6.htm), nine months ended column.</t>
      </text>
    </comment>
    <comment ref="Q17" authorId="0" shapeId="0">
      <text>
        <t>4Q'23 derived = FY2023 (10-K, acc. 0001770450-24-000012) less 9M YTD (3Q'23 10-Q, acc. 0001770450-23-000050).</t>
      </text>
    </comment>
    <comment ref="R17" authorId="0" shapeId="0">
      <text>
        <t>Provisions, 1Q'24: 57.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17" authorId="0" shapeId="0">
      <text>
        <t>Provisions, 2Q'24: six-month YTD 79 less 1Q. Q2 = H1 - Q1. Source: Xerox Holdings 10-Q for period ended 2024-06-30 (acc. 0001770450-24-000042, xrx-20240630.htm), Condensed Consolidated Statements of Cash Flows (XBRL R6.htm), six months ended column.</t>
      </text>
    </comment>
    <comment ref="T17" authorId="0" shapeId="0">
      <text>
        <t>Provisions, 3Q'24: nine-month YTD 92 less H1. Q3 = 9M - H1. Source: Xerox Holdings 10-Q for period ended 2024-09-30 (acc. 0001770450-24-000050, xrx-20240930.htm), Condensed Consolidated Statements of Cash Flows (XBRL R6.htm), nine months ended column.</t>
      </text>
    </comment>
    <comment ref="U17" authorId="0" shapeId="0">
      <text>
        <t>4Q'24 derived = FY2024 (10-K, acc. 0001770450-25-000010) less 9M YTD (3Q'24 10-Q, acc. 0001770450-24-000050).</t>
      </text>
    </comment>
    <comment ref="V17" authorId="0" shapeId="0">
      <text>
        <t>Provisions, 1Q'25: 18.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17" authorId="0" shapeId="0">
      <text>
        <t>Provisions, 2Q'25: six-month YTD 48 less 1Q. Q2 = H1 - Q1. Source: Xerox Holdings 10-Q for period ended 2025-06-30 (acc. 0001628280-25-038980, xrx-20250630.htm), Condensed Consolidated Statements of Cash Flows (XBRL R6.htm), six months ended column.</t>
      </text>
    </comment>
    <comment ref="X17" authorId="0" shapeId="0">
      <text>
        <t>Provisions, 3Q'25: nine-month YTD 67 less H1. Q3 = 9M - H1. Source: Xerox Holdings 10-Q for period ended 2025-09-30 (acc. 0001770450-25-000037, xrx-20250930.htm), Condensed Consolidated Statements of Cash Flows (XBRL R6.htm), nine months ended column.</t>
      </text>
    </comment>
    <comment ref="Y17" authorId="0" shapeId="0">
      <text>
        <t>4Q'25 derived = FY2025 (10-K, acc. 0001770450-26-000009) less 9M YTD (3Q'25 10-Q, acc. 0001770450-25-000037).</t>
      </text>
    </comment>
    <comment ref="Z17" authorId="0" shapeId="0">
      <text>
        <t>Provisions, 1Q'26: 18.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7" authorId="0" shapeId="0">
      <text>
        <t>Provisions, 2Q'26: six-month YTD 36 less 1Q. Q2 = H1 - Q1. Source: Xerox Holdings 10-Q for period ended 2026-06-30 (acc. 0001770450-26-000040, xrx-20260630.htm), Condensed Consolidated Statements of Cash Flows (XBRL R6.htm), six months ended column.</t>
      </text>
    </comment>
    <comment ref="AC17" authorId="0" shapeId="0">
      <text>
        <t>Provisions, FY2021: 46. Source: Xerox Holdings 10-K for period ended 2021-12-31 (acc. 0001770450-22-000010, xrx-20211231.htm), Condensed Consolidated Statements of Cash Flows (XBRL R7.htm), twelve months ended column.</t>
      </text>
    </comment>
    <comment ref="AD17" authorId="0" shapeId="0">
      <text>
        <t>Provisions, FY2022: 65. Source: Xerox Holdings 10-K for period ended 2022-12-31 (acc. 0001770450-23-000011, xrx-20221231.htm), Condensed Consolidated Statements of Cash Flows (XBRL R7.htm), twelve months ended column.</t>
      </text>
    </comment>
    <comment ref="AE17" authorId="0" shapeId="0">
      <text>
        <t>Provisions, FY2023: 54. Source: Xerox Holdings 10-K for period ended 2023-12-31 (acc. 0001770450-24-000012, xrx-20231231.htm), Condensed Consolidated Statements of Cash Flows (XBRL R7.htm), twelve months ended column.</t>
      </text>
    </comment>
    <comment ref="AF17" authorId="0" shapeId="0">
      <text>
        <t>Provisions, FY2024: 110. Source: Xerox Holdings 10-K for period ended 2024-12-31 (acc. 0001770450-25-000010, xrx-20241231.htm), Condensed Consolidated Statements of Cash Flows (XBRL R7.htm), twelve months ended column.</t>
      </text>
    </comment>
    <comment ref="AG17" authorId="0" shapeId="0">
      <text>
        <t>Provisions, FY2025: 85. Source: Xerox Holdings 10-K for period ended 2025-12-31 (acc. 0001770450-26-000009, xrx-20251231.htm), Condensed Consolidated Statements of Cash Flows (XBRL R7.htm), twelve months ended column.</t>
      </text>
    </comment>
    <comment ref="Z18" authorId="0" shapeId="0">
      <text>
        <t>Net (gain) loss on early extinguishment of debt, 1Q'26: -56.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8" authorId="0" shapeId="0">
      <text>
        <t>Net (gain) loss on early extinguishment of debt, 2Q'26: six-month YTD -95 less 1Q. Q2 = H1 - Q1. Source: Xerox Holdings 10-Q for period ended 2026-06-30 (acc. 0001770450-26-000040, xrx-20260630.htm), Condensed Consolidated Statements of Cash Flows (XBRL R6.htm), six months ended column.</t>
      </text>
    </comment>
    <comment ref="F19" authorId="0" shapeId="0">
      <text>
        <t>Net (gain) loss on sales of businesses and assets,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19" authorId="0" shapeId="0">
      <text>
        <t>Net (gain) loss on sales of businesses and assets, 2Q'21: six-month YTD -1 less 1Q. Q2 = H1 - Q1. Source: Xerox Holdings 10-Q for period ended 2021-06-30 (acc. 0001770450-21-000036, xrx-20210630.htm), Condensed Consolidated Statements of Cash Flows (XBRL R6.htm), six months ended column.</t>
      </text>
    </comment>
    <comment ref="H19" authorId="0" shapeId="0">
      <text>
        <t>Net (gain) loss on sales of businesses and assets, 3Q'21: nine-month YTD -40 less H1. Q3 = 9M - H1. Source: Xerox Holdings 10-Q for period ended 2021-09-30 (acc. 0001770450-21-000050, xrx-20210930.htm), Condensed Consolidated Statements of Cash Flows (XBRL R6.htm), nine months ended column.</t>
      </text>
    </comment>
    <comment ref="I19" authorId="0" shapeId="0">
      <text>
        <t>4Q'21 derived = FY2021 (10-K, acc. 0001770450-22-000010) less 9M YTD (3Q'21 10-Q, acc. 0001770450-21-000050).</t>
      </text>
    </comment>
    <comment ref="J19" authorId="0" shapeId="0">
      <text>
        <t>Net (gain) loss on sales of businesses and assets, 1Q'22: 0. Source: Xerox Holdings 10-Q for period ended 2022-03-31 (acc. 0001770450-22-000020, xrx-20220331.htm), Condensed Consolidated Statements of Cash Flows (XBRL R6.htm), three months ended column. Q1 = three-month YTD as reported. Not presented in this filing; zero.</t>
      </text>
    </comment>
    <comment ref="K19" authorId="0" shapeId="0">
      <text>
        <t>Net (gain) loss on sales of businesses and assets, 2Q'22: six-month YTD -1 less 1Q. Q2 = H1 - Q1. Source: Xerox Holdings 10-Q for period ended 2022-06-30 (acc. 0001770450-22-000030, xrx-20220630.htm), Condensed Consolidated Statements of Cash Flows (XBRL R6.htm), six months ended column.</t>
      </text>
    </comment>
    <comment ref="L19" authorId="0" shapeId="0">
      <text>
        <t>Net (gain) loss on sales of businesses and assets, 3Q'22: nine-month YTD -17 less H1. Q3 = 9M - H1. Source: Xerox Holdings 10-Q for period ended 2022-09-30 (acc. 0001770450-22-000041, xrx-20220930.htm), Condensed Consolidated Statements of Cash Flows (XBRL R6.htm), nine months ended column.</t>
      </text>
    </comment>
    <comment ref="M19" authorId="0" shapeId="0">
      <text>
        <t>4Q'22 derived = FY2022 (10-K, acc. 0001770450-23-000011) less 9M YTD (3Q'22 10-Q, acc. 0001770450-22-000041).</t>
      </text>
    </comment>
    <comment ref="N19" authorId="0" shapeId="0">
      <text>
        <t>Net (gain) loss on sales of businesses and assets, 1Q'23: 0. Source: Xerox Holdings 10-Q for period ended 2023-03-31 (acc. 0001770450-23-000032, xrx-20230331.htm), Condensed Consolidated Statements of Cash Flows (XBRL R6.htm), three months ended column. Q1 = three-month YTD as reported. Not presented in this filing; zero.</t>
      </text>
    </comment>
    <comment ref="O19" authorId="0" shapeId="0">
      <text>
        <t>Net (gain) loss on sales of businesses and assets, 2Q'23: six-month YTD -2 less 1Q. Q2 = H1 - Q1. Source: Xerox Holdings 10-Q for period ended 2023-06-30 (acc. 0001770450-23-000042, xrx-20230630.htm), Condensed Consolidated Statements of Cash Flows (XBRL R6.htm), six months ended column.</t>
      </text>
    </comment>
    <comment ref="P19" authorId="0" shapeId="0">
      <text>
        <t>Net (gain) loss on sales of businesses and assets, 3Q'23: nine-month YTD -37 less H1. Q3 = 9M - H1. Source: Xerox Holdings 10-Q for period ended 2023-09-30 (acc. 0001770450-23-000050, xrx-20230930.htm), Condensed Consolidated Statements of Cash Flows (XBRL R6.htm), nine months ended column.</t>
      </text>
    </comment>
    <comment ref="Q19" authorId="0" shapeId="0">
      <text>
        <t>4Q'23 derived = FY2023 (10-K, acc. 0001770450-24-000012) less 9M YTD (3Q'23 10-Q, acc. 0001770450-23-000050).</t>
      </text>
    </comment>
    <comment ref="R19" authorId="0" shapeId="0">
      <text>
        <t>Net (gain) loss on sales of businesses and assets, 1Q'24: 0. Source: Xerox Holdings 10-Q for period ended 2024-03-31 (acc. 0001770450-24-000031, xrx-20240331.htm), Condensed Consolidated Statements of Cash Flows (XBRL R6.htm), three months ended column. Q1 = three-month YTD as reported. Not presented in this filing; zero.</t>
      </text>
    </comment>
    <comment ref="S19" authorId="0" shapeId="0">
      <text>
        <t>Net (gain) loss on sales of businesses and assets, 2Q'24: six-month YTD -1 less 1Q. Q2 = H1 - Q1. Source: Xerox Holdings 10-Q for period ended 2024-06-30 (acc. 0001770450-24-000042, xrx-20240630.htm), Condensed Consolidated Statements of Cash Flows (XBRL R6.htm), six months ended column.</t>
      </text>
    </comment>
    <comment ref="T19" authorId="0" shapeId="0">
      <text>
        <t>Net (gain) loss on sales of businesses and assets, 3Q'24: nine-month YTD -3 less H1. Q3 = 9M - H1. Source: Xerox Holdings 10-Q for period ended 2024-09-30 (acc. 0001770450-24-000050, xrx-20240930.htm), Condensed Consolidated Statements of Cash Flows (XBRL R6.htm), nine months ended column.</t>
      </text>
    </comment>
    <comment ref="U19" authorId="0" shapeId="0">
      <text>
        <t>4Q'24 derived = FY2024 (10-K, acc. 0001770450-25-000010) less 9M YTD (3Q'24 10-Q, acc. 0001770450-24-000050).</t>
      </text>
    </comment>
    <comment ref="V19" authorId="0" shapeId="0">
      <text>
        <t>Net (gain) loss on sales of businesses and assets, 1Q'25: -3.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19" authorId="0" shapeId="0">
      <text>
        <t>Net (gain) loss on sales of businesses and assets, 2Q'25: six-month YTD -5 less 1Q. Q2 = H1 - Q1. Source: Xerox Holdings 10-Q for period ended 2025-06-30 (acc. 0001628280-25-038980, xrx-20250630.htm), Condensed Consolidated Statements of Cash Flows (XBRL R6.htm), six months ended column.</t>
      </text>
    </comment>
    <comment ref="X19" authorId="0" shapeId="0">
      <text>
        <t>Net (gain) loss on sales of businesses and assets, 3Q'25: nine-month YTD -6 less H1. Q3 = 9M - H1. Source: Xerox Holdings 10-Q for period ended 2025-09-30 (acc. 0001770450-25-000037, xrx-20250930.htm), Condensed Consolidated Statements of Cash Flows (XBRL R6.htm), nine months ended column.</t>
      </text>
    </comment>
    <comment ref="Y19" authorId="0" shapeId="0">
      <text>
        <t>4Q'25 derived = FY2025 (10-K, acc. 0001770450-26-000009) less 9M YTD (3Q'25 10-Q, acc. 0001770450-25-000037).</t>
      </text>
    </comment>
    <comment ref="Z19" authorId="0" shapeId="0">
      <text>
        <t>Net (gain) loss on sales of businesses and assets, 1Q'26: 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9" authorId="0" shapeId="0">
      <text>
        <t>Net (gain) loss on sales of businesses and assets, 2Q'26: six-month YTD 2 less 1Q. Q2 = H1 - Q1. Source: Xerox Holdings 10-Q for period ended 2026-06-30 (acc. 0001770450-26-000040, xrx-20260630.htm), Condensed Consolidated Statements of Cash Flows (XBRL R6.htm), six months ended column.</t>
      </text>
    </comment>
    <comment ref="AC19" authorId="0" shapeId="0">
      <text>
        <t>Net (gain) loss on sales of businesses and assets, FY2021: -40. Source: Xerox Holdings 10-K for period ended 2021-12-31 (acc. 0001770450-22-000010, xrx-20211231.htm), Condensed Consolidated Statements of Cash Flows (XBRL R7.htm), twelve months ended column.</t>
      </text>
    </comment>
    <comment ref="AD19" authorId="0" shapeId="0">
      <text>
        <t>Net (gain) loss on sales of businesses and assets, FY2022: -56. Source: Xerox Holdings 10-K for period ended 2022-12-31 (acc. 0001770450-23-000011, xrx-20221231.htm), Condensed Consolidated Statements of Cash Flows (XBRL R7.htm), twelve months ended column.</t>
      </text>
    </comment>
    <comment ref="AE19" authorId="0" shapeId="0">
      <text>
        <t>Net (gain) loss on sales of businesses and assets, FY2023: -39. Source: Xerox Holdings 10-K for period ended 2023-12-31 (acc. 0001770450-24-000012, xrx-20231231.htm), Condensed Consolidated Statements of Cash Flows (XBRL R7.htm), twelve months ended column.</t>
      </text>
    </comment>
    <comment ref="AF19" authorId="0" shapeId="0">
      <text>
        <t>Net (gain) loss on sales of businesses and assets, FY2024: -8. Source: Xerox Holdings 10-K for period ended 2024-12-31 (acc. 0001770450-25-000010, xrx-20241231.htm), Condensed Consolidated Statements of Cash Flows (XBRL R7.htm), twelve months ended column.</t>
      </text>
    </comment>
    <comment ref="AG19" authorId="0" shapeId="0">
      <text>
        <t>Net (gain) loss on sales of businesses and assets, FY2025: -5. Source: Xerox Holdings 10-K for period ended 2025-12-31 (acc. 0001770450-26-000009, xrx-20251231.htm), Condensed Consolidated Statements of Cash Flows (XBRL R7.htm), twelve months ended column.</t>
      </text>
    </comment>
    <comment ref="V20" authorId="0" shapeId="0">
      <text>
        <t>Inventory-related purchase accounting adjustment, noncash (Lexmark), 1Q'25: 0. Source: Xerox Holdings 10-Q for period ended 2025-03-31 (acc. 0001770450-25-000026, xrx-20250331.htm), Condensed Consolidated Statements of Cash Flows (XBRL R6.htm), three months ended column. Q1 = three-month YTD as reported. Not presented in this filing; zero.</t>
      </text>
    </comment>
    <comment ref="W20" authorId="0" shapeId="0">
      <text>
        <t>Inventory-related purchase accounting adjustment, noncash (Lexmark), 2Q'25: six-month YTD 0 less 1Q. Q2 = H1 - Q1. Source: Xerox Holdings 10-Q for period ended 2025-06-30 (acc. 0001628280-25-038980, xrx-20250630.htm), Condensed Consolidated Statements of Cash Flows (XBRL R6.htm), six months ended column. Not presented in this filing; zero.</t>
      </text>
    </comment>
    <comment ref="X20" authorId="0" shapeId="0">
      <text>
        <t>Inventory-related purchase accounting adjustment, noncash (Lexmark), 3Q'25: nine-month YTD 102 less H1. Q3 = 9M - H1. Source: Xerox Holdings 10-Q for period ended 2025-09-30 (acc. 0001770450-25-000037, xrx-20250930.htm), Condensed Consolidated Statements of Cash Flows (XBRL R6.htm), nine months ended column.</t>
      </text>
    </comment>
    <comment ref="Y20" authorId="0" shapeId="0">
      <text>
        <t>4Q'25 derived = FY2025 (10-K, acc. 0001770450-26-000009) less 9M YTD (3Q'25 10-Q, acc. 0001770450-25-000037).</t>
      </text>
    </comment>
    <comment ref="AG20" authorId="0" shapeId="0">
      <text>
        <t>Inventory-related purchase accounting adjustment, noncash (Lexmark), FY2025: 102. Source: Xerox Holdings 10-K for period ended 2025-12-31 (acc. 0001770450-26-000009, xrx-20251231.htm), Condensed Consolidated Statements of Cash Flows (XBRL R7.htm), twelve months ended column.</t>
      </text>
    </comment>
    <comment ref="V21" authorId="0" shapeId="0">
      <text>
        <t>Effective settlement of pre-existing relationship between Lexmark and Xerox, 1Q'25: 0. Source: Xerox Holdings 10-Q for period ended 2025-03-31 (acc. 0001770450-25-000026, xrx-20250331.htm), Condensed Consolidated Statements of Cash Flows (XBRL R6.htm), three months ended column. Q1 = three-month YTD as reported. Not presented in this filing; zero.</t>
      </text>
    </comment>
    <comment ref="W21" authorId="0" shapeId="0">
      <text>
        <t>Effective settlement of pre-existing relationship between Lexmark and Xerox, 2Q'25: six-month YTD 0 less 1Q. Q2 = H1 - Q1. Source: Xerox Holdings 10-Q for period ended 2025-06-30 (acc. 0001628280-25-038980, xrx-20250630.htm), Condensed Consolidated Statements of Cash Flows (XBRL R6.htm), six months ended column. Not presented in this filing; zero.</t>
      </text>
    </comment>
    <comment ref="X21" authorId="0" shapeId="0">
      <text>
        <t>Effective settlement of pre-existing relationship between Lexmark and Xerox, 3Q'25: nine-month YTD -43 less H1. Q3 = 9M - H1. Source: Xerox Holdings 10-Q for period ended 2025-09-30 (acc. 0001770450-25-000037, xrx-20250930.htm), Condensed Consolidated Statements of Cash Flows (XBRL R6.htm), nine months ended column.</t>
      </text>
    </comment>
    <comment ref="Y21" authorId="0" shapeId="0">
      <text>
        <t>4Q'25 derived = FY2025 (10-K, acc. 0001770450-26-000009) less 9M YTD (3Q'25 10-Q, acc. 0001770450-25-000037).</t>
      </text>
    </comment>
    <comment ref="AG21" authorId="0" shapeId="0">
      <text>
        <t>Effective settlement of pre-existing relationship between Lexmark and Xerox, FY2025: -43. Source: Xerox Holdings 10-K for period ended 2025-12-31 (acc. 0001770450-26-000009, xrx-20251231.htm), Condensed Consolidated Statements of Cash Flows (XBRL R7.htm), twelve months ended column.</t>
      </text>
    </comment>
    <comment ref="F22" authorId="0" shapeId="0">
      <text>
        <t>Link to IS (1Q'21). Equals the cash flow statement figure; CFO tie-out below confirms.</t>
      </text>
    </comment>
    <comment ref="G22" authorId="0" shapeId="0">
      <text>
        <t>Link to IS (2Q'21). Equals the cash flow statement figure; CFO tie-out below confirms.</t>
      </text>
    </comment>
    <comment ref="H22" authorId="0" shapeId="0">
      <text>
        <t>Link to IS (3Q'21). Equals the cash flow statement figure; CFO tie-out below confirms.</t>
      </text>
    </comment>
    <comment ref="I22" authorId="0" shapeId="0">
      <text>
        <t>Link to IS (4Q'21). Equals the cash flow statement figure; CFO tie-out below confirms.</t>
      </text>
    </comment>
    <comment ref="J22" authorId="0" shapeId="0">
      <text>
        <t>Link to IS (1Q'22). Equals the cash flow statement figure; CFO tie-out below confirms.</t>
      </text>
    </comment>
    <comment ref="K22" authorId="0" shapeId="0">
      <text>
        <t>Link to IS (2Q'22). Equals the cash flow statement figure; CFO tie-out below confirms.</t>
      </text>
    </comment>
    <comment ref="L22" authorId="0" shapeId="0">
      <text>
        <t>Link to IS (3Q'22). Equals the cash flow statement figure; CFO tie-out below confirms.</t>
      </text>
    </comment>
    <comment ref="M22" authorId="0" shapeId="0">
      <text>
        <t>Link to IS (4Q'22). Equals the cash flow statement figure; CFO tie-out below confirms.</t>
      </text>
    </comment>
    <comment ref="N22" authorId="0" shapeId="0">
      <text>
        <t>Link to IS (1Q'23). Equals the cash flow statement figure; CFO tie-out below confirms.</t>
      </text>
    </comment>
    <comment ref="O22" authorId="0" shapeId="0">
      <text>
        <t>Link to IS (2Q'23). Equals the cash flow statement figure; CFO tie-out below confirms.</t>
      </text>
    </comment>
    <comment ref="P22" authorId="0" shapeId="0">
      <text>
        <t>Link to IS (3Q'23). Equals the cash flow statement figure; CFO tie-out below confirms.</t>
      </text>
    </comment>
    <comment ref="Q22" authorId="0" shapeId="0">
      <text>
        <t>Link to IS (4Q'23). Equals the cash flow statement figure; CFO tie-out below confirms.</t>
      </text>
    </comment>
    <comment ref="R22" authorId="0" shapeId="0">
      <text>
        <t>Link to IS (1Q'24). Equals the cash flow statement figure; CFO tie-out below confirms.</t>
      </text>
    </comment>
    <comment ref="S22" authorId="0" shapeId="0">
      <text>
        <t>Link to IS (2Q'24). Equals the cash flow statement figure; CFO tie-out below confirms.</t>
      </text>
    </comment>
    <comment ref="T22" authorId="0" shapeId="0">
      <text>
        <t>Link to IS (3Q'24). Equals the cash flow statement figure; CFO tie-out below confirms.</t>
      </text>
    </comment>
    <comment ref="U22" authorId="0" shapeId="0">
      <text>
        <t>Link to IS (4Q'24). Equals the cash flow statement figure; CFO tie-out below confirms.</t>
      </text>
    </comment>
    <comment ref="V22" authorId="0" shapeId="0">
      <text>
        <t>Link to IS (1Q'25). Equals the cash flow statement figure; CFO tie-out below confirms.</t>
      </text>
    </comment>
    <comment ref="W22" authorId="0" shapeId="0">
      <text>
        <t>Link to IS (2Q'25). Equals the cash flow statement figure; CFO tie-out below confirms.</t>
      </text>
    </comment>
    <comment ref="X22" authorId="0" shapeId="0">
      <text>
        <t>Link to IS (3Q'25). Equals the cash flow statement figure; CFO tie-out below confirms.</t>
      </text>
    </comment>
    <comment ref="Y22" authorId="0" shapeId="0">
      <text>
        <t>Link to IS (4Q'25). Equals the cash flow statement figure; CFO tie-out below confirms.</t>
      </text>
    </comment>
    <comment ref="Z22" authorId="0" shapeId="0">
      <text>
        <t>Link to IS (1Q'26). Equals the cash flow statement figure; CFO tie-out below confirms.</t>
      </text>
    </comment>
    <comment ref="AA22" authorId="0" shapeId="0">
      <text>
        <t>Link to IS (2Q'26). Equals the cash flow statement figure; CFO tie-out below confirms.</t>
      </text>
    </comment>
    <comment ref="AC22" authorId="0" shapeId="0">
      <text>
        <t>Link to IS FY2021.</t>
      </text>
    </comment>
    <comment ref="AD22" authorId="0" shapeId="0">
      <text>
        <t>Link to IS FY2022.</t>
      </text>
    </comment>
    <comment ref="AE22" authorId="0" shapeId="0">
      <text>
        <t>Link to IS FY2023.</t>
      </text>
    </comment>
    <comment ref="AF22" authorId="0" shapeId="0">
      <text>
        <t>Link to IS FY2024.</t>
      </text>
    </comment>
    <comment ref="AG22" authorId="0" shapeId="0">
      <text>
        <t>Link to IS FY2025.</t>
      </text>
    </comment>
    <comment ref="F23" authorId="0" shapeId="0">
      <text>
        <t>Link to IS (1Q'21). Equals the cash flow statement figure; CFO tie-out below confirms.</t>
      </text>
    </comment>
    <comment ref="G23" authorId="0" shapeId="0">
      <text>
        <t>Link to IS (2Q'21). Equals the cash flow statement figure; CFO tie-out below confirms.</t>
      </text>
    </comment>
    <comment ref="H23" authorId="0" shapeId="0">
      <text>
        <t>Link to IS (3Q'21). Equals the cash flow statement figure; CFO tie-out below confirms.</t>
      </text>
    </comment>
    <comment ref="I23" authorId="0" shapeId="0">
      <text>
        <t>Link to IS (4Q'21). Equals the cash flow statement figure; CFO tie-out below confirms.</t>
      </text>
    </comment>
    <comment ref="J23" authorId="0" shapeId="0">
      <text>
        <t>Link to IS (1Q'22). Equals the cash flow statement figure; CFO tie-out below confirms.</t>
      </text>
    </comment>
    <comment ref="K23" authorId="0" shapeId="0">
      <text>
        <t>Link to IS (2Q'22). Equals the cash flow statement figure; CFO tie-out below confirms.</t>
      </text>
    </comment>
    <comment ref="L23" authorId="0" shapeId="0">
      <text>
        <t>Link to IS (3Q'22). Equals the cash flow statement figure; CFO tie-out below confirms.</t>
      </text>
    </comment>
    <comment ref="M23" authorId="0" shapeId="0">
      <text>
        <t>Link to IS (4Q'22). Equals the cash flow statement figure; CFO tie-out below confirms.</t>
      </text>
    </comment>
    <comment ref="N23" authorId="0" shapeId="0">
      <text>
        <t>Link to IS (1Q'23). Equals the cash flow statement figure; CFO tie-out below confirms.</t>
      </text>
    </comment>
    <comment ref="O23" authorId="0" shapeId="0">
      <text>
        <t>Link to IS (2Q'23). Equals the cash flow statement figure; CFO tie-out below confirms.</t>
      </text>
    </comment>
    <comment ref="P23" authorId="0" shapeId="0">
      <text>
        <t>Link to IS (3Q'23). Equals the cash flow statement figure; CFO tie-out below confirms.</t>
      </text>
    </comment>
    <comment ref="Q23" authorId="0" shapeId="0">
      <text>
        <t>Link to IS (4Q'23). Equals the cash flow statement figure; CFO tie-out below confirms.</t>
      </text>
    </comment>
    <comment ref="R23" authorId="0" shapeId="0">
      <text>
        <t>Link to IS (1Q'24). Equals the cash flow statement figure; CFO tie-out below confirms.</t>
      </text>
    </comment>
    <comment ref="S23" authorId="0" shapeId="0">
      <text>
        <t>Link to IS (2Q'24). Equals the cash flow statement figure; CFO tie-out below confirms.</t>
      </text>
    </comment>
    <comment ref="T23" authorId="0" shapeId="0">
      <text>
        <t>Link to IS (3Q'24). Equals the cash flow statement figure; CFO tie-out below confirms.</t>
      </text>
    </comment>
    <comment ref="U23" authorId="0" shapeId="0">
      <text>
        <t>Link to IS (4Q'24). Equals the cash flow statement figure; CFO tie-out below confirms.</t>
      </text>
    </comment>
    <comment ref="V23" authorId="0" shapeId="0">
      <text>
        <t>Link to IS (1Q'25). Equals the cash flow statement figure; CFO tie-out below confirms.</t>
      </text>
    </comment>
    <comment ref="W23" authorId="0" shapeId="0">
      <text>
        <t>Link to IS (2Q'25). Equals the cash flow statement figure; CFO tie-out below confirms.</t>
      </text>
    </comment>
    <comment ref="X23" authorId="0" shapeId="0">
      <text>
        <t>Link to IS (3Q'25). Equals the cash flow statement figure; CFO tie-out below confirms.</t>
      </text>
    </comment>
    <comment ref="Y23" authorId="0" shapeId="0">
      <text>
        <t>Link to IS (4Q'25). Equals the cash flow statement figure; CFO tie-out below confirms.</t>
      </text>
    </comment>
    <comment ref="Z23" authorId="0" shapeId="0">
      <text>
        <t>Link to IS (1Q'26). Equals the cash flow statement figure; CFO tie-out below confirms.</t>
      </text>
    </comment>
    <comment ref="AA23" authorId="0" shapeId="0">
      <text>
        <t>Link to IS (2Q'26). Equals the cash flow statement figure; CFO tie-out below confirms.</t>
      </text>
    </comment>
    <comment ref="AC23" authorId="0" shapeId="0">
      <text>
        <t>Link to IS FY2021.</t>
      </text>
    </comment>
    <comment ref="AD23" authorId="0" shapeId="0">
      <text>
        <t>Link to IS FY2022.</t>
      </text>
    </comment>
    <comment ref="AE23" authorId="0" shapeId="0">
      <text>
        <t>Link to IS FY2023.</t>
      </text>
    </comment>
    <comment ref="AF23" authorId="0" shapeId="0">
      <text>
        <t>Link to IS FY2024.</t>
      </text>
    </comment>
    <comment ref="AG23" authorId="0" shapeId="0">
      <text>
        <t>Link to IS FY2025.</t>
      </text>
    </comment>
    <comment ref="F24" authorId="0" shapeId="0">
      <text>
        <t>Link to IS (1Q'21). Equals the cash flow statement figure; CFO tie-out below confirms.</t>
      </text>
    </comment>
    <comment ref="G24" authorId="0" shapeId="0">
      <text>
        <t>Link to IS (2Q'21). Equals the cash flow statement figure; CFO tie-out below confirms.</t>
      </text>
    </comment>
    <comment ref="H24" authorId="0" shapeId="0">
      <text>
        <t>Link to IS (3Q'21). Equals the cash flow statement figure; CFO tie-out below confirms.</t>
      </text>
    </comment>
    <comment ref="I24" authorId="0" shapeId="0">
      <text>
        <t>Link to IS (4Q'21). Equals the cash flow statement figure; CFO tie-out below confirms.</t>
      </text>
    </comment>
    <comment ref="J24" authorId="0" shapeId="0">
      <text>
        <t>Link to IS (1Q'22). Equals the cash flow statement figure; CFO tie-out below confirms.</t>
      </text>
    </comment>
    <comment ref="K24" authorId="0" shapeId="0">
      <text>
        <t>Link to IS (2Q'22). Equals the cash flow statement figure; CFO tie-out below confirms.</t>
      </text>
    </comment>
    <comment ref="L24" authorId="0" shapeId="0">
      <text>
        <t>Link to IS (3Q'22). Equals the cash flow statement figure; CFO tie-out below confirms.</t>
      </text>
    </comment>
    <comment ref="M24" authorId="0" shapeId="0">
      <text>
        <t>Link to IS (4Q'22). Equals the cash flow statement figure; CFO tie-out below confirms.</t>
      </text>
    </comment>
    <comment ref="N24" authorId="0" shapeId="0">
      <text>
        <t>Link to IS (1Q'23). Equals the cash flow statement figure; CFO tie-out below confirms.</t>
      </text>
    </comment>
    <comment ref="O24" authorId="0" shapeId="0">
      <text>
        <t>Link to IS (2Q'23). Equals the cash flow statement figure; CFO tie-out below confirms.</t>
      </text>
    </comment>
    <comment ref="P24" authorId="0" shapeId="0">
      <text>
        <t>Link to IS (3Q'23). Equals the cash flow statement figure; CFO tie-out below confirms.</t>
      </text>
    </comment>
    <comment ref="Q24" authorId="0" shapeId="0">
      <text>
        <t>Link to IS (4Q'23). Equals the cash flow statement figure; CFO tie-out below confirms.</t>
      </text>
    </comment>
    <comment ref="R24" authorId="0" shapeId="0">
      <text>
        <t>Link to IS (1Q'24). Equals the cash flow statement figure; CFO tie-out below confirms.</t>
      </text>
    </comment>
    <comment ref="S24" authorId="0" shapeId="0">
      <text>
        <t>Link to IS (2Q'24). Equals the cash flow statement figure; CFO tie-out below confirms.</t>
      </text>
    </comment>
    <comment ref="T24" authorId="0" shapeId="0">
      <text>
        <t>Link to IS (3Q'24). Equals the cash flow statement figure; CFO tie-out below confirms.</t>
      </text>
    </comment>
    <comment ref="U24" authorId="0" shapeId="0">
      <text>
        <t>Link to IS (4Q'24). Equals the cash flow statement figure; CFO tie-out below confirms.</t>
      </text>
    </comment>
    <comment ref="V24" authorId="0" shapeId="0">
      <text>
        <t>Link to IS (1Q'25). Equals the cash flow statement figure; CFO tie-out below confirms.</t>
      </text>
    </comment>
    <comment ref="W24" authorId="0" shapeId="0">
      <text>
        <t>Link to IS (2Q'25). Equals the cash flow statement figure; CFO tie-out below confirms.</t>
      </text>
    </comment>
    <comment ref="X24" authorId="0" shapeId="0">
      <text>
        <t>Link to IS (3Q'25). Equals the cash flow statement figure; CFO tie-out below confirms.</t>
      </text>
    </comment>
    <comment ref="Y24" authorId="0" shapeId="0">
      <text>
        <t>Link to IS (4Q'25). Equals the cash flow statement figure; CFO tie-out below confirms.</t>
      </text>
    </comment>
    <comment ref="Z24" authorId="0" shapeId="0">
      <text>
        <t>Link to IS (1Q'26). Equals the cash flow statement figure; CFO tie-out below confirms.</t>
      </text>
    </comment>
    <comment ref="AA24" authorId="0" shapeId="0">
      <text>
        <t>Link to IS (2Q'26). Equals the cash flow statement figure; CFO tie-out below confirms.</t>
      </text>
    </comment>
    <comment ref="AC24" authorId="0" shapeId="0">
      <text>
        <t>Link to IS FY2021.</t>
      </text>
    </comment>
    <comment ref="AD24" authorId="0" shapeId="0">
      <text>
        <t>Link to IS FY2022.</t>
      </text>
    </comment>
    <comment ref="AE24" authorId="0" shapeId="0">
      <text>
        <t>Link to IS FY2023.</t>
      </text>
    </comment>
    <comment ref="AF24" authorId="0" shapeId="0">
      <text>
        <t>Link to IS FY2024.</t>
      </text>
    </comment>
    <comment ref="AG24" authorId="0" shapeId="0">
      <text>
        <t>Link to IS FY2025.</t>
      </text>
    </comment>
    <comment ref="F25" authorId="0" shapeId="0">
      <text>
        <t>Stock-based compensation, 1Q'21: 16.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5" authorId="0" shapeId="0">
      <text>
        <t>Stock-based compensation, 2Q'21: six-month YTD 30 less 1Q. Q2 = H1 - Q1. Source: Xerox Holdings 10-Q for period ended 2021-06-30 (acc. 0001770450-21-000036, xrx-20210630.htm), Condensed Consolidated Statements of Cash Flows (XBRL R6.htm), six months ended column.</t>
      </text>
    </comment>
    <comment ref="H25" authorId="0" shapeId="0">
      <text>
        <t>Stock-based compensation, 3Q'21: nine-month YTD 44 less H1. Q3 = 9M - H1. Source: Xerox Holdings 10-Q for period ended 2021-09-30 (acc. 0001770450-21-000050, xrx-20210930.htm), Condensed Consolidated Statements of Cash Flows (XBRL R6.htm), nine months ended column.</t>
      </text>
    </comment>
    <comment ref="I25" authorId="0" shapeId="0">
      <text>
        <t>4Q'21 derived = FY2021 (10-K, acc. 0001770450-22-000010) less 9M YTD (3Q'21 10-Q, acc. 0001770450-21-000050).</t>
      </text>
    </comment>
    <comment ref="J25" authorId="0" shapeId="0">
      <text>
        <t>Stock-based compensation, 1Q'22: 15.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5" authorId="0" shapeId="0">
      <text>
        <t>Stock-based compensation, 2Q'22: six-month YTD 50 less 1Q. Q2 = H1 - Q1. Source: Xerox Holdings 10-Q for period ended 2022-06-30 (acc. 0001770450-22-000030, xrx-20220630.htm), Condensed Consolidated Statements of Cash Flows (XBRL R6.htm), six months ended column.</t>
      </text>
    </comment>
    <comment ref="L25" authorId="0" shapeId="0">
      <text>
        <t>Stock-based compensation, 3Q'22: nine-month YTD 63 less H1. Q3 = 9M - H1. Source: Xerox Holdings 10-Q for period ended 2022-09-30 (acc. 0001770450-22-000041, xrx-20220930.htm), Condensed Consolidated Statements of Cash Flows (XBRL R6.htm), nine months ended column.</t>
      </text>
    </comment>
    <comment ref="M25" authorId="0" shapeId="0">
      <text>
        <t>4Q'22 derived = FY2022 (10-K, acc. 0001770450-23-000011) less 9M YTD (3Q'22 10-Q, acc. 0001770450-22-000041).</t>
      </text>
    </comment>
    <comment ref="N25" authorId="0" shapeId="0">
      <text>
        <t>Stock-based compensation, 1Q'23: 14.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5" authorId="0" shapeId="0">
      <text>
        <t>Stock-based compensation, 2Q'23: six-month YTD 28 less 1Q. Q2 = H1 - Q1. Source: Xerox Holdings 10-Q for period ended 2023-06-30 (acc. 0001770450-23-000042, xrx-20230630.htm), Condensed Consolidated Statements of Cash Flows (XBRL R6.htm), six months ended column.</t>
      </text>
    </comment>
    <comment ref="P25" authorId="0" shapeId="0">
      <text>
        <t>Stock-based compensation, 3Q'23: nine-month YTD 40 less H1. Q3 = 9M - H1. Source: Xerox Holdings 10-Q for period ended 2023-09-30 (acc. 0001770450-23-000050, xrx-20230930.htm), Condensed Consolidated Statements of Cash Flows (XBRL R6.htm), nine months ended column.</t>
      </text>
    </comment>
    <comment ref="Q25" authorId="0" shapeId="0">
      <text>
        <t>4Q'23 derived = FY2023 (10-K, acc. 0001770450-24-000012) less 9M YTD (3Q'23 10-Q, acc. 0001770450-23-000050).</t>
      </text>
    </comment>
    <comment ref="R25" authorId="0" shapeId="0">
      <text>
        <t>Stock-based compensation, 1Q'24: 12.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5" authorId="0" shapeId="0">
      <text>
        <t>Stock-based compensation, 2Q'24: six-month YTD 29 less 1Q. Q2 = H1 - Q1. Source: Xerox Holdings 10-Q for period ended 2024-06-30 (acc. 0001770450-24-000042, xrx-20240630.htm), Condensed Consolidated Statements of Cash Flows (XBRL R6.htm), six months ended column.</t>
      </text>
    </comment>
    <comment ref="T25" authorId="0" shapeId="0">
      <text>
        <t>Stock-based compensation, 3Q'24: nine-month YTD 38 less H1. Q3 = 9M - H1. Source: Xerox Holdings 10-Q for period ended 2024-09-30 (acc. 0001770450-24-000050, xrx-20240930.htm), Condensed Consolidated Statements of Cash Flows (XBRL R6.htm), nine months ended column.</t>
      </text>
    </comment>
    <comment ref="U25" authorId="0" shapeId="0">
      <text>
        <t>4Q'24 derived = FY2024 (10-K, acc. 0001770450-25-000010) less 9M YTD (3Q'24 10-Q, acc. 0001770450-24-000050).</t>
      </text>
    </comment>
    <comment ref="V25" authorId="0" shapeId="0">
      <text>
        <t>Stock-based compensation, 1Q'25: 12.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5" authorId="0" shapeId="0">
      <text>
        <t>Stock-based compensation, 2Q'25: six-month YTD 26 less 1Q. Q2 = H1 - Q1. Source: Xerox Holdings 10-Q for period ended 2025-06-30 (acc. 0001628280-25-038980, xrx-20250630.htm), Condensed Consolidated Statements of Cash Flows (XBRL R6.htm), six months ended column.</t>
      </text>
    </comment>
    <comment ref="X25" authorId="0" shapeId="0">
      <text>
        <t>Stock-based compensation, 3Q'25: nine-month YTD 33 less H1. Q3 = 9M - H1. Source: Xerox Holdings 10-Q for period ended 2025-09-30 (acc. 0001770450-25-000037, xrx-20250930.htm), Condensed Consolidated Statements of Cash Flows (XBRL R6.htm), nine months ended column.</t>
      </text>
    </comment>
    <comment ref="Y25" authorId="0" shapeId="0">
      <text>
        <t>4Q'25 derived = FY2025 (10-K, acc. 0001770450-26-000009) less 9M YTD (3Q'25 10-Q, acc. 0001770450-25-000037).</t>
      </text>
    </comment>
    <comment ref="Z25" authorId="0" shapeId="0">
      <text>
        <t>Stock-based compensation, 1Q'26: 9.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5" authorId="0" shapeId="0">
      <text>
        <t>Stock-based compensation, 2Q'26: six-month YTD 18 less 1Q. Q2 = H1 - Q1. Source: Xerox Holdings 10-Q for period ended 2026-06-30 (acc. 0001770450-26-000040, xrx-20260630.htm), Condensed Consolidated Statements of Cash Flows (XBRL R6.htm), six months ended column.</t>
      </text>
    </comment>
    <comment ref="AC25" authorId="0" shapeId="0">
      <text>
        <t>Stock-based compensation, FY2021: 54. Source: Xerox Holdings 10-K for period ended 2021-12-31 (acc. 0001770450-22-000010, xrx-20211231.htm), Condensed Consolidated Statements of Cash Flows (XBRL R7.htm), twelve months ended column.</t>
      </text>
    </comment>
    <comment ref="AD25" authorId="0" shapeId="0">
      <text>
        <t>Stock-based compensation, FY2022: 75. Source: Xerox Holdings 10-K for period ended 2022-12-31 (acc. 0001770450-23-000011, xrx-20221231.htm), Condensed Consolidated Statements of Cash Flows (XBRL R7.htm), twelve months ended column.</t>
      </text>
    </comment>
    <comment ref="AE25" authorId="0" shapeId="0">
      <text>
        <t>Stock-based compensation, FY2023: 54. Source: Xerox Holdings 10-K for period ended 2023-12-31 (acc. 0001770450-24-000012, xrx-20231231.htm), Condensed Consolidated Statements of Cash Flows (XBRL R7.htm), twelve months ended column.</t>
      </text>
    </comment>
    <comment ref="AF25" authorId="0" shapeId="0">
      <text>
        <t>Stock-based compensation, FY2024: 52. Source: Xerox Holdings 10-K for period ended 2024-12-31 (acc. 0001770450-25-000010, xrx-20241231.htm), Condensed Consolidated Statements of Cash Flows (XBRL R7.htm), twelve months ended column.</t>
      </text>
    </comment>
    <comment ref="AG25" authorId="0" shapeId="0">
      <text>
        <t>Stock-based compensation, FY2025: 45. Source: Xerox Holdings 10-K for period ended 2025-12-31 (acc. 0001770450-26-000009, xrx-20251231.htm), Condensed Consolidated Statements of Cash Flows (XBRL R7.htm), twelve months ended column.</t>
      </text>
    </comment>
    <comment ref="F26" authorId="0" shapeId="0">
      <text>
        <t>Restructuring and asset impairment charges, 1Q'21: 21.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6" authorId="0" shapeId="0">
      <text>
        <t>Restructuring and asset impairment charges, 2Q'21: six-month YTD 25 less 1Q. Q2 = H1 - Q1. Source: Xerox Holdings 10-Q for period ended 2021-06-30 (acc. 0001770450-21-000036, xrx-20210630.htm), Condensed Consolidated Statements of Cash Flows (XBRL R6.htm), six months ended column.</t>
      </text>
    </comment>
    <comment ref="H26" authorId="0" shapeId="0">
      <text>
        <t>Restructuring and asset impairment charges, 3Q'21: nine-month YTD 28 less H1. Q3 = 9M - H1. Source: Xerox Holdings 10-Q for period ended 2021-09-30 (acc. 0001770450-21-000050, xrx-20210930.htm), Condensed Consolidated Statements of Cash Flows (XBRL R6.htm), nine months ended column.</t>
      </text>
    </comment>
    <comment ref="I26" authorId="0" shapeId="0">
      <text>
        <t>4Q'21 derived = FY2021 (10-K, acc. 0001770450-22-000010) less 9M YTD (3Q'21 10-Q, acc. 0001770450-21-000050).</t>
      </text>
    </comment>
    <comment ref="J26" authorId="0" shapeId="0">
      <text>
        <t>Restructuring and asset impairment charges, 1Q'22: 20.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6" authorId="0" shapeId="0">
      <text>
        <t>Restructuring and asset impairment charges, 2Q'22: six-month YTD 22 less 1Q. Q2 = H1 - Q1. Source: Xerox Holdings 10-Q for period ended 2022-06-30 (acc. 0001770450-22-000030, xrx-20220630.htm), Condensed Consolidated Statements of Cash Flows (XBRL R6.htm), six months ended column.</t>
      </text>
    </comment>
    <comment ref="L26" authorId="0" shapeId="0">
      <text>
        <t>Restructuring and asset impairment charges, 3Q'22: nine-month YTD 44 less H1. Q3 = 9M - H1. Source: Xerox Holdings 10-Q for period ended 2022-09-30 (acc. 0001770450-22-000041, xrx-20220930.htm), Condensed Consolidated Statements of Cash Flows (XBRL R6.htm), nine months ended column.</t>
      </text>
    </comment>
    <comment ref="M26" authorId="0" shapeId="0">
      <text>
        <t>4Q'22 derived = FY2022 (10-K, acc. 0001770450-23-000011) less 9M YTD (3Q'22 10-Q, acc. 0001770450-22-000041).</t>
      </text>
    </comment>
    <comment ref="N26" authorId="0" shapeId="0">
      <text>
        <t>Restructuring and asset impairment charges, 1Q'23: 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6" authorId="0" shapeId="0">
      <text>
        <t>Restructuring and asset impairment charges, 2Q'23: six-month YTD 14 less 1Q. Q2 = H1 - Q1. Source: Xerox Holdings 10-Q for period ended 2023-06-30 (acc. 0001770450-23-000042, xrx-20230630.htm), Condensed Consolidated Statements of Cash Flows (XBRL R6.htm), six months ended column.</t>
      </text>
    </comment>
    <comment ref="P26" authorId="0" shapeId="0">
      <text>
        <t>Restructuring and asset impairment charges, 3Q'23: nine-month YTD 25 less H1. Q3 = 9M - H1. Source: Xerox Holdings 10-Q for period ended 2023-09-30 (acc. 0001770450-23-000050, xrx-20230930.htm), Condensed Consolidated Statements of Cash Flows (XBRL R6.htm), nine months ended column.</t>
      </text>
    </comment>
    <comment ref="Q26" authorId="0" shapeId="0">
      <text>
        <t>4Q'23 derived = FY2023 (10-K, acc. 0001770450-24-000012) less 9M YTD (3Q'23 10-Q, acc. 0001770450-23-000050).</t>
      </text>
    </comment>
    <comment ref="R26" authorId="0" shapeId="0">
      <text>
        <t>Restructuring and asset impairment charges, 1Q'24: 31.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6" authorId="0" shapeId="0">
      <text>
        <t>Restructuring and asset impairment charges, 2Q'24: six-month YTD 34 less 1Q. Q2 = H1 - Q1. Source: Xerox Holdings 10-Q for period ended 2024-06-30 (acc. 0001770450-24-000042, xrx-20240630.htm), Condensed Consolidated Statements of Cash Flows (XBRL R6.htm), six months ended column.</t>
      </text>
    </comment>
    <comment ref="T26" authorId="0" shapeId="0">
      <text>
        <t>Restructuring and asset impairment charges, 3Q'24: nine-month YTD 80 less H1. Q3 = 9M - H1. Source: Xerox Holdings 10-Q for period ended 2024-09-30 (acc. 0001770450-24-000050, xrx-20240930.htm), Condensed Consolidated Statements of Cash Flows (XBRL R6.htm), nine months ended column.</t>
      </text>
    </comment>
    <comment ref="U26" authorId="0" shapeId="0">
      <text>
        <t>4Q'24 derived = FY2024 (10-K, acc. 0001770450-25-000010) less 9M YTD (3Q'24 10-Q, acc. 0001770450-24-000050).</t>
      </text>
    </comment>
    <comment ref="V26" authorId="0" shapeId="0">
      <text>
        <t>Restructuring and asset impairment charges, 1Q'25: -1.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6" authorId="0" shapeId="0">
      <text>
        <t>Restructuring and asset impairment charges, 2Q'25: six-month YTD 10 less 1Q. Q2 = H1 - Q1. Source: Xerox Holdings 10-Q for period ended 2025-06-30 (acc. 0001628280-25-038980, xrx-20250630.htm), Condensed Consolidated Statements of Cash Flows (XBRL R6.htm), six months ended column.</t>
      </text>
    </comment>
    <comment ref="X26" authorId="0" shapeId="0">
      <text>
        <t>Restructuring and asset impairment charges, 3Q'25: nine-month YTD 69 less H1. Q3 = 9M - H1. Source: Xerox Holdings 10-Q for period ended 2025-09-30 (acc. 0001770450-25-000037, xrx-20250930.htm), Condensed Consolidated Statements of Cash Flows (XBRL R6.htm), nine months ended column.</t>
      </text>
    </comment>
    <comment ref="Y26" authorId="0" shapeId="0">
      <text>
        <t>4Q'25 derived = FY2025 (10-K, acc. 0001770450-26-000009) less 9M YTD (3Q'25 10-Q, acc. 0001770450-25-000037).</t>
      </text>
    </comment>
    <comment ref="Z26" authorId="0" shapeId="0">
      <text>
        <t>Restructuring and asset impairment charges, 1Q'26: 44.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6" authorId="0" shapeId="0">
      <text>
        <t>Restructuring and asset impairment charges, 2Q'26: six-month YTD 65 less 1Q. Q2 = H1 - Q1. Source: Xerox Holdings 10-Q for period ended 2026-06-30 (acc. 0001770450-26-000040, xrx-20260630.htm), Condensed Consolidated Statements of Cash Flows (XBRL R6.htm), six months ended column.</t>
      </text>
    </comment>
    <comment ref="AC26" authorId="0" shapeId="0">
      <text>
        <t>Restructuring and asset impairment charges, FY2021: 27. Source: Xerox Holdings 10-K for period ended 2021-12-31 (acc. 0001770450-22-000010, xrx-20211231.htm), Condensed Consolidated Statements of Cash Flows (XBRL R7.htm), twelve months ended column.</t>
      </text>
    </comment>
    <comment ref="AD26" authorId="0" shapeId="0">
      <text>
        <t>Restructuring and asset impairment charges, FY2022: 62. Source: Xerox Holdings 10-K for period ended 2022-12-31 (acc. 0001770450-23-000011, xrx-20221231.htm), Condensed Consolidated Statements of Cash Flows (XBRL R7.htm), twelve months ended column.</t>
      </text>
    </comment>
    <comment ref="AE26" authorId="0" shapeId="0">
      <text>
        <t>Restructuring and asset impairment charges, FY2023: 146. Source: Xerox Holdings 10-K for period ended 2023-12-31 (acc. 0001770450-24-000012, xrx-20231231.htm), Condensed Consolidated Statements of Cash Flows (XBRL R7.htm), twelve months ended column.</t>
      </text>
    </comment>
    <comment ref="AF26" authorId="0" shapeId="0">
      <text>
        <t>Restructuring and asset impairment charges, FY2024: 87. Source: Xerox Holdings 10-K for period ended 2024-12-31 (acc. 0001770450-25-000010, xrx-20241231.htm), Condensed Consolidated Statements of Cash Flows (XBRL R7.htm), twelve months ended column.</t>
      </text>
    </comment>
    <comment ref="AG26" authorId="0" shapeId="0">
      <text>
        <t>Restructuring and asset impairment charges, FY2025: 67. Source: Xerox Holdings 10-K for period ended 2025-12-31 (acc. 0001770450-26-000009, xrx-20251231.htm), Condensed Consolidated Statements of Cash Flows (XBRL R7.htm), twelve months ended column.</t>
      </text>
    </comment>
    <comment ref="F27" authorId="0" shapeId="0">
      <text>
        <t>Payments for restructurings, 1Q'21: -27.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7" authorId="0" shapeId="0">
      <text>
        <t>Payments for restructurings, 2Q'21: six-month YTD -49 less 1Q. Q2 = H1 - Q1. Source: Xerox Holdings 10-Q for period ended 2021-06-30 (acc. 0001770450-21-000036, xrx-20210630.htm), Condensed Consolidated Statements of Cash Flows (XBRL R6.htm), six months ended column.</t>
      </text>
    </comment>
    <comment ref="H27" authorId="0" shapeId="0">
      <text>
        <t>Payments for restructurings, 3Q'21: nine-month YTD -61 less H1. Q3 = 9M - H1. Source: Xerox Holdings 10-Q for period ended 2021-09-30 (acc. 0001770450-21-000050, xrx-20210930.htm), Condensed Consolidated Statements of Cash Flows (XBRL R6.htm), nine months ended column.</t>
      </text>
    </comment>
    <comment ref="I27" authorId="0" shapeId="0">
      <text>
        <t>4Q'21 derived = FY2021 (10-K, acc. 0001770450-22-000010) less 9M YTD (3Q'21 10-Q, acc. 0001770450-21-000050).</t>
      </text>
    </comment>
    <comment ref="J27" authorId="0" shapeId="0">
      <text>
        <t>Payments for restructurings, 1Q'22: -7.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7" authorId="0" shapeId="0">
      <text>
        <t>Payments for restructurings, 2Q'22: six-month YTD -21 less 1Q. Q2 = H1 - Q1. Source: Xerox Holdings 10-Q for period ended 2022-06-30 (acc. 0001770450-22-000030, xrx-20220630.htm), Condensed Consolidated Statements of Cash Flows (XBRL R6.htm), six months ended column.</t>
      </text>
    </comment>
    <comment ref="L27" authorId="0" shapeId="0">
      <text>
        <t>Payments for restructurings, 3Q'22: nine-month YTD -38 less H1. Q3 = 9M - H1. Source: Xerox Holdings 10-Q for period ended 2022-09-30 (acc. 0001770450-22-000041, xrx-20220930.htm), Condensed Consolidated Statements of Cash Flows (XBRL R6.htm), nine months ended column.</t>
      </text>
    </comment>
    <comment ref="M27" authorId="0" shapeId="0">
      <text>
        <t>4Q'22 derived = FY2022 (10-K, acc. 0001770450-23-000011) less 9M YTD (3Q'22 10-Q, acc. 0001770450-22-000041).</t>
      </text>
    </comment>
    <comment ref="N27" authorId="0" shapeId="0">
      <text>
        <t>Payments for restructurings, 1Q'23: -6.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7" authorId="0" shapeId="0">
      <text>
        <t>Payments for restructurings, 2Q'23: six-month YTD -14 less 1Q. Q2 = H1 - Q1. Source: Xerox Holdings 10-Q for period ended 2023-06-30 (acc. 0001770450-23-000042, xrx-20230630.htm), Condensed Consolidated Statements of Cash Flows (XBRL R6.htm), six months ended column.</t>
      </text>
    </comment>
    <comment ref="P27" authorId="0" shapeId="0">
      <text>
        <t>Payments for restructurings, 3Q'23: nine-month YTD -23 less H1. Q3 = 9M - H1. Source: Xerox Holdings 10-Q for period ended 2023-09-30 (acc. 0001770450-23-000050, xrx-20230930.htm), Condensed Consolidated Statements of Cash Flows (XBRL R6.htm), nine months ended column.</t>
      </text>
    </comment>
    <comment ref="Q27" authorId="0" shapeId="0">
      <text>
        <t>4Q'23 derived = FY2023 (10-K, acc. 0001770450-24-000012) less 9M YTD (3Q'23 10-Q, acc. 0001770450-23-000050).</t>
      </text>
    </comment>
    <comment ref="R27" authorId="0" shapeId="0">
      <text>
        <t>Payments for restructurings, 1Q'24: -16.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7" authorId="0" shapeId="0">
      <text>
        <t>Payments for restructurings, 2Q'24: six-month YTD -47 less 1Q. Q2 = H1 - Q1. Source: Xerox Holdings 10-Q for period ended 2024-06-30 (acc. 0001770450-24-000042, xrx-20240630.htm), Condensed Consolidated Statements of Cash Flows (XBRL R6.htm), six months ended column.</t>
      </text>
    </comment>
    <comment ref="T27" authorId="0" shapeId="0">
      <text>
        <t>Payments for restructurings, 3Q'24: nine-month YTD -58 less H1. Q3 = 9M - H1. Source: Xerox Holdings 10-Q for period ended 2024-09-30 (acc. 0001770450-24-000050, xrx-20240930.htm), Condensed Consolidated Statements of Cash Flows (XBRL R6.htm), nine months ended column.</t>
      </text>
    </comment>
    <comment ref="U27" authorId="0" shapeId="0">
      <text>
        <t>4Q'24 derived = FY2024 (10-K, acc. 0001770450-25-000010) less 9M YTD (3Q'24 10-Q, acc. 0001770450-24-000050).</t>
      </text>
    </comment>
    <comment ref="V27" authorId="0" shapeId="0">
      <text>
        <t>Payments for restructurings, 1Q'25: -18.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7" authorId="0" shapeId="0">
      <text>
        <t>Payments for restructurings, 2Q'25: six-month YTD -33 less 1Q. Q2 = H1 - Q1. Source: Xerox Holdings 10-Q for period ended 2025-06-30 (acc. 0001628280-25-038980, xrx-20250630.htm), Condensed Consolidated Statements of Cash Flows (XBRL R6.htm), six months ended column.</t>
      </text>
    </comment>
    <comment ref="X27" authorId="0" shapeId="0">
      <text>
        <t>Payments for restructurings, 3Q'25: nine-month YTD -41 less H1. Q3 = 9M - H1. Source: Xerox Holdings 10-Q for period ended 2025-09-30 (acc. 0001770450-25-000037, xrx-20250930.htm), Condensed Consolidated Statements of Cash Flows (XBRL R6.htm), nine months ended column.</t>
      </text>
    </comment>
    <comment ref="Y27" authorId="0" shapeId="0">
      <text>
        <t>4Q'25 derived = FY2025 (10-K, acc. 0001770450-26-000009) less 9M YTD (3Q'25 10-Q, acc. 0001770450-25-000037).</t>
      </text>
    </comment>
    <comment ref="Z27" authorId="0" shapeId="0">
      <text>
        <t>Payments for restructurings, 1Q'26: -21.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7" authorId="0" shapeId="0">
      <text>
        <t>Payments for restructurings, 2Q'26: six-month YTD -40 less 1Q. Q2 = H1 - Q1. Source: Xerox Holdings 10-Q for period ended 2026-06-30 (acc. 0001770450-26-000040, xrx-20260630.htm), Condensed Consolidated Statements of Cash Flows (XBRL R6.htm), six months ended column.</t>
      </text>
    </comment>
    <comment ref="AC27" authorId="0" shapeId="0">
      <text>
        <t>Payments for restructurings, FY2021: -72. Source: Xerox Holdings 10-K for period ended 2021-12-31 (acc. 0001770450-22-000010, xrx-20211231.htm), Condensed Consolidated Statements of Cash Flows (XBRL R7.htm), twelve months ended column.</t>
      </text>
    </comment>
    <comment ref="AD27" authorId="0" shapeId="0">
      <text>
        <t>Payments for restructurings, FY2022: -52. Source: Xerox Holdings 10-K for period ended 2022-12-31 (acc. 0001770450-23-000011, xrx-20221231.htm), Condensed Consolidated Statements of Cash Flows (XBRL R7.htm), twelve months ended column.</t>
      </text>
    </comment>
    <comment ref="AE27" authorId="0" shapeId="0">
      <text>
        <t>Payments for restructurings, FY2023: -27. Source: Xerox Holdings 10-K for period ended 2023-12-31 (acc. 0001770450-24-000012, xrx-20231231.htm), Condensed Consolidated Statements of Cash Flows (XBRL R7.htm), twelve months ended column.</t>
      </text>
    </comment>
    <comment ref="AF27" authorId="0" shapeId="0">
      <text>
        <t>Payments for restructurings, FY2024: -78. Source: Xerox Holdings 10-K for period ended 2024-12-31 (acc. 0001770450-25-000010, xrx-20241231.htm), Condensed Consolidated Statements of Cash Flows (XBRL R7.htm), twelve months ended column.</t>
      </text>
    </comment>
    <comment ref="AG27" authorId="0" shapeId="0">
      <text>
        <t>Payments for restructurings, FY2025: -69. Source: Xerox Holdings 10-K for period ended 2025-12-31 (acc. 0001770450-26-000009, xrx-20251231.htm), Condensed Consolidated Statements of Cash Flows (XBRL R7.htm), twelve months ended column.</t>
      </text>
    </comment>
    <comment ref="F28" authorId="0" shapeId="0">
      <text>
        <t>Non-service retirement-related costs,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8" authorId="0" shapeId="0">
      <text>
        <t>Non-service retirement-related costs, 2Q'21: six-month YTD -2 less 1Q. Q2 = H1 - Q1. Source: Xerox Holdings 10-Q for period ended 2021-06-30 (acc. 0001770450-21-000036, xrx-20210630.htm), Condensed Consolidated Statements of Cash Flows (XBRL R6.htm), six months ended column.</t>
      </text>
    </comment>
    <comment ref="H28" authorId="0" shapeId="0">
      <text>
        <t>Non-service retirement-related costs, 3Q'21: nine-month YTD -5 less H1. Q3 = 9M - H1. Source: Xerox Holdings 10-Q for period ended 2021-09-30 (acc. 0001770450-21-000050, xrx-20210930.htm), Condensed Consolidated Statements of Cash Flows (XBRL R6.htm), nine months ended column.</t>
      </text>
    </comment>
    <comment ref="I28" authorId="0" shapeId="0">
      <text>
        <t>4Q'21 derived = FY2021 (10-K, acc. 0001770450-22-000010) less 9M YTD (3Q'21 10-Q, acc. 0001770450-21-000050).</t>
      </text>
    </comment>
    <comment ref="J28" authorId="0" shapeId="0">
      <text>
        <t>Non-service retirement-related costs, 1Q'22: -7.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8" authorId="0" shapeId="0">
      <text>
        <t>Non-service retirement-related costs, 2Q'22: six-month YTD -11 less 1Q. Q2 = H1 - Q1. Source: Xerox Holdings 10-Q for period ended 2022-06-30 (acc. 0001770450-22-000030, xrx-20220630.htm), Condensed Consolidated Statements of Cash Flows (XBRL R6.htm), six months ended column.</t>
      </text>
    </comment>
    <comment ref="L28" authorId="0" shapeId="0">
      <text>
        <t>Non-service retirement-related costs, 3Q'22: nine-month YTD -18 less H1. Q3 = 9M - H1. Source: Xerox Holdings 10-Q for period ended 2022-09-30 (acc. 0001770450-22-000041, xrx-20220930.htm), Condensed Consolidated Statements of Cash Flows (XBRL R6.htm), nine months ended column.</t>
      </text>
    </comment>
    <comment ref="M28" authorId="0" shapeId="0">
      <text>
        <t>4Q'22 derived = FY2022 (10-K, acc. 0001770450-23-000011) less 9M YTD (3Q'22 10-Q, acc. 0001770450-22-000041).</t>
      </text>
    </comment>
    <comment ref="N28" authorId="0" shapeId="0">
      <text>
        <t>Non-service retirement-related costs, 1Q'23: -1.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8" authorId="0" shapeId="0">
      <text>
        <t>Non-service retirement-related costs, 2Q'23: six-month YTD 10 less 1Q. Q2 = H1 - Q1. Source: Xerox Holdings 10-Q for period ended 2023-06-30 (acc. 0001770450-23-000042, xrx-20230630.htm), Condensed Consolidated Statements of Cash Flows (XBRL R6.htm), six months ended column.</t>
      </text>
    </comment>
    <comment ref="P28" authorId="0" shapeId="0">
      <text>
        <t>Non-service retirement-related costs, 3Q'23: nine-month YTD 14 less H1. Q3 = 9M - H1. Source: Xerox Holdings 10-Q for period ended 2023-09-30 (acc. 0001770450-23-000050, xrx-20230930.htm), Condensed Consolidated Statements of Cash Flows (XBRL R6.htm), nine months ended column.</t>
      </text>
    </comment>
    <comment ref="Q28" authorId="0" shapeId="0">
      <text>
        <t>4Q'23 derived = FY2023 (10-K, acc. 0001770450-24-000012) less 9M YTD (3Q'23 10-Q, acc. 0001770450-23-000050).</t>
      </text>
    </comment>
    <comment ref="R28" authorId="0" shapeId="0">
      <text>
        <t>Non-service retirement-related costs, 1Q'24: 23.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8" authorId="0" shapeId="0">
      <text>
        <t>Non-service retirement-related costs, 2Q'24: six-month YTD 49 less 1Q. Q2 = H1 - Q1. Source: Xerox Holdings 10-Q for period ended 2024-06-30 (acc. 0001770450-24-000042, xrx-20240630.htm), Condensed Consolidated Statements of Cash Flows (XBRL R6.htm), six months ended column.</t>
      </text>
    </comment>
    <comment ref="T28" authorId="0" shapeId="0">
      <text>
        <t>Non-service retirement-related costs, 3Q'24: nine-month YTD 74 less H1. Q3 = 9M - H1. Source: Xerox Holdings 10-Q for period ended 2024-09-30 (acc. 0001770450-24-000050, xrx-20240930.htm), Condensed Consolidated Statements of Cash Flows (XBRL R6.htm), nine months ended column.</t>
      </text>
    </comment>
    <comment ref="U28" authorId="0" shapeId="0">
      <text>
        <t>4Q'24 derived = FY2024 (10-K, acc. 0001770450-25-000010) less 9M YTD (3Q'24 10-Q, acc. 0001770450-24-000050).</t>
      </text>
    </comment>
    <comment ref="V28" authorId="0" shapeId="0">
      <text>
        <t>Non-service retirement-related costs, 1Q'25: 18.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8" authorId="0" shapeId="0">
      <text>
        <t>Non-service retirement-related costs, 2Q'25: six-month YTD 37 less 1Q. Q2 = H1 - Q1. Source: Xerox Holdings 10-Q for period ended 2025-06-30 (acc. 0001628280-25-038980, xrx-20250630.htm), Condensed Consolidated Statements of Cash Flows (XBRL R6.htm), six months ended column.</t>
      </text>
    </comment>
    <comment ref="X28" authorId="0" shapeId="0">
      <text>
        <t>Non-service retirement-related costs, 3Q'25: nine-month YTD 57 less H1. Q3 = 9M - H1. Source: Xerox Holdings 10-Q for period ended 2025-09-30 (acc. 0001770450-25-000037, xrx-20250930.htm), Condensed Consolidated Statements of Cash Flows (XBRL R6.htm), nine months ended column.</t>
      </text>
    </comment>
    <comment ref="Y28" authorId="0" shapeId="0">
      <text>
        <t>4Q'25 derived = FY2025 (10-K, acc. 0001770450-26-000009) less 9M YTD (3Q'25 10-Q, acc. 0001770450-25-000037).</t>
      </text>
    </comment>
    <comment ref="Z28" authorId="0" shapeId="0">
      <text>
        <t>Non-service retirement-related costs, 1Q'26: 21.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8" authorId="0" shapeId="0">
      <text>
        <t>Non-service retirement-related costs, 2Q'26: six-month YTD 42 less 1Q. Q2 = H1 - Q1. Source: Xerox Holdings 10-Q for period ended 2026-06-30 (acc. 0001770450-26-000040, xrx-20260630.htm), Condensed Consolidated Statements of Cash Flows (XBRL R6.htm), six months ended column.</t>
      </text>
    </comment>
    <comment ref="AC28" authorId="0" shapeId="0">
      <text>
        <t>Non-service retirement-related costs, FY2021: -10. Source: Xerox Holdings 10-K for period ended 2021-12-31 (acc. 0001770450-22-000010, xrx-20211231.htm), Condensed Consolidated Statements of Cash Flows (XBRL R7.htm), twelve months ended column.</t>
      </text>
    </comment>
    <comment ref="AD28" authorId="0" shapeId="0">
      <text>
        <t>Non-service retirement-related costs, FY2022: -12. Source: Xerox Holdings 10-K for period ended 2022-12-31 (acc. 0001770450-23-000011, xrx-20221231.htm), Condensed Consolidated Statements of Cash Flows (XBRL R7.htm), twelve months ended column.</t>
      </text>
    </comment>
    <comment ref="AE28" authorId="0" shapeId="0">
      <text>
        <t>Non-service retirement-related costs, FY2023: 19. Source: Xerox Holdings 10-K for period ended 2023-12-31 (acc. 0001770450-24-000012, xrx-20231231.htm), Condensed Consolidated Statements of Cash Flows (XBRL R7.htm), twelve months ended column.</t>
      </text>
    </comment>
    <comment ref="AF28" authorId="0" shapeId="0">
      <text>
        <t>Non-service retirement-related costs, FY2024: 80. Source: Xerox Holdings 10-K for period ended 2024-12-31 (acc. 0001770450-25-000010, xrx-20241231.htm), Condensed Consolidated Statements of Cash Flows (XBRL R7.htm), twelve months ended column.</t>
      </text>
    </comment>
    <comment ref="AG28" authorId="0" shapeId="0">
      <text>
        <t>Non-service retirement-related costs, FY2025: 78. Source: Xerox Holdings 10-K for period ended 2025-12-31 (acc. 0001770450-26-000009, xrx-20251231.htm), Condensed Consolidated Statements of Cash Flows (XBRL R7.htm), twelve months ended column.</t>
      </text>
    </comment>
    <comment ref="F29" authorId="0" shapeId="0">
      <text>
        <t>Contributions to retirement plans, 1Q'21: -35.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9" authorId="0" shapeId="0">
      <text>
        <t>Contributions to retirement plans, 2Q'21: six-month YTD -69 less 1Q. Q2 = H1 - Q1. Source: Xerox Holdings 10-Q for period ended 2021-06-30 (acc. 0001770450-21-000036, xrx-20210630.htm), Condensed Consolidated Statements of Cash Flows (XBRL R6.htm), six months ended column.</t>
      </text>
    </comment>
    <comment ref="H29" authorId="0" shapeId="0">
      <text>
        <t>Contributions to retirement plans, 3Q'21: nine-month YTD -102 less H1. Q3 = 9M - H1. Source: Xerox Holdings 10-Q for period ended 2021-09-30 (acc. 0001770450-21-000050, xrx-20210930.htm), Condensed Consolidated Statements of Cash Flows (XBRL R6.htm), nine months ended column.</t>
      </text>
    </comment>
    <comment ref="I29" authorId="0" shapeId="0">
      <text>
        <t>4Q'21 derived = FY2021 (10-K, acc. 0001770450-22-000010) less 9M YTD (3Q'21 10-Q, acc. 0001770450-21-000050).</t>
      </text>
    </comment>
    <comment ref="J29" authorId="0" shapeId="0">
      <text>
        <t>Contributions to retirement plans, 1Q'22: -38.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9" authorId="0" shapeId="0">
      <text>
        <t>Contributions to retirement plans, 2Q'22: six-month YTD -72 less 1Q. Q2 = H1 - Q1. Source: Xerox Holdings 10-Q for period ended 2022-06-30 (acc. 0001770450-22-000030, xrx-20220630.htm), Condensed Consolidated Statements of Cash Flows (XBRL R6.htm), six months ended column.</t>
      </text>
    </comment>
    <comment ref="L29" authorId="0" shapeId="0">
      <text>
        <t>Contributions to retirement plans, 3Q'22: nine-month YTD -106 less H1. Q3 = 9M - H1. Source: Xerox Holdings 10-Q for period ended 2022-09-30 (acc. 0001770450-22-000041, xrx-20220930.htm), Condensed Consolidated Statements of Cash Flows (XBRL R6.htm), nine months ended column.</t>
      </text>
    </comment>
    <comment ref="M29" authorId="0" shapeId="0">
      <text>
        <t>4Q'22 derived = FY2022 (10-K, acc. 0001770450-23-000011) less 9M YTD (3Q'22 10-Q, acc. 0001770450-22-000041).</t>
      </text>
    </comment>
    <comment ref="N29" authorId="0" shapeId="0">
      <text>
        <t>Contributions to retirement plans, 1Q'23: -17.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9" authorId="0" shapeId="0">
      <text>
        <t>Contributions to retirement plans, 2Q'23: six-month YTD -32 less 1Q. Q2 = H1 - Q1. Source: Xerox Holdings 10-Q for period ended 2023-06-30 (acc. 0001770450-23-000042, xrx-20230630.htm), Condensed Consolidated Statements of Cash Flows (XBRL R6.htm), six months ended column.</t>
      </text>
    </comment>
    <comment ref="P29" authorId="0" shapeId="0">
      <text>
        <t>Contributions to retirement plans, 3Q'23: nine-month YTD -75 less H1. Q3 = 9M - H1. Source: Xerox Holdings 10-Q for period ended 2023-09-30 (acc. 0001770450-23-000050, xrx-20230930.htm), Condensed Consolidated Statements of Cash Flows (XBRL R6.htm), nine months ended column.</t>
      </text>
    </comment>
    <comment ref="Q29" authorId="0" shapeId="0">
      <text>
        <t>4Q'23 derived = FY2023 (10-K, acc. 0001770450-24-000012) less 9M YTD (3Q'23 10-Q, acc. 0001770450-23-000050).</t>
      </text>
    </comment>
    <comment ref="R29" authorId="0" shapeId="0">
      <text>
        <t>Contributions to retirement plans, 1Q'24: -31.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9" authorId="0" shapeId="0">
      <text>
        <t>Contributions to retirement plans, 2Q'24: six-month YTD -58 less 1Q. Q2 = H1 - Q1. Source: Xerox Holdings 10-Q for period ended 2024-06-30 (acc. 0001770450-24-000042, xrx-20240630.htm), Condensed Consolidated Statements of Cash Flows (XBRL R6.htm), six months ended column.</t>
      </text>
    </comment>
    <comment ref="T29" authorId="0" shapeId="0">
      <text>
        <t>Contributions to retirement plans, 3Q'24: nine-month YTD -114 less H1. Q3 = 9M - H1. Source: Xerox Holdings 10-Q for period ended 2024-09-30 (acc. 0001770450-24-000050, xrx-20240930.htm), Condensed Consolidated Statements of Cash Flows (XBRL R6.htm), nine months ended column.</t>
      </text>
    </comment>
    <comment ref="U29" authorId="0" shapeId="0">
      <text>
        <t>4Q'24 derived = FY2024 (10-K, acc. 0001770450-25-000010) less 9M YTD (3Q'24 10-Q, acc. 0001770450-24-000050).</t>
      </text>
    </comment>
    <comment ref="V29" authorId="0" shapeId="0">
      <text>
        <t>Contributions to retirement plans, 1Q'25: -34.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9" authorId="0" shapeId="0">
      <text>
        <t>Contributions to retirement plans, 2Q'25: six-month YTD -67 less 1Q. Q2 = H1 - Q1. Source: Xerox Holdings 10-Q for period ended 2025-06-30 (acc. 0001628280-25-038980, xrx-20250630.htm), Condensed Consolidated Statements of Cash Flows (XBRL R6.htm), six months ended column.</t>
      </text>
    </comment>
    <comment ref="X29" authorId="0" shapeId="0">
      <text>
        <t>Contributions to retirement plans, 3Q'25: nine-month YTD -123 less H1. Q3 = 9M - H1. Source: Xerox Holdings 10-Q for period ended 2025-09-30 (acc. 0001770450-25-000037, xrx-20250930.htm), Condensed Consolidated Statements of Cash Flows (XBRL R6.htm), nine months ended column.</t>
      </text>
    </comment>
    <comment ref="Y29" authorId="0" shapeId="0">
      <text>
        <t>4Q'25 derived = FY2025 (10-K, acc. 0001770450-26-000009) less 9M YTD (3Q'25 10-Q, acc. 0001770450-25-000037).</t>
      </text>
    </comment>
    <comment ref="Z29" authorId="0" shapeId="0">
      <text>
        <t>Contributions to retirement plans, 1Q'26: -36.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9" authorId="0" shapeId="0">
      <text>
        <t>Contributions to retirement plans, 2Q'26: six-month YTD -72 less 1Q. Q2 = H1 - Q1. Source: Xerox Holdings 10-Q for period ended 2026-06-30 (acc. 0001770450-26-000040, xrx-20260630.htm), Condensed Consolidated Statements of Cash Flows (XBRL R6.htm), six months ended column.</t>
      </text>
    </comment>
    <comment ref="AC29" authorId="0" shapeId="0">
      <text>
        <t>Contributions to retirement plans, FY2021: -135. Source: Xerox Holdings 10-K for period ended 2021-12-31 (acc. 0001770450-22-000010, xrx-20211231.htm), Condensed Consolidated Statements of Cash Flows (XBRL R7.htm), twelve months ended column.</t>
      </text>
    </comment>
    <comment ref="AD29" authorId="0" shapeId="0">
      <text>
        <t>Contributions to retirement plans, FY2022: -124. Source: Xerox Holdings 10-K for period ended 2022-12-31 (acc. 0001770450-23-000011, xrx-20221231.htm), Condensed Consolidated Statements of Cash Flows (XBRL R7.htm), twelve months ended column.</t>
      </text>
    </comment>
    <comment ref="AE29" authorId="0" shapeId="0">
      <text>
        <t>Contributions to retirement plans, FY2023: -102. Source: Xerox Holdings 10-K for period ended 2023-12-31 (acc. 0001770450-24-000012, xrx-20231231.htm), Condensed Consolidated Statements of Cash Flows (XBRL R7.htm), twelve months ended column.</t>
      </text>
    </comment>
    <comment ref="AF29" authorId="0" shapeId="0">
      <text>
        <t>Contributions to retirement plans, FY2024: -145. Source: Xerox Holdings 10-K for period ended 2024-12-31 (acc. 0001770450-25-000010, xrx-20241231.htm), Condensed Consolidated Statements of Cash Flows (XBRL R7.htm), twelve months ended column.</t>
      </text>
    </comment>
    <comment ref="AG29" authorId="0" shapeId="0">
      <text>
        <t>Contributions to retirement plans, FY2025: -161. Source: Xerox Holdings 10-K for period ended 2025-12-31 (acc. 0001770450-26-000009, xrx-20251231.htm), Condensed Consolidated Statements of Cash Flows (XBRL R7.htm), twelve months ended column.</t>
      </text>
    </comment>
    <comment ref="F31" authorId="0" shapeId="0">
      <text>
        <t>(Increase) decrease in accounts receivable and billed portion of finance receivables, 1Q'21: 92.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1" authorId="0" shapeId="0">
      <text>
        <t>(Increase) decrease in accounts receivable and billed portion of finance receivables, 2Q'21: six-month YTD 37 less 1Q. Q2 = H1 - Q1. Source: Xerox Holdings 10-Q for period ended 2021-06-30 (acc. 0001770450-21-000036, xrx-20210630.htm), Condensed Consolidated Statements of Cash Flows (XBRL R6.htm), six months ended column.</t>
      </text>
    </comment>
    <comment ref="H31" authorId="0" shapeId="0">
      <text>
        <t>(Increase) decrease in accounts receivable and billed portion of finance receivables, 3Q'21: nine-month YTD -30 less H1. Q3 = 9M - H1. Source: Xerox Holdings 10-Q for period ended 2021-09-30 (acc. 0001770450-21-000050, xrx-20210930.htm), Condensed Consolidated Statements of Cash Flows (XBRL R6.htm), nine months ended column.</t>
      </text>
    </comment>
    <comment ref="I31" authorId="0" shapeId="0">
      <text>
        <t>4Q'21 derived = FY2021 (10-K, acc. 0001770450-22-000010) less 9M YTD (3Q'21 10-Q, acc. 0001770450-21-000050).</t>
      </text>
    </comment>
    <comment ref="J31" authorId="0" shapeId="0">
      <text>
        <t>(Increase) decrease in accounts receivable and billed portion of finance receivables, 1Q'22: 13.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1" authorId="0" shapeId="0">
      <text>
        <t>(Increase) decrease in accounts receivable and billed portion of finance receivables, 2Q'22: six-month YTD -49 less 1Q. Q2 = H1 - Q1. Source: Xerox Holdings 10-Q for period ended 2022-06-30 (acc. 0001770450-22-000030, xrx-20220630.htm), Condensed Consolidated Statements of Cash Flows (XBRL R6.htm), six months ended column.</t>
      </text>
    </comment>
    <comment ref="L31" authorId="0" shapeId="0">
      <text>
        <t>(Increase) decrease in accounts receivable and billed portion of finance receivables, 3Q'22: nine-month YTD -48 less H1. Q3 = 9M - H1. Source: Xerox Holdings 10-Q for period ended 2022-09-30 (acc. 0001770450-22-000041, xrx-20220930.htm), Condensed Consolidated Statements of Cash Flows (XBRL R6.htm), nine months ended column.</t>
      </text>
    </comment>
    <comment ref="M31" authorId="0" shapeId="0">
      <text>
        <t>4Q'22 derived = FY2022 (10-K, acc. 0001770450-23-000011) less 9M YTD (3Q'22 10-Q, acc. 0001770450-22-000041).</t>
      </text>
    </comment>
    <comment ref="N31" authorId="0" shapeId="0">
      <text>
        <t>(Increase) decrease in accounts receivable and billed portion of finance receivables, 1Q'23: 39.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1" authorId="0" shapeId="0">
      <text>
        <t>(Increase) decrease in accounts receivable and billed portion of finance receivables, 2Q'23: six-month YTD -36 less 1Q. Q2 = H1 - Q1. Source: Xerox Holdings 10-Q for period ended 2023-06-30 (acc. 0001770450-23-000042, xrx-20230630.htm), Condensed Consolidated Statements of Cash Flows (XBRL R6.htm), six months ended column.</t>
      </text>
    </comment>
    <comment ref="P31" authorId="0" shapeId="0">
      <text>
        <t>(Increase) decrease in accounts receivable and billed portion of finance receivables, 3Q'23: nine-month YTD -47 less H1. Q3 = 9M - H1. Source: Xerox Holdings 10-Q for period ended 2023-09-30 (acc. 0001770450-23-000050, xrx-20230930.htm), Condensed Consolidated Statements of Cash Flows (XBRL R6.htm), nine months ended column.</t>
      </text>
    </comment>
    <comment ref="Q31" authorId="0" shapeId="0">
      <text>
        <t>4Q'23 derived = FY2023 (10-K, acc. 0001770450-24-000012) less 9M YTD (3Q'23 10-Q, acc. 0001770450-23-000050).</t>
      </text>
    </comment>
    <comment ref="R31" authorId="0" shapeId="0">
      <text>
        <t>(Increase) decrease in accounts receivable and billed portion of finance receivables, 1Q'24: -19.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1" authorId="0" shapeId="0">
      <text>
        <t>(Increase) decrease in accounts receivable and billed portion of finance receivables, 2Q'24: six-month YTD -32 less 1Q. Q2 = H1 - Q1. Source: Xerox Holdings 10-Q for period ended 2024-06-30 (acc. 0001770450-24-000042, xrx-20240630.htm), Condensed Consolidated Statements of Cash Flows (XBRL R6.htm), six months ended column.</t>
      </text>
    </comment>
    <comment ref="T31" authorId="0" shapeId="0">
      <text>
        <t>(Increase) decrease in accounts receivable and billed portion of finance receivables, 3Q'24: nine-month YTD 18 less H1. Q3 = 9M - H1. Source: Xerox Holdings 10-Q for period ended 2024-09-30 (acc. 0001770450-24-000050, xrx-20240930.htm), Condensed Consolidated Statements of Cash Flows (XBRL R6.htm), nine months ended column.</t>
      </text>
    </comment>
    <comment ref="U31" authorId="0" shapeId="0">
      <text>
        <t>4Q'24 derived = FY2024 (10-K, acc. 0001770450-25-000010) less 9M YTD (3Q'24 10-Q, acc. 0001770450-24-000050).</t>
      </text>
    </comment>
    <comment ref="V31" authorId="0" shapeId="0">
      <text>
        <t>(Increase) decrease in accounts receivable and billed portion of finance receivables, 1Q'25: -12.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1" authorId="0" shapeId="0">
      <text>
        <t>(Increase) decrease in accounts receivable and billed portion of finance receivables, 2Q'25: six-month YTD -44 less 1Q. Q2 = H1 - Q1. Source: Xerox Holdings 10-Q for period ended 2025-06-30 (acc. 0001628280-25-038980, xrx-20250630.htm), Condensed Consolidated Statements of Cash Flows (XBRL R6.htm), six months ended column.</t>
      </text>
    </comment>
    <comment ref="X31" authorId="0" shapeId="0">
      <text>
        <t>(Increase) decrease in accounts receivable and billed portion of finance receivables, 3Q'25: nine-month YTD -41 less H1. Q3 = 9M - H1. Source: Xerox Holdings 10-Q for period ended 2025-09-30 (acc. 0001770450-25-000037, xrx-20250930.htm), Condensed Consolidated Statements of Cash Flows (XBRL R6.htm), nine months ended column.</t>
      </text>
    </comment>
    <comment ref="Y31" authorId="0" shapeId="0">
      <text>
        <t>4Q'25 derived = FY2025 (10-K, acc. 0001770450-26-000009) less 9M YTD (3Q'25 10-Q, acc. 0001770450-25-000037).</t>
      </text>
    </comment>
    <comment ref="Z31" authorId="0" shapeId="0">
      <text>
        <t>(Increase) decrease in accounts receivable and billed portion of finance receivables, 1Q'26: -106.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1" authorId="0" shapeId="0">
      <text>
        <t>(Increase) decrease in accounts receivable and billed portion of finance receivables, 2Q'26: six-month YTD -86 less 1Q. Q2 = H1 - Q1. Source: Xerox Holdings 10-Q for period ended 2026-06-30 (acc. 0001770450-26-000040, xrx-20260630.htm), Condensed Consolidated Statements of Cash Flows (XBRL R6.htm), six months ended column.</t>
      </text>
    </comment>
    <comment ref="AC31" authorId="0" shapeId="0">
      <text>
        <t>(Increase) decrease in accounts receivable and billed portion of finance receivables, FY2021: 41. Source: Xerox Holdings 10-K for period ended 2021-12-31 (acc. 0001770450-22-000010, xrx-20211231.htm), Condensed Consolidated Statements of Cash Flows (XBRL R7.htm), twelve months ended column.</t>
      </text>
    </comment>
    <comment ref="AD31" authorId="0" shapeId="0">
      <text>
        <t>(Increase) decrease in accounts receivable and billed portion of finance receivables, FY2022: -48. Source: Xerox Holdings 10-K for period ended 2022-12-31 (acc. 0001770450-23-000011, xrx-20221231.htm), Condensed Consolidated Statements of Cash Flows (XBRL R7.htm), twelve months ended column.</t>
      </text>
    </comment>
    <comment ref="AE31" authorId="0" shapeId="0">
      <text>
        <t>(Increase) decrease in accounts receivable and billed portion of finance receivables, FY2023: -5. Source: Xerox Holdings 10-K for period ended 2023-12-31 (acc. 0001770450-24-000012, xrx-20231231.htm), Condensed Consolidated Statements of Cash Flows (XBRL R7.htm), twelve months ended column.</t>
      </text>
    </comment>
    <comment ref="AF31" authorId="0" shapeId="0">
      <text>
        <t>(Increase) decrease in accounts receivable and billed portion of finance receivables, FY2024: 71. Source: Xerox Holdings 10-K for period ended 2024-12-31 (acc. 0001770450-25-000010, xrx-20241231.htm), Condensed Consolidated Statements of Cash Flows (XBRL R7.htm), twelve months ended column.</t>
      </text>
    </comment>
    <comment ref="AG31" authorId="0" shapeId="0">
      <text>
        <t>(Increase) decrease in accounts receivable and billed portion of finance receivables, FY2025: -36. Source: Xerox Holdings 10-K for period ended 2025-12-31 (acc. 0001770450-26-000009, xrx-20251231.htm), Condensed Consolidated Statements of Cash Flows (XBRL R7.htm), twelve months ended column.</t>
      </text>
    </comment>
    <comment ref="F32" authorId="0" shapeId="0">
      <text>
        <t>(Increase) decrease in inventories, 1Q'21: -18.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2" authorId="0" shapeId="0">
      <text>
        <t>(Increase) decrease in inventories, 2Q'21: six-month YTD 4 less 1Q. Q2 = H1 - Q1. Source: Xerox Holdings 10-Q for period ended 2021-06-30 (acc. 0001770450-21-000036, xrx-20210630.htm), Condensed Consolidated Statements of Cash Flows (XBRL R6.htm), six months ended column.</t>
      </text>
    </comment>
    <comment ref="H32" authorId="0" shapeId="0">
      <text>
        <t>(Increase) decrease in inventories, 3Q'21: nine-month YTD 10 less H1. Q3 = 9M - H1. Source: Xerox Holdings 10-Q for period ended 2021-09-30 (acc. 0001770450-21-000050, xrx-20210930.htm), Condensed Consolidated Statements of Cash Flows (XBRL R6.htm), nine months ended column.</t>
      </text>
    </comment>
    <comment ref="I32" authorId="0" shapeId="0">
      <text>
        <t>4Q'21 derived = FY2021 (10-K, acc. 0001770450-22-000010) less 9M YTD (3Q'21 10-Q, acc. 0001770450-21-000050).</t>
      </text>
    </comment>
    <comment ref="J32" authorId="0" shapeId="0">
      <text>
        <t>(Increase) decrease in inventories, 1Q'22: -31.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2" authorId="0" shapeId="0">
      <text>
        <t>(Increase) decrease in inventories, 2Q'22: six-month YTD -95 less 1Q. Q2 = H1 - Q1. Source: Xerox Holdings 10-Q for period ended 2022-06-30 (acc. 0001770450-22-000030, xrx-20220630.htm), Condensed Consolidated Statements of Cash Flows (XBRL R6.htm), six months ended column.</t>
      </text>
    </comment>
    <comment ref="L32" authorId="0" shapeId="0">
      <text>
        <t>(Increase) decrease in inventories, 3Q'22: nine-month YTD -136 less H1. Q3 = 9M - H1. Source: Xerox Holdings 10-Q for period ended 2022-09-30 (acc. 0001770450-22-000041, xrx-20220930.htm), Condensed Consolidated Statements of Cash Flows (XBRL R6.htm), nine months ended column.</t>
      </text>
    </comment>
    <comment ref="M32" authorId="0" shapeId="0">
      <text>
        <t>4Q'22 derived = FY2022 (10-K, acc. 0001770450-23-000011) less 9M YTD (3Q'22 10-Q, acc. 0001770450-22-000041).</t>
      </text>
    </comment>
    <comment ref="N32" authorId="0" shapeId="0">
      <text>
        <t>(Increase) decrease in inventories, 1Q'23: -64.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2" authorId="0" shapeId="0">
      <text>
        <t>(Increase) decrease in inventories, 2Q'23: six-month YTD 12 less 1Q. Q2 = H1 - Q1. Source: Xerox Holdings 10-Q for period ended 2023-06-30 (acc. 0001770450-23-000042, xrx-20230630.htm), Condensed Consolidated Statements of Cash Flows (XBRL R6.htm), six months ended column.</t>
      </text>
    </comment>
    <comment ref="P32" authorId="0" shapeId="0">
      <text>
        <t>(Increase) decrease in inventories, 3Q'23: nine-month YTD 50 less H1. Q3 = 9M - H1. Source: Xerox Holdings 10-Q for period ended 2023-09-30 (acc. 0001770450-23-000050, xrx-20230930.htm), Condensed Consolidated Statements of Cash Flows (XBRL R6.htm), nine months ended column.</t>
      </text>
    </comment>
    <comment ref="Q32" authorId="0" shapeId="0">
      <text>
        <t>4Q'23 derived = FY2023 (10-K, acc. 0001770450-24-000012) less 9M YTD (3Q'23 10-Q, acc. 0001770450-23-000050).</t>
      </text>
    </comment>
    <comment ref="R32" authorId="0" shapeId="0">
      <text>
        <t>(Increase) decrease in inventories, 1Q'24: -133.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2" authorId="0" shapeId="0">
      <text>
        <t>(Increase) decrease in inventories, 2Q'24: six-month YTD -148 less 1Q. Q2 = H1 - Q1. Source: Xerox Holdings 10-Q for period ended 2024-06-30 (acc. 0001770450-24-000042, xrx-20240630.htm), Condensed Consolidated Statements of Cash Flows (XBRL R6.htm), six months ended column.</t>
      </text>
    </comment>
    <comment ref="T32" authorId="0" shapeId="0">
      <text>
        <t>(Increase) decrease in inventories, 3Q'24: nine-month YTD -136 less H1. Q3 = 9M - H1. Source: Xerox Holdings 10-Q for period ended 2024-09-30 (acc. 0001770450-24-000050, xrx-20240930.htm), Condensed Consolidated Statements of Cash Flows (XBRL R6.htm), nine months ended column.</t>
      </text>
    </comment>
    <comment ref="U32" authorId="0" shapeId="0">
      <text>
        <t>4Q'24 derived = FY2024 (10-K, acc. 0001770450-25-000010) less 9M YTD (3Q'24 10-Q, acc. 0001770450-24-000050).</t>
      </text>
    </comment>
    <comment ref="V32" authorId="0" shapeId="0">
      <text>
        <t>(Increase) decrease in inventories, 1Q'25: -137.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2" authorId="0" shapeId="0">
      <text>
        <t>(Increase) decrease in inventories, 2Q'25: six-month YTD -160 less 1Q. Q2 = H1 - Q1. Source: Xerox Holdings 10-Q for period ended 2025-06-30 (acc. 0001628280-25-038980, xrx-20250630.htm), Condensed Consolidated Statements of Cash Flows (XBRL R6.htm), six months ended column.</t>
      </text>
    </comment>
    <comment ref="X32" authorId="0" shapeId="0">
      <text>
        <t>(Increase) decrease in inventories, 3Q'25: nine-month YTD -123 less H1. Q3 = 9M - H1. Source: Xerox Holdings 10-Q for period ended 2025-09-30 (acc. 0001770450-25-000037, xrx-20250930.htm), Condensed Consolidated Statements of Cash Flows (XBRL R6.htm), nine months ended column.</t>
      </text>
    </comment>
    <comment ref="Y32" authorId="0" shapeId="0">
      <text>
        <t>4Q'25 derived = FY2025 (10-K, acc. 0001770450-26-000009) less 9M YTD (3Q'25 10-Q, acc. 0001770450-25-000037).</t>
      </text>
    </comment>
    <comment ref="Z32" authorId="0" shapeId="0">
      <text>
        <t>(Increase) decrease in inventories, 1Q'26: -49.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2" authorId="0" shapeId="0">
      <text>
        <t>(Increase) decrease in inventories, 2Q'26: six-month YTD -60 less 1Q. Q2 = H1 - Q1. Source: Xerox Holdings 10-Q for period ended 2026-06-30 (acc. 0001770450-26-000040, xrx-20260630.htm), Condensed Consolidated Statements of Cash Flows (XBRL R6.htm), six months ended column.</t>
      </text>
    </comment>
    <comment ref="AC32" authorId="0" shapeId="0">
      <text>
        <t>(Increase) decrease in inventories, FY2021: 88. Source: Xerox Holdings 10-K for period ended 2021-12-31 (acc. 0001770450-22-000010, xrx-20211231.htm), Condensed Consolidated Statements of Cash Flows (XBRL R7.htm), twelve months ended column.</t>
      </text>
    </comment>
    <comment ref="AD32" authorId="0" shapeId="0">
      <text>
        <t>(Increase) decrease in inventories, FY2022: -143. Source: Xerox Holdings 10-K for period ended 2022-12-31 (acc. 0001770450-23-000011, xrx-20221231.htm), Condensed Consolidated Statements of Cash Flows (XBRL R7.htm), twelve months ended column.</t>
      </text>
    </comment>
    <comment ref="AE32" authorId="0" shapeId="0">
      <text>
        <t>(Increase) decrease in inventories, FY2023: 123. Source: Xerox Holdings 10-K for period ended 2023-12-31 (acc. 0001770450-24-000012, xrx-20231231.htm), Condensed Consolidated Statements of Cash Flows (XBRL R7.htm), twelve months ended column.</t>
      </text>
    </comment>
    <comment ref="AF32" authorId="0" shapeId="0">
      <text>
        <t>(Increase) decrease in inventories, FY2024: -122. Source: Xerox Holdings 10-K for period ended 2024-12-31 (acc. 0001770450-25-000010, xrx-20241231.htm), Condensed Consolidated Statements of Cash Flows (XBRL R7.htm), twelve months ended column.</t>
      </text>
    </comment>
    <comment ref="AG32" authorId="0" shapeId="0">
      <text>
        <t>(Increase) decrease in inventories, FY2025: -12. Source: Xerox Holdings 10-K for period ended 2025-12-31 (acc. 0001770450-26-000009, xrx-20251231.htm), Condensed Consolidated Statements of Cash Flows (XBRL R7.htm), twelve months ended column.</t>
      </text>
    </comment>
    <comment ref="F33" authorId="0" shapeId="0">
      <text>
        <t>Increase in equipment on operating leases, 1Q'21: -28.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3" authorId="0" shapeId="0">
      <text>
        <t>Increase in equipment on operating leases, 2Q'21: six-month YTD -63 less 1Q. Q2 = H1 - Q1. Source: Xerox Holdings 10-Q for period ended 2021-06-30 (acc. 0001770450-21-000036, xrx-20210630.htm), Condensed Consolidated Statements of Cash Flows (XBRL R6.htm), six months ended column.</t>
      </text>
    </comment>
    <comment ref="H33" authorId="0" shapeId="0">
      <text>
        <t>Increase in equipment on operating leases, 3Q'21: nine-month YTD -92 less H1. Q3 = 9M - H1. Source: Xerox Holdings 10-Q for period ended 2021-09-30 (acc. 0001770450-21-000050, xrx-20210930.htm), Condensed Consolidated Statements of Cash Flows (XBRL R6.htm), nine months ended column.</t>
      </text>
    </comment>
    <comment ref="I33" authorId="0" shapeId="0">
      <text>
        <t>4Q'21 derived = FY2021 (10-K, acc. 0001770450-22-000010) less 9M YTD (3Q'21 10-Q, acc. 0001770450-21-000050).</t>
      </text>
    </comment>
    <comment ref="J33" authorId="0" shapeId="0">
      <text>
        <t>Increase in equipment on operating leases, 1Q'22: -36.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3" authorId="0" shapeId="0">
      <text>
        <t>Increase in equipment on operating leases, 2Q'22: six-month YTD -47 less 1Q. Q2 = H1 - Q1. Source: Xerox Holdings 10-Q for period ended 2022-06-30 (acc. 0001770450-22-000030, xrx-20220630.htm), Condensed Consolidated Statements of Cash Flows (XBRL R6.htm), six months ended column.</t>
      </text>
    </comment>
    <comment ref="L33" authorId="0" shapeId="0">
      <text>
        <t>Increase in equipment on operating leases, 3Q'22: nine-month YTD -74 less H1. Q3 = 9M - H1. Source: Xerox Holdings 10-Q for period ended 2022-09-30 (acc. 0001770450-22-000041, xrx-20220930.htm), Condensed Consolidated Statements of Cash Flows (XBRL R6.htm), nine months ended column.</t>
      </text>
    </comment>
    <comment ref="M33" authorId="0" shapeId="0">
      <text>
        <t>4Q'22 derived = FY2022 (10-K, acc. 0001770450-23-000011) less 9M YTD (3Q'22 10-Q, acc. 0001770450-22-000041).</t>
      </text>
    </comment>
    <comment ref="N33" authorId="0" shapeId="0">
      <text>
        <t>Increase in equipment on operating leases, 1Q'23: -40.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3" authorId="0" shapeId="0">
      <text>
        <t>Increase in equipment on operating leases, 2Q'23: six-month YTD -77 less 1Q. Q2 = H1 - Q1. Source: Xerox Holdings 10-Q for period ended 2023-06-30 (acc. 0001770450-23-000042, xrx-20230630.htm), Condensed Consolidated Statements of Cash Flows (XBRL R6.htm), six months ended column.</t>
      </text>
    </comment>
    <comment ref="P33" authorId="0" shapeId="0">
      <text>
        <t>Increase in equipment on operating leases, 3Q'23: nine-month YTD -109 less H1. Q3 = 9M - H1. Source: Xerox Holdings 10-Q for period ended 2023-09-30 (acc. 0001770450-23-000050, xrx-20230930.htm), Condensed Consolidated Statements of Cash Flows (XBRL R6.htm), nine months ended column.</t>
      </text>
    </comment>
    <comment ref="Q33" authorId="0" shapeId="0">
      <text>
        <t>4Q'23 derived = FY2023 (10-K, acc. 0001770450-24-000012) less 9M YTD (3Q'23 10-Q, acc. 0001770450-23-000050).</t>
      </text>
    </comment>
    <comment ref="R33" authorId="0" shapeId="0">
      <text>
        <t>Increase in equipment on operating leases, 1Q'24: -22.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3" authorId="0" shapeId="0">
      <text>
        <t>Increase in equipment on operating leases, 2Q'24: six-month YTD -50 less 1Q. Q2 = H1 - Q1. Source: Xerox Holdings 10-Q for period ended 2024-06-30 (acc. 0001770450-24-000042, xrx-20240630.htm), Condensed Consolidated Statements of Cash Flows (XBRL R6.htm), six months ended column.</t>
      </text>
    </comment>
    <comment ref="T33" authorId="0" shapeId="0">
      <text>
        <t>Increase in equipment on operating leases, 3Q'24: nine-month YTD -78 less H1. Q3 = 9M - H1. Source: Xerox Holdings 10-Q for period ended 2024-09-30 (acc. 0001770450-24-000050, xrx-20240930.htm), Condensed Consolidated Statements of Cash Flows (XBRL R6.htm), nine months ended column.</t>
      </text>
    </comment>
    <comment ref="U33" authorId="0" shapeId="0">
      <text>
        <t>4Q'24 derived = FY2024 (10-K, acc. 0001770450-25-000010) less 9M YTD (3Q'24 10-Q, acc. 0001770450-24-000050).</t>
      </text>
    </comment>
    <comment ref="V33" authorId="0" shapeId="0">
      <text>
        <t>Increase in equipment on operating leases, 1Q'25: -30.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3" authorId="0" shapeId="0">
      <text>
        <t>Increase in equipment on operating leases, 2Q'25: six-month YTD -52 less 1Q. Q2 = H1 - Q1. Source: Xerox Holdings 10-Q for period ended 2025-06-30 (acc. 0001628280-25-038980, xrx-20250630.htm), Condensed Consolidated Statements of Cash Flows (XBRL R6.htm), six months ended column.</t>
      </text>
    </comment>
    <comment ref="X33" authorId="0" shapeId="0">
      <text>
        <t>Increase in equipment on operating leases, 3Q'25: nine-month YTD -88 less H1. Q3 = 9M - H1. Source: Xerox Holdings 10-Q for period ended 2025-09-30 (acc. 0001770450-25-000037, xrx-20250930.htm), Condensed Consolidated Statements of Cash Flows (XBRL R6.htm), nine months ended column.</t>
      </text>
    </comment>
    <comment ref="Y33" authorId="0" shapeId="0">
      <text>
        <t>4Q'25 derived = FY2025 (10-K, acc. 0001770450-26-000009) less 9M YTD (3Q'25 10-Q, acc. 0001770450-25-000037).</t>
      </text>
    </comment>
    <comment ref="Z33" authorId="0" shapeId="0">
      <text>
        <t>Increase in equipment on operating leases, 1Q'26: -32.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3" authorId="0" shapeId="0">
      <text>
        <t>Increase in equipment on operating leases, 2Q'26: six-month YTD -67 less 1Q. Q2 = H1 - Q1. Source: Xerox Holdings 10-Q for period ended 2026-06-30 (acc. 0001770450-26-000040, xrx-20260630.htm), Condensed Consolidated Statements of Cash Flows (XBRL R6.htm), six months ended column.</t>
      </text>
    </comment>
    <comment ref="AC33" authorId="0" shapeId="0">
      <text>
        <t>Increase in equipment on operating leases, FY2021: -129. Source: Xerox Holdings 10-K for period ended 2021-12-31 (acc. 0001770450-22-000010, xrx-20211231.htm), Condensed Consolidated Statements of Cash Flows (XBRL R7.htm), twelve months ended column.</t>
      </text>
    </comment>
    <comment ref="AD33" authorId="0" shapeId="0">
      <text>
        <t>Increase in equipment on operating leases, FY2022: -112. Source: Xerox Holdings 10-K for period ended 2022-12-31 (acc. 0001770450-23-000011, xrx-20221231.htm), Condensed Consolidated Statements of Cash Flows (XBRL R7.htm), twelve months ended column.</t>
      </text>
    </comment>
    <comment ref="AE33" authorId="0" shapeId="0">
      <text>
        <t>Increase in equipment on operating leases, FY2023: -141. Source: Xerox Holdings 10-K for period ended 2023-12-31 (acc. 0001770450-24-000012, xrx-20231231.htm), Condensed Consolidated Statements of Cash Flows (XBRL R7.htm), twelve months ended column.</t>
      </text>
    </comment>
    <comment ref="AF33" authorId="0" shapeId="0">
      <text>
        <t>Increase in equipment on operating leases, FY2024: -107. Source: Xerox Holdings 10-K for period ended 2024-12-31 (acc. 0001770450-25-000010, xrx-20241231.htm), Condensed Consolidated Statements of Cash Flows (XBRL R7.htm), twelve months ended column.</t>
      </text>
    </comment>
    <comment ref="AG33" authorId="0" shapeId="0">
      <text>
        <t>Increase in equipment on operating leases, FY2025: -126. Source: Xerox Holdings 10-K for period ended 2025-12-31 (acc. 0001770450-26-000009, xrx-20251231.htm), Condensed Consolidated Statements of Cash Flows (XBRL R7.htm), twelve months ended column.</t>
      </text>
    </comment>
    <comment ref="F34" authorId="0" shapeId="0">
      <text>
        <t>Decrease (increase) in finance receivables, 1Q'21: 37.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4" authorId="0" shapeId="0">
      <text>
        <t>Decrease (increase) in finance receivables, 2Q'21: six-month YTD 12 less 1Q. Q2 = H1 - Q1. Source: Xerox Holdings 10-Q for period ended 2021-06-30 (acc. 0001770450-21-000036, xrx-20210630.htm), Condensed Consolidated Statements of Cash Flows (XBRL R6.htm), six months ended column.</t>
      </text>
    </comment>
    <comment ref="H34" authorId="0" shapeId="0">
      <text>
        <t>Decrease (increase) in finance receivables, 3Q'21: nine-month YTD 33 less H1. Q3 = 9M - H1. Source: Xerox Holdings 10-Q for period ended 2021-09-30 (acc. 0001770450-21-000050, xrx-20210930.htm), Condensed Consolidated Statements of Cash Flows (XBRL R6.htm), nine months ended column.</t>
      </text>
    </comment>
    <comment ref="I34" authorId="0" shapeId="0">
      <text>
        <t>4Q'21 derived = FY2021 (10-K, acc. 0001770450-22-000010) less 9M YTD (3Q'21 10-Q, acc. 0001770450-21-000050).</t>
      </text>
    </comment>
    <comment ref="J34" authorId="0" shapeId="0">
      <text>
        <t>Decrease (increase) in finance receivables, 1Q'22: 41.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4" authorId="0" shapeId="0">
      <text>
        <t>Decrease (increase) in finance receivables, 2Q'22: six-month YTD 17 less 1Q. Q2 = H1 - Q1. Source: Xerox Holdings 10-Q for period ended 2022-06-30 (acc. 0001770450-22-000030, xrx-20220630.htm), Condensed Consolidated Statements of Cash Flows (XBRL R6.htm), six months ended column.</t>
      </text>
    </comment>
    <comment ref="L34" authorId="0" shapeId="0">
      <text>
        <t>Decrease (increase) in finance receivables, 3Q'22: nine-month YTD -10 less H1. Q3 = 9M - H1. Source: Xerox Holdings 10-Q for period ended 2022-09-30 (acc. 0001770450-22-000041, xrx-20220930.htm), Condensed Consolidated Statements of Cash Flows (XBRL R6.htm), nine months ended column.</t>
      </text>
    </comment>
    <comment ref="M34" authorId="0" shapeId="0">
      <text>
        <t>4Q'22 derived = FY2022 (10-K, acc. 0001770450-23-000011) less 9M YTD (3Q'22 10-Q, acc. 0001770450-22-000041).</t>
      </text>
    </comment>
    <comment ref="N34" authorId="0" shapeId="0">
      <text>
        <t>Decrease (increase) in finance receivables, 1Q'23: 160.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4" authorId="0" shapeId="0">
      <text>
        <t>Decrease (increase) in finance receivables, 2Q'23: six-month YTD 407 less 1Q. Q2 = H1 - Q1. Source: Xerox Holdings 10-Q for period ended 2023-06-30 (acc. 0001770450-23-000042, xrx-20230630.htm), Condensed Consolidated Statements of Cash Flows (XBRL R6.htm), six months ended column.</t>
      </text>
    </comment>
    <comment ref="P34" authorId="0" shapeId="0">
      <text>
        <t>Decrease (increase) in finance receivables, 3Q'23: nine-month YTD 490 less H1. Q3 = 9M - H1. Source: Xerox Holdings 10-Q for period ended 2023-09-30 (acc. 0001770450-23-000050, xrx-20230930.htm), Condensed Consolidated Statements of Cash Flows (XBRL R6.htm), nine months ended column.</t>
      </text>
    </comment>
    <comment ref="Q34" authorId="0" shapeId="0">
      <text>
        <t>4Q'23 derived = FY2023 (10-K, acc. 0001770450-24-000012) less 9M YTD (3Q'23 10-Q, acc. 0001770450-23-000050).</t>
      </text>
    </comment>
    <comment ref="R34" authorId="0" shapeId="0">
      <text>
        <t>Decrease (increase) in finance receivables, 1Q'24: 210.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4" authorId="0" shapeId="0">
      <text>
        <t>Decrease (increase) in finance receivables, 2Q'24: six-month YTD 399 less 1Q. Q2 = H1 - Q1. Source: Xerox Holdings 10-Q for period ended 2024-06-30 (acc. 0001770450-24-000042, xrx-20240630.htm), Condensed Consolidated Statements of Cash Flows (XBRL R6.htm), six months ended column.</t>
      </text>
    </comment>
    <comment ref="T34" authorId="0" shapeId="0">
      <text>
        <t>Decrease (increase) in finance receivables, 3Q'24: nine-month YTD 496 less H1. Q3 = 9M - H1. Source: Xerox Holdings 10-Q for period ended 2024-09-30 (acc. 0001770450-24-000050, xrx-20240930.htm), Condensed Consolidated Statements of Cash Flows (XBRL R6.htm), nine months ended column.</t>
      </text>
    </comment>
    <comment ref="U34" authorId="0" shapeId="0">
      <text>
        <t>4Q'24 derived = FY2024 (10-K, acc. 0001770450-25-000010) less 9M YTD (3Q'24 10-Q, acc. 0001770450-24-000050).</t>
      </text>
    </comment>
    <comment ref="V34" authorId="0" shapeId="0">
      <text>
        <t>Decrease (increase) in finance receivables, 1Q'25: 128.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4" authorId="0" shapeId="0">
      <text>
        <t>Decrease (increase) in finance receivables, 2Q'25: six-month YTD 212 less 1Q. Q2 = H1 - Q1. Source: Xerox Holdings 10-Q for period ended 2025-06-30 (acc. 0001628280-25-038980, xrx-20250630.htm), Condensed Consolidated Statements of Cash Flows (XBRL R6.htm), six months ended column.</t>
      </text>
    </comment>
    <comment ref="X34" authorId="0" shapeId="0">
      <text>
        <t>Decrease (increase) in finance receivables, 3Q'25: nine-month YTD 338 less H1. Q3 = 9M - H1. Source: Xerox Holdings 10-Q for period ended 2025-09-30 (acc. 0001770450-25-000037, xrx-20250930.htm), Condensed Consolidated Statements of Cash Flows (XBRL R6.htm), nine months ended column.</t>
      </text>
    </comment>
    <comment ref="Y34" authorId="0" shapeId="0">
      <text>
        <t>4Q'25 derived = FY2025 (10-K, acc. 0001770450-26-000009) less 9M YTD (3Q'25 10-Q, acc. 0001770450-25-000037).</t>
      </text>
    </comment>
    <comment ref="Z34" authorId="0" shapeId="0">
      <text>
        <t>Decrease (increase) in finance receivables, 1Q'26: 66.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4" authorId="0" shapeId="0">
      <text>
        <t>Decrease (increase) in finance receivables, 2Q'26: six-month YTD 157 less 1Q. Q2 = H1 - Q1. Source: Xerox Holdings 10-Q for period ended 2026-06-30 (acc. 0001770450-26-000040, xrx-20260630.htm), Condensed Consolidated Statements of Cash Flows (XBRL R6.htm), six months ended column.</t>
      </text>
    </comment>
    <comment ref="AC34" authorId="0" shapeId="0">
      <text>
        <t>Decrease (increase) in finance receivables, FY2021: 20. Source: Xerox Holdings 10-K for period ended 2021-12-31 (acc. 0001770450-22-000010, xrx-20211231.htm), Condensed Consolidated Statements of Cash Flows (XBRL R7.htm), twelve months ended column.</t>
      </text>
    </comment>
    <comment ref="AD34" authorId="0" shapeId="0">
      <text>
        <t>Decrease (increase) in finance receivables, FY2022: -141. Source: Xerox Holdings 10-K for period ended 2022-12-31 (acc. 0001770450-23-000011, xrx-20221231.htm), Condensed Consolidated Statements of Cash Flows (XBRL R7.htm), twelve months ended column.</t>
      </text>
    </comment>
    <comment ref="AE34" authorId="0" shapeId="0">
      <text>
        <t>Decrease (increase) in finance receivables, FY2023: 614. Source: Xerox Holdings 10-K for period ended 2023-12-31 (acc. 0001770450-24-000012, xrx-20231231.htm), Condensed Consolidated Statements of Cash Flows (XBRL R7.htm), twelve months ended column.</t>
      </text>
    </comment>
    <comment ref="AF34" authorId="0" shapeId="0">
      <text>
        <t>Decrease (increase) in finance receivables, FY2024: 663. Source: Xerox Holdings 10-K for period ended 2024-12-31 (acc. 0001770450-25-000010, xrx-20241231.htm), Condensed Consolidated Statements of Cash Flows (XBRL R7.htm), twelve months ended column.</t>
      </text>
    </comment>
    <comment ref="AG34" authorId="0" shapeId="0">
      <text>
        <t>Decrease (increase) in finance receivables, FY2025: 489. Source: Xerox Holdings 10-K for period ended 2025-12-31 (acc. 0001770450-26-000009, xrx-20251231.htm), Condensed Consolidated Statements of Cash Flows (XBRL R7.htm), twelve months ended column.</t>
      </text>
    </comment>
    <comment ref="F35" authorId="0" shapeId="0">
      <text>
        <t>(Increase) decrease in other current and long-term assets, 1Q'21: 18.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5" authorId="0" shapeId="0">
      <text>
        <t>(Increase) decrease in other current and long-term assets, 2Q'21: six-month YTD 66 less 1Q. Q2 = H1 - Q1. Source: Xerox Holdings 10-Q for period ended 2021-06-30 (acc. 0001770450-21-000036, xrx-20210630.htm), Condensed Consolidated Statements of Cash Flows (XBRL R6.htm), six months ended column.</t>
      </text>
    </comment>
    <comment ref="H35" authorId="0" shapeId="0">
      <text>
        <t>(Increase) decrease in other current and long-term assets, 3Q'21: nine-month YTD 64 less H1. Q3 = 9M - H1. Source: Xerox Holdings 10-Q for period ended 2021-09-30 (acc. 0001770450-21-000050, xrx-20210930.htm), Condensed Consolidated Statements of Cash Flows (XBRL R6.htm), nine months ended column.</t>
      </text>
    </comment>
    <comment ref="I35" authorId="0" shapeId="0">
      <text>
        <t>4Q'21 derived = FY2021 (10-K, acc. 0001770450-22-000010) less 9M YTD (3Q'21 10-Q, acc. 0001770450-21-000050).</t>
      </text>
    </comment>
    <comment ref="J35" authorId="0" shapeId="0">
      <text>
        <t>(Increase) decrease in other current and long-term assets, 1Q'22: -1.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5" authorId="0" shapeId="0">
      <text>
        <t>(Increase) decrease in other current and long-term assets, 2Q'22: six-month YTD 35 less 1Q. Q2 = H1 - Q1. Source: Xerox Holdings 10-Q for period ended 2022-06-30 (acc. 0001770450-22-000030, xrx-20220630.htm), Condensed Consolidated Statements of Cash Flows (XBRL R6.htm), six months ended column.</t>
      </text>
    </comment>
    <comment ref="L35" authorId="0" shapeId="0">
      <text>
        <t>(Increase) decrease in other current and long-term assets, 3Q'22: nine-month YTD 36 less H1. Q3 = 9M - H1. Source: Xerox Holdings 10-Q for period ended 2022-09-30 (acc. 0001770450-22-000041, xrx-20220930.htm), Condensed Consolidated Statements of Cash Flows (XBRL R6.htm), nine months ended column.</t>
      </text>
    </comment>
    <comment ref="M35" authorId="0" shapeId="0">
      <text>
        <t>4Q'22 derived = FY2022 (10-K, acc. 0001770450-23-000011) less 9M YTD (3Q'22 10-Q, acc. 0001770450-22-000041).</t>
      </text>
    </comment>
    <comment ref="N35" authorId="0" shapeId="0">
      <text>
        <t>(Increase) decrease in other current and long-term assets, 1Q'23: 3.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5" authorId="0" shapeId="0">
      <text>
        <t>(Increase) decrease in other current and long-term assets, 2Q'23: six-month YTD 15 less 1Q. Q2 = H1 - Q1. Source: Xerox Holdings 10-Q for period ended 2023-06-30 (acc. 0001770450-23-000042, xrx-20230630.htm), Condensed Consolidated Statements of Cash Flows (XBRL R6.htm), six months ended column.</t>
      </text>
    </comment>
    <comment ref="P35" authorId="0" shapeId="0">
      <text>
        <t>(Increase) decrease in other current and long-term assets, 3Q'23: nine-month YTD -8 less H1. Q3 = 9M - H1. Source: Xerox Holdings 10-Q for period ended 2023-09-30 (acc. 0001770450-23-000050, xrx-20230930.htm), Condensed Consolidated Statements of Cash Flows (XBRL R6.htm), nine months ended column.</t>
      </text>
    </comment>
    <comment ref="Q35" authorId="0" shapeId="0">
      <text>
        <t>4Q'23 derived = FY2023 (10-K, acc. 0001770450-24-000012) less 9M YTD (3Q'23 10-Q, acc. 0001770450-23-000050).</t>
      </text>
    </comment>
    <comment ref="R35" authorId="0" shapeId="0">
      <text>
        <t>(Increase) decrease in other current and long-term assets, 1Q'24: -2.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5" authorId="0" shapeId="0">
      <text>
        <t>(Increase) decrease in other current and long-term assets, 2Q'24: six-month YTD 14 less 1Q. Q2 = H1 - Q1. Source: Xerox Holdings 10-Q for period ended 2024-06-30 (acc. 0001770450-24-000042, xrx-20240630.htm), Condensed Consolidated Statements of Cash Flows (XBRL R6.htm), six months ended column.</t>
      </text>
    </comment>
    <comment ref="T35" authorId="0" shapeId="0">
      <text>
        <t>(Increase) decrease in other current and long-term assets, 3Q'24: nine-month YTD 16 less H1. Q3 = 9M - H1. Source: Xerox Holdings 10-Q for period ended 2024-09-30 (acc. 0001770450-24-000050, xrx-20240930.htm), Condensed Consolidated Statements of Cash Flows (XBRL R6.htm), nine months ended column.</t>
      </text>
    </comment>
    <comment ref="U35" authorId="0" shapeId="0">
      <text>
        <t>4Q'24 derived = FY2024 (10-K, acc. 0001770450-25-000010) less 9M YTD (3Q'24 10-Q, acc. 0001770450-24-000050).</t>
      </text>
    </comment>
    <comment ref="V35" authorId="0" shapeId="0">
      <text>
        <t>(Increase) decrease in other current and long-term assets, 1Q'25: -16.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5" authorId="0" shapeId="0">
      <text>
        <t>(Increase) decrease in other current and long-term assets, 2Q'25: six-month YTD 16 less 1Q. Q2 = H1 - Q1. Source: Xerox Holdings 10-Q for period ended 2025-06-30 (acc. 0001628280-25-038980, xrx-20250630.htm), Condensed Consolidated Statements of Cash Flows (XBRL R6.htm), six months ended column.</t>
      </text>
    </comment>
    <comment ref="X35" authorId="0" shapeId="0">
      <text>
        <t>(Increase) decrease in other current and long-term assets, 3Q'25: nine-month YTD 4 less H1. Q3 = 9M - H1. Source: Xerox Holdings 10-Q for period ended 2025-09-30 (acc. 0001770450-25-000037, xrx-20250930.htm), Condensed Consolidated Statements of Cash Flows (XBRL R6.htm), nine months ended column.</t>
      </text>
    </comment>
    <comment ref="Y35" authorId="0" shapeId="0">
      <text>
        <t>4Q'25 derived = FY2025 (10-K, acc. 0001770450-26-000009) less 9M YTD (3Q'25 10-Q, acc. 0001770450-25-000037).</t>
      </text>
    </comment>
    <comment ref="Z35" authorId="0" shapeId="0">
      <text>
        <t>(Increase) decrease in other current and long-term assets, 1Q'26: -38.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5" authorId="0" shapeId="0">
      <text>
        <t>(Increase) decrease in other current and long-term assets, 2Q'26: six-month YTD -120 less 1Q. Q2 = H1 - Q1. Source: Xerox Holdings 10-Q for period ended 2026-06-30 (acc. 0001770450-26-000040, xrx-20260630.htm), Condensed Consolidated Statements of Cash Flows (XBRL R6.htm), six months ended column.</t>
      </text>
    </comment>
    <comment ref="AC35" authorId="0" shapeId="0">
      <text>
        <t>(Increase) decrease in other current and long-term assets, FY2021: 68. Source: Xerox Holdings 10-K for period ended 2021-12-31 (acc. 0001770450-22-000010, xrx-20211231.htm), Condensed Consolidated Statements of Cash Flows (XBRL R7.htm), twelve months ended column.</t>
      </text>
    </comment>
    <comment ref="AD35" authorId="0" shapeId="0">
      <text>
        <t>(Increase) decrease in other current and long-term assets, FY2022: 27. Source: Xerox Holdings 10-K for period ended 2022-12-31 (acc. 0001770450-23-000011, xrx-20221231.htm), Condensed Consolidated Statements of Cash Flows (XBRL R7.htm), twelve months ended column.</t>
      </text>
    </comment>
    <comment ref="AE35" authorId="0" shapeId="0">
      <text>
        <t>(Increase) decrease in other current and long-term assets, FY2023: 16. Source: Xerox Holdings 10-K for period ended 2023-12-31 (acc. 0001770450-24-000012, xrx-20231231.htm), Condensed Consolidated Statements of Cash Flows (XBRL R7.htm), twelve months ended column.</t>
      </text>
    </comment>
    <comment ref="AF35" authorId="0" shapeId="0">
      <text>
        <t>(Increase) decrease in other current and long-term assets, FY2024: -14. Source: Xerox Holdings 10-K for period ended 2024-12-31 (acc. 0001770450-25-000010, xrx-20241231.htm), Condensed Consolidated Statements of Cash Flows (XBRL R7.htm), twelve months ended column.</t>
      </text>
    </comment>
    <comment ref="AG35" authorId="0" shapeId="0">
      <text>
        <t>(Increase) decrease in other current and long-term assets, FY2025: 9. Source: Xerox Holdings 10-K for period ended 2025-12-31 (acc. 0001770450-26-000009, xrx-20251231.htm), Condensed Consolidated Statements of Cash Flows (XBRL R7.htm), twelve months ended column.</t>
      </text>
    </comment>
    <comment ref="F36" authorId="0" shapeId="0">
      <text>
        <t>Increase (decrease) in accounts payable, 1Q'21: -31.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6" authorId="0" shapeId="0">
      <text>
        <t>Increase (decrease) in accounts payable, 2Q'21: six-month YTD -33 less 1Q. Q2 = H1 - Q1. Source: Xerox Holdings 10-Q for period ended 2021-06-30 (acc. 0001770450-21-000036, xrx-20210630.htm), Condensed Consolidated Statements of Cash Flows (XBRL R6.htm), six months ended column.</t>
      </text>
    </comment>
    <comment ref="H36" authorId="0" shapeId="0">
      <text>
        <t>Increase (decrease) in accounts payable, 3Q'21: nine-month YTD 74 less H1. Q3 = 9M - H1. Source: Xerox Holdings 10-Q for period ended 2021-09-30 (acc. 0001770450-21-000050, xrx-20210930.htm), Condensed Consolidated Statements of Cash Flows (XBRL R6.htm), nine months ended column.</t>
      </text>
    </comment>
    <comment ref="I36" authorId="0" shapeId="0">
      <text>
        <t>4Q'21 derived = FY2021 (10-K, acc. 0001770450-22-000010) less 9M YTD (3Q'21 10-Q, acc. 0001770450-21-000050).</t>
      </text>
    </comment>
    <comment ref="J36" authorId="0" shapeId="0">
      <text>
        <t>Increase (decrease) in accounts payable, 1Q'22: 111.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6" authorId="0" shapeId="0">
      <text>
        <t>Increase (decrease) in accounts payable, 2Q'22: six-month YTD 172 less 1Q. Q2 = H1 - Q1. Source: Xerox Holdings 10-Q for period ended 2022-06-30 (acc. 0001770450-22-000030, xrx-20220630.htm), Condensed Consolidated Statements of Cash Flows (XBRL R6.htm), six months ended column.</t>
      </text>
    </comment>
    <comment ref="L36" authorId="0" shapeId="0">
      <text>
        <t>Increase (decrease) in accounts payable, 3Q'22: nine-month YTD 198 less H1. Q3 = 9M - H1. Source: Xerox Holdings 10-Q for period ended 2022-09-30 (acc. 0001770450-22-000041, xrx-20220930.htm), Condensed Consolidated Statements of Cash Flows (XBRL R6.htm), nine months ended column.</t>
      </text>
    </comment>
    <comment ref="M36" authorId="0" shapeId="0">
      <text>
        <t>4Q'22 derived = FY2022 (10-K, acc. 0001770450-23-000011) less 9M YTD (3Q'22 10-Q, acc. 0001770450-22-000041).</t>
      </text>
    </comment>
    <comment ref="N36" authorId="0" shapeId="0">
      <text>
        <t>Increase (decrease) in accounts payable, 1Q'23: -41.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6" authorId="0" shapeId="0">
      <text>
        <t>Increase (decrease) in accounts payable, 2Q'23: six-month YTD -290 less 1Q. Q2 = H1 - Q1. Source: Xerox Holdings 10-Q for period ended 2023-06-30 (acc. 0001770450-23-000042, xrx-20230630.htm), Condensed Consolidated Statements of Cash Flows (XBRL R6.htm), six months ended column.</t>
      </text>
    </comment>
    <comment ref="P36" authorId="0" shapeId="0">
      <text>
        <t>Increase (decrease) in accounts payable, 3Q'23: nine-month YTD -290 less H1. Q3 = 9M - H1. Source: Xerox Holdings 10-Q for period ended 2023-09-30 (acc. 0001770450-23-000050, xrx-20230930.htm), Condensed Consolidated Statements of Cash Flows (XBRL R6.htm), nine months ended column.</t>
      </text>
    </comment>
    <comment ref="Q36" authorId="0" shapeId="0">
      <text>
        <t>4Q'23 derived = FY2023 (10-K, acc. 0001770450-24-000012) less 9M YTD (3Q'23 10-Q, acc. 0001770450-23-000050).</t>
      </text>
    </comment>
    <comment ref="R36" authorId="0" shapeId="0">
      <text>
        <t>Increase (decrease) in accounts payable, 1Q'24: 17.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6" authorId="0" shapeId="0">
      <text>
        <t>Increase (decrease) in accounts payable, 2Q'24: six-month YTD -88 less 1Q. Q2 = H1 - Q1. Source: Xerox Holdings 10-Q for period ended 2024-06-30 (acc. 0001770450-24-000042, xrx-20240630.htm), Condensed Consolidated Statements of Cash Flows (XBRL R6.htm), six months ended column.</t>
      </text>
    </comment>
    <comment ref="T36" authorId="0" shapeId="0">
      <text>
        <t>Increase (decrease) in accounts payable, 3Q'24: nine-month YTD -143 less H1. Q3 = 9M - H1. Source: Xerox Holdings 10-Q for period ended 2024-09-30 (acc. 0001770450-24-000050, xrx-20240930.htm), Condensed Consolidated Statements of Cash Flows (XBRL R6.htm), nine months ended column.</t>
      </text>
    </comment>
    <comment ref="U36" authorId="0" shapeId="0">
      <text>
        <t>4Q'24 derived = FY2024 (10-K, acc. 0001770450-25-000010) less 9M YTD (3Q'24 10-Q, acc. 0001770450-24-000050).</t>
      </text>
    </comment>
    <comment ref="V36" authorId="0" shapeId="0">
      <text>
        <t>Increase (decrease) in accounts payable, 1Q'25: 89.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6" authorId="0" shapeId="0">
      <text>
        <t>Increase (decrease) in accounts payable, 2Q'25: six-month YTD 25 less 1Q. Q2 = H1 - Q1. Source: Xerox Holdings 10-Q for period ended 2025-06-30 (acc. 0001628280-25-038980, xrx-20250630.htm), Condensed Consolidated Statements of Cash Flows (XBRL R6.htm), six months ended column.</t>
      </text>
    </comment>
    <comment ref="X36" authorId="0" shapeId="0">
      <text>
        <t>Increase (decrease) in accounts payable, 3Q'25: nine-month YTD 4 less H1. Q3 = 9M - H1. Source: Xerox Holdings 10-Q for period ended 2025-09-30 (acc. 0001770450-25-000037, xrx-20250930.htm), Condensed Consolidated Statements of Cash Flows (XBRL R6.htm), nine months ended column.</t>
      </text>
    </comment>
    <comment ref="Y36" authorId="0" shapeId="0">
      <text>
        <t>4Q'25 derived = FY2025 (10-K, acc. 0001770450-26-000009) less 9M YTD (3Q'25 10-Q, acc. 0001770450-25-000037).</t>
      </text>
    </comment>
    <comment ref="Z36" authorId="0" shapeId="0">
      <text>
        <t>Increase (decrease) in accounts payable, 1Q'26: 58.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6" authorId="0" shapeId="0">
      <text>
        <t>Increase (decrease) in accounts payable, 2Q'26: six-month YTD -30 less 1Q. Q2 = H1 - Q1. Source: Xerox Holdings 10-Q for period ended 2026-06-30 (acc. 0001770450-26-000040, xrx-20260630.htm), Condensed Consolidated Statements of Cash Flows (XBRL R6.htm), six months ended column.</t>
      </text>
    </comment>
    <comment ref="AC36" authorId="0" shapeId="0">
      <text>
        <t>Increase (decrease) in accounts payable, FY2021: 118. Source: Xerox Holdings 10-K for period ended 2021-12-31 (acc. 0001770450-22-000010, xrx-20211231.htm), Condensed Consolidated Statements of Cash Flows (XBRL R7.htm), twelve months ended column.</t>
      </text>
    </comment>
    <comment ref="AD36" authorId="0" shapeId="0">
      <text>
        <t>Increase (decrease) in accounts payable, FY2022: 278. Source: Xerox Holdings 10-K for period ended 2022-12-31 (acc. 0001770450-23-000011, xrx-20221231.htm), Condensed Consolidated Statements of Cash Flows (XBRL R7.htm), twelve months ended column.</t>
      </text>
    </comment>
    <comment ref="AE36" authorId="0" shapeId="0">
      <text>
        <t>Increase (decrease) in accounts payable, FY2023: -290. Source: Xerox Holdings 10-K for period ended 2023-12-31 (acc. 0001770450-24-000012, xrx-20231231.htm), Condensed Consolidated Statements of Cash Flows (XBRL R7.htm), twelve months ended column.</t>
      </text>
    </comment>
    <comment ref="AF36" authorId="0" shapeId="0">
      <text>
        <t>Increase (decrease) in accounts payable, FY2024: -48. Source: Xerox Holdings 10-K for period ended 2024-12-31 (acc. 0001770450-25-000010, xrx-20241231.htm), Condensed Consolidated Statements of Cash Flows (XBRL R7.htm), twelve months ended column.</t>
      </text>
    </comment>
    <comment ref="AG36" authorId="0" shapeId="0">
      <text>
        <t>Increase (decrease) in accounts payable, FY2025: 24. Source: Xerox Holdings 10-K for period ended 2025-12-31 (acc. 0001770450-26-000009, xrx-20251231.htm), Condensed Consolidated Statements of Cash Flows (XBRL R7.htm), twelve months ended column.</t>
      </text>
    </comment>
    <comment ref="F37" authorId="0" shapeId="0">
      <text>
        <t>Increase (decrease) in accrued compensation, 1Q'21: -36.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7" authorId="0" shapeId="0">
      <text>
        <t>Increase (decrease) in accrued compensation, 2Q'21: six-month YTD -35 less 1Q. Q2 = H1 - Q1. Source: Xerox Holdings 10-Q for period ended 2021-06-30 (acc. 0001770450-21-000036, xrx-20210630.htm), Condensed Consolidated Statements of Cash Flows (XBRL R6.htm), six months ended column.</t>
      </text>
    </comment>
    <comment ref="H37" authorId="0" shapeId="0">
      <text>
        <t>Increase (decrease) in accrued compensation, 3Q'21: nine-month YTD -56 less H1. Q3 = 9M - H1. Source: Xerox Holdings 10-Q for period ended 2021-09-30 (acc. 0001770450-21-000050, xrx-20210930.htm), Condensed Consolidated Statements of Cash Flows (XBRL R6.htm), nine months ended column.</t>
      </text>
    </comment>
    <comment ref="I37" authorId="0" shapeId="0">
      <text>
        <t>4Q'21 derived = FY2021 (10-K, acc. 0001770450-22-000010) less 9M YTD (3Q'21 10-Q, acc. 0001770450-21-000050).</t>
      </text>
    </comment>
    <comment ref="J37" authorId="0" shapeId="0">
      <text>
        <t>Increase (decrease) in accrued compensation, 1Q'22: 22.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7" authorId="0" shapeId="0">
      <text>
        <t>Increase (decrease) in accrued compensation, 2Q'22: six-month YTD 7 less 1Q. Q2 = H1 - Q1. Source: Xerox Holdings 10-Q for period ended 2022-06-30 (acc. 0001770450-22-000030, xrx-20220630.htm), Condensed Consolidated Statements of Cash Flows (XBRL R6.htm), six months ended column.</t>
      </text>
    </comment>
    <comment ref="L37" authorId="0" shapeId="0">
      <text>
        <t>Increase (decrease) in accrued compensation, 3Q'22: nine-month YTD 29 less H1. Q3 = 9M - H1. Source: Xerox Holdings 10-Q for period ended 2022-09-30 (acc. 0001770450-22-000041, xrx-20220930.htm), Condensed Consolidated Statements of Cash Flows (XBRL R6.htm), nine months ended column.</t>
      </text>
    </comment>
    <comment ref="M37" authorId="0" shapeId="0">
      <text>
        <t>4Q'22 derived = FY2022 (10-K, acc. 0001770450-23-000011) less 9M YTD (3Q'22 10-Q, acc. 0001770450-22-000041).</t>
      </text>
    </comment>
    <comment ref="N37" authorId="0" shapeId="0">
      <text>
        <t>Increase (decrease) in accrued compensation, 1Q'23: -16.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7" authorId="0" shapeId="0">
      <text>
        <t>Increase (decrease) in accrued compensation, 2Q'23: six-month YTD -7 less 1Q. Q2 = H1 - Q1. Source: Xerox Holdings 10-Q for period ended 2023-06-30 (acc. 0001770450-23-000042, xrx-20230630.htm), Condensed Consolidated Statements of Cash Flows (XBRL R6.htm), six months ended column.</t>
      </text>
    </comment>
    <comment ref="P37" authorId="0" shapeId="0">
      <text>
        <t>Increase (decrease) in accrued compensation, 3Q'23: nine-month YTD 16 less H1. Q3 = 9M - H1. Source: Xerox Holdings 10-Q for period ended 2023-09-30 (acc. 0001770450-23-000050, xrx-20230930.htm), Condensed Consolidated Statements of Cash Flows (XBRL R6.htm), nine months ended column.</t>
      </text>
    </comment>
    <comment ref="Q37" authorId="0" shapeId="0">
      <text>
        <t>4Q'23 derived = FY2023 (10-K, acc. 0001770450-24-000012) less 9M YTD (3Q'23 10-Q, acc. 0001770450-23-000050).</t>
      </text>
    </comment>
    <comment ref="R37" authorId="0" shapeId="0">
      <text>
        <t>Increase (decrease) in accrued compensation, 1Q'24: -86.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7" authorId="0" shapeId="0">
      <text>
        <t>Increase (decrease) in accrued compensation, 2Q'24: six-month YTD -93 less 1Q. Q2 = H1 - Q1. Source: Xerox Holdings 10-Q for period ended 2024-06-30 (acc. 0001770450-24-000042, xrx-20240630.htm), Condensed Consolidated Statements of Cash Flows (XBRL R6.htm), six months ended column.</t>
      </text>
    </comment>
    <comment ref="T37" authorId="0" shapeId="0">
      <text>
        <t>Increase (decrease) in accrued compensation, 3Q'24: nine-month YTD -78 less H1. Q3 = 9M - H1. Source: Xerox Holdings 10-Q for period ended 2024-09-30 (acc. 0001770450-24-000050, xrx-20240930.htm), Condensed Consolidated Statements of Cash Flows (XBRL R6.htm), nine months ended column.</t>
      </text>
    </comment>
    <comment ref="U37" authorId="0" shapeId="0">
      <text>
        <t>4Q'24 derived = FY2024 (10-K, acc. 0001770450-25-000010) less 9M YTD (3Q'24 10-Q, acc. 0001770450-24-000050).</t>
      </text>
    </comment>
    <comment ref="V37" authorId="0" shapeId="0">
      <text>
        <t>Increase (decrease) in accrued compensation, 1Q'25: -30.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7" authorId="0" shapeId="0">
      <text>
        <t>Increase (decrease) in accrued compensation, 2Q'25: six-month YTD -51 less 1Q. Q2 = H1 - Q1. Source: Xerox Holdings 10-Q for period ended 2025-06-30 (acc. 0001628280-25-038980, xrx-20250630.htm), Condensed Consolidated Statements of Cash Flows (XBRL R6.htm), six months ended column.</t>
      </text>
    </comment>
    <comment ref="X37" authorId="0" shapeId="0">
      <text>
        <t>Increase (decrease) in accrued compensation, 3Q'25: nine-month YTD -39 less H1. Q3 = 9M - H1. Source: Xerox Holdings 10-Q for period ended 2025-09-30 (acc. 0001770450-25-000037, xrx-20250930.htm), Condensed Consolidated Statements of Cash Flows (XBRL R6.htm), nine months ended column.</t>
      </text>
    </comment>
    <comment ref="Y37" authorId="0" shapeId="0">
      <text>
        <t>4Q'25 derived = FY2025 (10-K, acc. 0001770450-26-000009) less 9M YTD (3Q'25 10-Q, acc. 0001770450-25-000037).</t>
      </text>
    </comment>
    <comment ref="Z37" authorId="0" shapeId="0">
      <text>
        <t>Increase (decrease) in accrued compensation, 1Q'26: -8.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7" authorId="0" shapeId="0">
      <text>
        <t>Increase (decrease) in accrued compensation, 2Q'26: six-month YTD 18 less 1Q. Q2 = H1 - Q1. Source: Xerox Holdings 10-Q for period ended 2026-06-30 (acc. 0001770450-26-000040, xrx-20260630.htm), Condensed Consolidated Statements of Cash Flows (XBRL R6.htm), six months ended column.</t>
      </text>
    </comment>
    <comment ref="AC37" authorId="0" shapeId="0">
      <text>
        <t>Increase (decrease) in accrued compensation, FY2021: -95. Source: Xerox Holdings 10-K for period ended 2021-12-31 (acc. 0001770450-22-000010, xrx-20211231.htm), Condensed Consolidated Statements of Cash Flows (XBRL R7.htm), twelve months ended column.</t>
      </text>
    </comment>
    <comment ref="AD37" authorId="0" shapeId="0">
      <text>
        <t>Increase (decrease) in accrued compensation, FY2022: 34. Source: Xerox Holdings 10-K for period ended 2022-12-31 (acc. 0001770450-23-000011, xrx-20221231.htm), Condensed Consolidated Statements of Cash Flows (XBRL R7.htm), twelve months ended column.</t>
      </text>
    </comment>
    <comment ref="AE37" authorId="0" shapeId="0">
      <text>
        <t>Increase (decrease) in accrued compensation, FY2023: 48. Source: Xerox Holdings 10-K for period ended 2023-12-31 (acc. 0001770450-24-000012, xrx-20231231.htm), Condensed Consolidated Statements of Cash Flows (XBRL R7.htm), twelve months ended column.</t>
      </text>
    </comment>
    <comment ref="AF37" authorId="0" shapeId="0">
      <text>
        <t>Increase (decrease) in accrued compensation, FY2024: -78. Source: Xerox Holdings 10-K for period ended 2024-12-31 (acc. 0001770450-25-000010, xrx-20241231.htm), Condensed Consolidated Statements of Cash Flows (XBRL R7.htm), twelve months ended column.</t>
      </text>
    </comment>
    <comment ref="AG37" authorId="0" shapeId="0">
      <text>
        <t>Increase (decrease) in accrued compensation, FY2025: -53. Source: Xerox Holdings 10-K for period ended 2025-12-31 (acc. 0001770450-26-000009, xrx-20251231.htm), Condensed Consolidated Statements of Cash Flows (XBRL R7.htm), twelve months ended column.</t>
      </text>
    </comment>
    <comment ref="F38" authorId="0" shapeId="0">
      <text>
        <t>Increase (decrease) in other current and long-term liabilities, 1Q'21: -35.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8" authorId="0" shapeId="0">
      <text>
        <t>Increase (decrease) in other current and long-term liabilities, 2Q'21: six-month YTD 92 less 1Q. Q2 = H1 - Q1. Source: Xerox Holdings 10-Q for period ended 2021-06-30 (acc. 0001770450-21-000036, xrx-20210630.htm), Condensed Consolidated Statements of Cash Flows (XBRL R6.htm), six months ended column.</t>
      </text>
    </comment>
    <comment ref="H38" authorId="0" shapeId="0">
      <text>
        <t>Increase (decrease) in other current and long-term liabilities, 3Q'21: nine-month YTD 80 less H1. Q3 = 9M - H1. Source: Xerox Holdings 10-Q for period ended 2021-09-30 (acc. 0001770450-21-000050, xrx-20210930.htm), Condensed Consolidated Statements of Cash Flows (XBRL R6.htm), nine months ended column.</t>
      </text>
    </comment>
    <comment ref="I38" authorId="0" shapeId="0">
      <text>
        <t>4Q'21 derived = FY2021 (10-K, acc. 0001770450-22-000010) less 9M YTD (3Q'21 10-Q, acc. 0001770450-21-000050).</t>
      </text>
    </comment>
    <comment ref="J38" authorId="0" shapeId="0">
      <text>
        <t>Increase (decrease) in other current and long-term liabilities, 1Q'22: -43.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8" authorId="0" shapeId="0">
      <text>
        <t>Increase (decrease) in other current and long-term liabilities, 2Q'22: six-month YTD -48 less 1Q. Q2 = H1 - Q1. Source: Xerox Holdings 10-Q for period ended 2022-06-30 (acc. 0001770450-22-000030, xrx-20220630.htm), Condensed Consolidated Statements of Cash Flows (XBRL R6.htm), six months ended column.</t>
      </text>
    </comment>
    <comment ref="L38" authorId="0" shapeId="0">
      <text>
        <t>Increase (decrease) in other current and long-term liabilities, 3Q'22: nine-month YTD -73 less H1. Q3 = 9M - H1. Source: Xerox Holdings 10-Q for period ended 2022-09-30 (acc. 0001770450-22-000041, xrx-20220930.htm), Condensed Consolidated Statements of Cash Flows (XBRL R6.htm), nine months ended column.</t>
      </text>
    </comment>
    <comment ref="M38" authorId="0" shapeId="0">
      <text>
        <t>4Q'22 derived = FY2022 (10-K, acc. 0001770450-23-000011) less 9M YTD (3Q'22 10-Q, acc. 0001770450-22-000041).</t>
      </text>
    </comment>
    <comment ref="N38" authorId="0" shapeId="0">
      <text>
        <t>Increase (decrease) in other current and long-term liabilities, 1Q'23: -128.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8" authorId="0" shapeId="0">
      <text>
        <t>Increase (decrease) in other current and long-term liabilities, 2Q'23: six-month YTD -139 less 1Q. Q2 = H1 - Q1. Source: Xerox Holdings 10-Q for period ended 2023-06-30 (acc. 0001770450-23-000042, xrx-20230630.htm), Condensed Consolidated Statements of Cash Flows (XBRL R6.htm), six months ended column.</t>
      </text>
    </comment>
    <comment ref="P38" authorId="0" shapeId="0">
      <text>
        <t>Increase (decrease) in other current and long-term liabilities, 3Q'23: nine-month YTD -159 less H1. Q3 = 9M - H1. Source: Xerox Holdings 10-Q for period ended 2023-09-30 (acc. 0001770450-23-000050, xrx-20230930.htm), Condensed Consolidated Statements of Cash Flows (XBRL R6.htm), nine months ended column.</t>
      </text>
    </comment>
    <comment ref="Q38" authorId="0" shapeId="0">
      <text>
        <t>4Q'23 derived = FY2023 (10-K, acc. 0001770450-24-000012) less 9M YTD (3Q'23 10-Q, acc. 0001770450-23-000050).</t>
      </text>
    </comment>
    <comment ref="R38" authorId="0" shapeId="0">
      <text>
        <t>Increase (decrease) in other current and long-term liabilities, 1Q'24: -77.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8" authorId="0" shapeId="0">
      <text>
        <t>Increase (decrease) in other current and long-term liabilities, 2Q'24: six-month YTD -52 less 1Q. Q2 = H1 - Q1. Source: Xerox Holdings 10-Q for period ended 2024-06-30 (acc. 0001770450-24-000042, xrx-20240630.htm), Condensed Consolidated Statements of Cash Flows (XBRL R6.htm), six months ended column.</t>
      </text>
    </comment>
    <comment ref="T38" authorId="0" shapeId="0">
      <text>
        <t>Increase (decrease) in other current and long-term liabilities, 3Q'24: nine-month YTD -83 less H1. Q3 = 9M - H1. Source: Xerox Holdings 10-Q for period ended 2024-09-30 (acc. 0001770450-24-000050, xrx-20240930.htm), Condensed Consolidated Statements of Cash Flows (XBRL R6.htm), nine months ended column.</t>
      </text>
    </comment>
    <comment ref="U38" authorId="0" shapeId="0">
      <text>
        <t>4Q'24 derived = FY2024 (10-K, acc. 0001770450-25-000010) less 9M YTD (3Q'24 10-Q, acc. 0001770450-24-000050).</t>
      </text>
    </comment>
    <comment ref="V38" authorId="0" shapeId="0">
      <text>
        <t>Increase (decrease) in other current and long-term liabilities, 1Q'25: -48.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8" authorId="0" shapeId="0">
      <text>
        <t>Increase (decrease) in other current and long-term liabilities, 2Q'25: six-month YTD -40 less 1Q. Q2 = H1 - Q1. Source: Xerox Holdings 10-Q for period ended 2025-06-30 (acc. 0001628280-25-038980, xrx-20250630.htm), Condensed Consolidated Statements of Cash Flows (XBRL R6.htm), six months ended column.</t>
      </text>
    </comment>
    <comment ref="X38" authorId="0" shapeId="0">
      <text>
        <t>Increase (decrease) in other current and long-term liabilities, 3Q'25: nine-month YTD 58 less H1. Q3 = 9M - H1. Source: Xerox Holdings 10-Q for period ended 2025-09-30 (acc. 0001770450-25-000037, xrx-20250930.htm), Condensed Consolidated Statements of Cash Flows (XBRL R6.htm), nine months ended column.</t>
      </text>
    </comment>
    <comment ref="Y38" authorId="0" shapeId="0">
      <text>
        <t>4Q'25 derived = FY2025 (10-K, acc. 0001770450-26-000009) less 9M YTD (3Q'25 10-Q, acc. 0001770450-25-000037).</t>
      </text>
    </comment>
    <comment ref="Z38" authorId="0" shapeId="0">
      <text>
        <t>Increase (decrease) in other current and long-term liabilities, 1Q'26: -9.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8" authorId="0" shapeId="0">
      <text>
        <t>Increase (decrease) in other current and long-term liabilities, 2Q'26: six-month YTD 6 less 1Q. Q2 = H1 - Q1. Source: Xerox Holdings 10-Q for period ended 2026-06-30 (acc. 0001770450-26-000040, xrx-20260630.htm), Condensed Consolidated Statements of Cash Flows (XBRL R6.htm), six months ended column.</t>
      </text>
    </comment>
    <comment ref="AC38" authorId="0" shapeId="0">
      <text>
        <t>Increase (decrease) in other current and long-term liabilities, FY2021: 89. Source: Xerox Holdings 10-K for period ended 2021-12-31 (acc. 0001770450-22-000010, xrx-20211231.htm), Condensed Consolidated Statements of Cash Flows (XBRL R7.htm), twelve months ended column.</t>
      </text>
    </comment>
    <comment ref="AD38" authorId="0" shapeId="0">
      <text>
        <t>Increase (decrease) in other current and long-term liabilities, FY2022: 9. Source: Xerox Holdings 10-K for period ended 2022-12-31 (acc. 0001770450-23-000011, xrx-20221231.htm), Condensed Consolidated Statements of Cash Flows (XBRL R7.htm), twelve months ended column.</t>
      </text>
    </comment>
    <comment ref="AE38" authorId="0" shapeId="0">
      <text>
        <t>Increase (decrease) in other current and long-term liabilities, FY2023: -114. Source: Xerox Holdings 10-K for period ended 2023-12-31 (acc. 0001770450-24-000012, xrx-20231231.htm), Condensed Consolidated Statements of Cash Flows (XBRL R7.htm), twelve months ended column.</t>
      </text>
    </comment>
    <comment ref="AF38" authorId="0" shapeId="0">
      <text>
        <t>Increase (decrease) in other current and long-term liabilities, FY2024: -47. Source: Xerox Holdings 10-K for period ended 2024-12-31 (acc. 0001770450-25-000010, xrx-20241231.htm), Condensed Consolidated Statements of Cash Flows (XBRL R7.htm), twelve months ended column.</t>
      </text>
    </comment>
    <comment ref="AG38" authorId="0" shapeId="0">
      <text>
        <t>Increase (decrease) in other current and long-term liabilities, FY2025: 33. Source: Xerox Holdings 10-K for period ended 2025-12-31 (acc. 0001770450-26-000009, xrx-20251231.htm), Condensed Consolidated Statements of Cash Flows (XBRL R7.htm), twelve months ended column.</t>
      </text>
    </comment>
    <comment ref="F39" authorId="0" shapeId="0">
      <text>
        <t>Net change in income tax assets and liabilities (incl. deferred taxes), 1Q'21: 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9" authorId="0" shapeId="0">
      <text>
        <t>Net change in income tax assets and liabilities (incl. deferred taxes), 2Q'21: six-month YTD 2 less 1Q. Q2 = H1 - Q1. Source: Xerox Holdings 10-Q for period ended 2021-06-30 (acc. 0001770450-21-000036, xrx-20210630.htm), Condensed Consolidated Statements of Cash Flows (XBRL R6.htm), six months ended column.</t>
      </text>
    </comment>
    <comment ref="H39" authorId="0" shapeId="0">
      <text>
        <t>Net change in income tax assets and liabilities (incl. deferred taxes), 3Q'21: nine-month YTD -11 less H1. Q3 = 9M - H1. Source: Xerox Holdings 10-Q for period ended 2021-09-30 (acc. 0001770450-21-000050, xrx-20210930.htm), Condensed Consolidated Statements of Cash Flows (XBRL R6.htm), nine months ended column.</t>
      </text>
    </comment>
    <comment ref="I39" authorId="0" shapeId="0">
      <text>
        <t>4Q'21 derived = FY2021 (10-K, acc. 0001770450-22-000010) less 9M YTD (3Q'21 10-Q, acc. 0001770450-21-000050).</t>
      </text>
    </comment>
    <comment ref="J39" authorId="0" shapeId="0">
      <text>
        <t>Net change in income tax assets and liabilities (incl. deferred taxes), 1Q'22: -39.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9" authorId="0" shapeId="0">
      <text>
        <t>Net change in income tax assets and liabilities (incl. deferred taxes), 2Q'22: six-month YTD -76 less 1Q. Q2 = H1 - Q1. Source: Xerox Holdings 10-Q for period ended 2022-06-30 (acc. 0001770450-22-000030, xrx-20220630.htm), Condensed Consolidated Statements of Cash Flows (XBRL R6.htm), six months ended column.</t>
      </text>
    </comment>
    <comment ref="L39" authorId="0" shapeId="0">
      <text>
        <t>Net change in income tax assets and liabilities (incl. deferred taxes), 3Q'22: nine-month YTD -81 less H1. Q3 = 9M - H1. Source: Xerox Holdings 10-Q for period ended 2022-09-30 (acc. 0001770450-22-000041, xrx-20220930.htm), Condensed Consolidated Statements of Cash Flows (XBRL R6.htm), nine months ended column.</t>
      </text>
    </comment>
    <comment ref="M39" authorId="0" shapeId="0">
      <text>
        <t>4Q'22 derived = FY2022 (10-K, acc. 0001770450-23-000011) less 9M YTD (3Q'22 10-Q, acc. 0001770450-22-000041).</t>
      </text>
    </comment>
    <comment ref="N39" authorId="0" shapeId="0">
      <text>
        <t>Net change in income tax assets and liabilities (incl. deferred taxes), 1Q'23: 18.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9" authorId="0" shapeId="0">
      <text>
        <t>Net change in income tax assets and liabilities (incl. deferred taxes), 2Q'23: six-month YTD -17 less 1Q. Q2 = H1 - Q1. Source: Xerox Holdings 10-Q for period ended 2023-06-30 (acc. 0001770450-23-000042, xrx-20230630.htm), Condensed Consolidated Statements of Cash Flows (XBRL R6.htm), six months ended column.</t>
      </text>
    </comment>
    <comment ref="P39" authorId="0" shapeId="0">
      <text>
        <t>Net change in income tax assets and liabilities (incl. deferred taxes), 3Q'23: nine-month YTD -24 less H1. Q3 = 9M - H1. Source: Xerox Holdings 10-Q for period ended 2023-09-30 (acc. 0001770450-23-000050, xrx-20230930.htm), Condensed Consolidated Statements of Cash Flows (XBRL R6.htm), nine months ended column.</t>
      </text>
    </comment>
    <comment ref="Q39" authorId="0" shapeId="0">
      <text>
        <t>4Q'23 derived = FY2023 (10-K, acc. 0001770450-24-000012) less 9M YTD (3Q'23 10-Q, acc. 0001770450-23-000050).</t>
      </text>
    </comment>
    <comment ref="R39" authorId="0" shapeId="0">
      <text>
        <t>Net change in income tax assets and liabilities (incl. deferred taxes), 1Q'24: -44.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9" authorId="0" shapeId="0">
      <text>
        <t>Net change in income tax assets and liabilities (incl. deferred taxes), 2Q'24: six-month YTD -64 less 1Q. Q2 = H1 - Q1. Source: Xerox Holdings 10-Q for period ended 2024-06-30 (acc. 0001770450-24-000042, xrx-20240630.htm), Condensed Consolidated Statements of Cash Flows (XBRL R6.htm), six months ended column.</t>
      </text>
    </comment>
    <comment ref="T39" authorId="0" shapeId="0">
      <text>
        <t>Net change in income tax assets and liabilities (incl. deferred taxes), 3Q'24: nine-month YTD 44 less H1. Q3 = 9M - H1. Source: Xerox Holdings 10-Q for period ended 2024-09-30 (acc. 0001770450-24-000050, xrx-20240930.htm), Condensed Consolidated Statements of Cash Flows (XBRL R6.htm), nine months ended column.</t>
      </text>
    </comment>
    <comment ref="U39" authorId="0" shapeId="0">
      <text>
        <t>4Q'24 derived = FY2024 (10-K, acc. 0001770450-25-000010) less 9M YTD (3Q'24 10-Q, acc. 0001770450-24-000050).</t>
      </text>
    </comment>
    <comment ref="V39" authorId="0" shapeId="0">
      <text>
        <t>Net change in income tax assets and liabilities (incl. deferred taxes), 1Q'25: -2.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9" authorId="0" shapeId="0">
      <text>
        <t>Net change in income tax assets and liabilities (incl. deferred taxes), 2Q'25: six-month YTD 35 less 1Q. Q2 = H1 - Q1. Source: Xerox Holdings 10-Q for period ended 2025-06-30 (acc. 0001628280-25-038980, xrx-20250630.htm), Condensed Consolidated Statements of Cash Flows (XBRL R6.htm), six months ended column.</t>
      </text>
    </comment>
    <comment ref="X39" authorId="0" shapeId="0">
      <text>
        <t>Net change in income tax assets and liabilities (incl. deferred taxes), 3Q'25: nine-month YTD 479 less H1. Q3 = 9M - H1. Source: Xerox Holdings 10-Q for period ended 2025-09-30 (acc. 0001770450-25-000037, xrx-20250930.htm), Condensed Consolidated Statements of Cash Flows (XBRL R6.htm), nine months ended column.</t>
      </text>
    </comment>
    <comment ref="Y39" authorId="0" shapeId="0">
      <text>
        <t>4Q'25 derived = FY2025 (10-K, acc. 0001770450-26-000009) less 9M YTD (3Q'25 10-Q, acc. 0001770450-25-000037).</t>
      </text>
    </comment>
    <comment ref="Z39" authorId="0" shapeId="0">
      <text>
        <t>Net change in income tax assets and liabilities (incl. deferred taxes), 1Q'26: 12.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9" authorId="0" shapeId="0">
      <text>
        <t>Net change in income tax assets and liabilities (incl. deferred taxes), 2Q'26: six-month YTD 6 less 1Q. Q2 = H1 - Q1. Source: Xerox Holdings 10-Q for period ended 2026-06-30 (acc. 0001770450-26-000040, xrx-20260630.htm), Condensed Consolidated Statements of Cash Flows (XBRL R6.htm), six months ended column.</t>
      </text>
    </comment>
    <comment ref="AC39" authorId="0" shapeId="0">
      <text>
        <t>Net change in income tax assets and liabilities (incl. deferred taxes), FY2021: 10-89. Source: Xerox Holdings 10-K for period ended 2021-12-31 (acc. 0001770450-22-000010, xrx-20211231.htm),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D39" authorId="0" shapeId="0">
      <text>
        <t>Net change in income tax assets and liabilities (incl. deferred taxes), FY2022: -27-27. Source: Xerox Holdings 10-K for period ended 2022-12-31 (acc. 0001770450-23-000011, xrx-20221231.htm),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E39" authorId="0" shapeId="0">
      <text>
        <t>Net change in income tax assets and liabilities (incl. deferred taxes), FY2023: -12-68. Source: Xerox Holdings 10-K for period ended 2023-12-31 (acc. 0001770450-24-000012, xrx-20231231.htm),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F39" authorId="0" shapeId="0">
      <text>
        <t>Net change in income tax assets and liabilities (incl. deferred taxes), FY2024: -50+90. Source: Xerox Holdings 10-K for period ended 2024-12-31 (acc. 0001770450-25-000010, xrx-20241231.htm),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G39" authorId="0" shapeId="0">
      <text>
        <t>Net change in income tax assets and liabilities (incl. deferred taxes), FY2025: -26+502. Source: Xerox Holdings 10-K for period ended 2025-12-31 (acc. 0001770450-26-000009, xrx-20251231.htm),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F40" authorId="0" shapeId="0">
      <text>
        <t>Net change in derivative assets and liabilities, 1Q'21: 3.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40" authorId="0" shapeId="0">
      <text>
        <t>Net change in derivative assets and liabilities, 2Q'21: six-month YTD -2 less 1Q. Q2 = H1 - Q1. Source: Xerox Holdings 10-Q for period ended 2021-06-30 (acc. 0001770450-21-000036, xrx-20210630.htm), Condensed Consolidated Statements of Cash Flows (XBRL R6.htm), six months ended column.</t>
      </text>
    </comment>
    <comment ref="H40" authorId="0" shapeId="0">
      <text>
        <t>Net change in derivative assets and liabilities, 3Q'21: nine-month YTD -1 less H1. Q3 = 9M - H1. Source: Xerox Holdings 10-Q for period ended 2021-09-30 (acc. 0001770450-21-000050, xrx-20210930.htm), Condensed Consolidated Statements of Cash Flows (XBRL R6.htm), nine months ended column.</t>
      </text>
    </comment>
    <comment ref="I40" authorId="0" shapeId="0">
      <text>
        <t>4Q'21 derived = FY2021 (10-K, acc. 0001770450-22-000010) less 9M YTD (3Q'21 10-Q, acc. 0001770450-21-000050).</t>
      </text>
    </comment>
    <comment ref="J40" authorId="0" shapeId="0">
      <text>
        <t>Net change in derivative assets and liabilities, 1Q'22: 7.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40" authorId="0" shapeId="0">
      <text>
        <t>Net change in derivative assets and liabilities, 2Q'22: six-month YTD -6 less 1Q. Q2 = H1 - Q1. Source: Xerox Holdings 10-Q for period ended 2022-06-30 (acc. 0001770450-22-000030, xrx-20220630.htm), Condensed Consolidated Statements of Cash Flows (XBRL R6.htm), six months ended column.</t>
      </text>
    </comment>
    <comment ref="L40" authorId="0" shapeId="0">
      <text>
        <t>Net change in derivative assets and liabilities, 3Q'22: nine-month YTD -10 less H1. Q3 = 9M - H1. Source: Xerox Holdings 10-Q for period ended 2022-09-30 (acc. 0001770450-22-000041, xrx-20220930.htm), Condensed Consolidated Statements of Cash Flows (XBRL R6.htm), nine months ended column.</t>
      </text>
    </comment>
    <comment ref="M40" authorId="0" shapeId="0">
      <text>
        <t>4Q'22 derived = FY2022 (10-K, acc. 0001770450-23-000011) less 9M YTD (3Q'22 10-Q, acc. 0001770450-22-000041).</t>
      </text>
    </comment>
    <comment ref="N40" authorId="0" shapeId="0">
      <text>
        <t>Net change in derivative assets and liabilities, 1Q'23: 13.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40" authorId="0" shapeId="0">
      <text>
        <t>Net change in derivative assets and liabilities, 2Q'23: six-month YTD 22 less 1Q. Q2 = H1 - Q1. Source: Xerox Holdings 10-Q for period ended 2023-06-30 (acc. 0001770450-23-000042, xrx-20230630.htm), Condensed Consolidated Statements of Cash Flows (XBRL R6.htm), six months ended column.</t>
      </text>
    </comment>
    <comment ref="P40" authorId="0" shapeId="0">
      <text>
        <t>Net change in derivative assets and liabilities, 3Q'23: nine-month YTD 16 less H1. Q3 = 9M - H1. Source: Xerox Holdings 10-Q for period ended 2023-09-30 (acc. 0001770450-23-000050, xrx-20230930.htm), Condensed Consolidated Statements of Cash Flows (XBRL R6.htm), nine months ended column.</t>
      </text>
    </comment>
    <comment ref="Q40" authorId="0" shapeId="0">
      <text>
        <t>4Q'23 derived = FY2023 (10-K, acc. 0001770450-24-000012) less 9M YTD (3Q'23 10-Q, acc. 0001770450-23-000050).</t>
      </text>
    </comment>
    <comment ref="R40" authorId="0" shapeId="0">
      <text>
        <t>Net change in derivative assets and liabilities, 1Q'24: 6.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40" authorId="0" shapeId="0">
      <text>
        <t>Net change in derivative assets and liabilities, 2Q'24: six-month YTD 6 less 1Q. Q2 = H1 - Q1. Source: Xerox Holdings 10-Q for period ended 2024-06-30 (acc. 0001770450-24-000042, xrx-20240630.htm), Condensed Consolidated Statements of Cash Flows (XBRL R6.htm), six months ended column.</t>
      </text>
    </comment>
    <comment ref="T40" authorId="0" shapeId="0">
      <text>
        <t>Net change in derivative assets and liabilities, 3Q'24: nine-month YTD 9 less H1. Q3 = 9M - H1. Source: Xerox Holdings 10-Q for period ended 2024-09-30 (acc. 0001770450-24-000050, xrx-20240930.htm), Condensed Consolidated Statements of Cash Flows (XBRL R6.htm), nine months ended column.</t>
      </text>
    </comment>
    <comment ref="U40" authorId="0" shapeId="0">
      <text>
        <t>4Q'24 derived = FY2024 (10-K, acc. 0001770450-25-000010) less 9M YTD (3Q'24 10-Q, acc. 0001770450-24-000050).</t>
      </text>
    </comment>
    <comment ref="V40" authorId="0" shapeId="0">
      <text>
        <t>Net change in derivative assets and liabilities, 1Q'25: 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40" authorId="0" shapeId="0">
      <text>
        <t>Net change in derivative assets and liabilities, 2Q'25: six-month YTD -2 less 1Q. Q2 = H1 - Q1. Source: Xerox Holdings 10-Q for period ended 2025-06-30 (acc. 0001628280-25-038980, xrx-20250630.htm), Condensed Consolidated Statements of Cash Flows (XBRL R6.htm), six months ended column.</t>
      </text>
    </comment>
    <comment ref="X40" authorId="0" shapeId="0">
      <text>
        <t>Net change in derivative assets and liabilities, 3Q'25: nine-month YTD -1 less H1. Q3 = 9M - H1. Source: Xerox Holdings 10-Q for period ended 2025-09-30 (acc. 0001770450-25-000037, xrx-20250930.htm), Condensed Consolidated Statements of Cash Flows (XBRL R6.htm), nine months ended column.</t>
      </text>
    </comment>
    <comment ref="Y40" authorId="0" shapeId="0">
      <text>
        <t>4Q'25 derived = FY2025 (10-K, acc. 0001770450-26-000009) less 9M YTD (3Q'25 10-Q, acc. 0001770450-25-000037).</t>
      </text>
    </comment>
    <comment ref="AC40" authorId="0" shapeId="0">
      <text>
        <t>Net change in derivative assets and liabilities, FY2021: 2. Source: Xerox Holdings 10-K for period ended 2021-12-31 (acc. 0001770450-22-000010, xrx-20211231.htm), Condensed Consolidated Statements of Cash Flows (XBRL R7.htm), twelve months ended column.</t>
      </text>
    </comment>
    <comment ref="AD40" authorId="0" shapeId="0">
      <text>
        <t>Net change in derivative assets and liabilities, FY2022: -22. Source: Xerox Holdings 10-K for period ended 2022-12-31 (acc. 0001770450-23-000011, xrx-20221231.htm), Condensed Consolidated Statements of Cash Flows (XBRL R7.htm), twelve months ended column.</t>
      </text>
    </comment>
    <comment ref="AE40" authorId="0" shapeId="0">
      <text>
        <t>Net change in derivative assets and liabilities, FY2023: 13. Source: Xerox Holdings 10-K for period ended 2023-12-31 (acc. 0001770450-24-000012, xrx-20231231.htm), Condensed Consolidated Statements of Cash Flows (XBRL R7.htm), twelve months ended column.</t>
      </text>
    </comment>
    <comment ref="AF40" authorId="0" shapeId="0">
      <text>
        <t>Net change in derivative assets and liabilities, FY2024: 10. Source: Xerox Holdings 10-K for period ended 2024-12-31 (acc. 0001770450-25-000010, xrx-20241231.htm), Condensed Consolidated Statements of Cash Flows (XBRL R7.htm), twelve months ended column.</t>
      </text>
    </comment>
    <comment ref="AG40" authorId="0" shapeId="0">
      <text>
        <t>Net change in derivative assets and liabilities, FY2025: -12. Source: Xerox Holdings 10-K for period ended 2025-12-31 (acc. 0001770450-26-000009, xrx-20251231.htm), Condensed Consolidated Statements of Cash Flows (XBRL R7.htm), twelve months ended column.</t>
      </text>
    </comment>
    <comment ref="F41" authorId="0" shapeId="0">
      <text>
        <t>Other operating, net, 1Q'21: -11.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41" authorId="0" shapeId="0">
      <text>
        <t>Other operating, net, 2Q'21: six-month YTD -17 less 1Q. Q2 = H1 - Q1. Source: Xerox Holdings 10-Q for period ended 2021-06-30 (acc. 0001770450-21-000036, xrx-20210630.htm), Condensed Consolidated Statements of Cash Flows (XBRL R6.htm), six months ended column.</t>
      </text>
    </comment>
    <comment ref="H41" authorId="0" shapeId="0">
      <text>
        <t>Other operating, net, 3Q'21: nine-month YTD -10 less H1. Q3 = 9M - H1. Source: Xerox Holdings 10-Q for period ended 2021-09-30 (acc. 0001770450-21-000050, xrx-20210930.htm), Condensed Consolidated Statements of Cash Flows (XBRL R6.htm), nine months ended column.</t>
      </text>
    </comment>
    <comment ref="I41" authorId="0" shapeId="0">
      <text>
        <t>4Q'21 derived = FY2021 (10-K, acc. 0001770450-22-000010) less 9M YTD (3Q'21 10-Q, acc. 0001770450-21-000050).</t>
      </text>
    </comment>
    <comment ref="J41" authorId="0" shapeId="0">
      <text>
        <t>Other operating, net, 1Q'22: 5.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41" authorId="0" shapeId="0">
      <text>
        <t>Other operating, net, 2Q'22: six-month YTD -9 less 1Q. Q2 = H1 - Q1. Source: Xerox Holdings 10-Q for period ended 2022-06-30 (acc. 0001770450-22-000030, xrx-20220630.htm), Condensed Consolidated Statements of Cash Flows (XBRL R6.htm), six months ended column.</t>
      </text>
    </comment>
    <comment ref="L41" authorId="0" shapeId="0">
      <text>
        <t>Other operating, net, 3Q'22: nine-month YTD -7 less H1. Q3 = 9M - H1. Source: Xerox Holdings 10-Q for period ended 2022-09-30 (acc. 0001770450-22-000041, xrx-20220930.htm), Condensed Consolidated Statements of Cash Flows (XBRL R6.htm), nine months ended column.</t>
      </text>
    </comment>
    <comment ref="M41" authorId="0" shapeId="0">
      <text>
        <t>4Q'22 derived = FY2022 (10-K, acc. 0001770450-23-000011) less 9M YTD (3Q'22 10-Q, acc. 0001770450-22-000041).</t>
      </text>
    </comment>
    <comment ref="N41" authorId="0" shapeId="0">
      <text>
        <t>Other operating, net, 1Q'23: 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41" authorId="0" shapeId="0">
      <text>
        <t>Other operating, net, 2Q'23: six-month YTD -11 less 1Q. Q2 = H1 - Q1. Source: Xerox Holdings 10-Q for period ended 2023-06-30 (acc. 0001770450-23-000042, xrx-20230630.htm), Condensed Consolidated Statements of Cash Flows (XBRL R6.htm), six months ended column.</t>
      </text>
    </comment>
    <comment ref="P41" authorId="0" shapeId="0">
      <text>
        <t>Other operating, net, 3Q'23: nine-month YTD 0 less H1. Q3 = 9M - H1. Source: Xerox Holdings 10-Q for period ended 2023-09-30 (acc. 0001770450-23-000050, xrx-20230930.htm), Condensed Consolidated Statements of Cash Flows (XBRL R6.htm), nine months ended column.</t>
      </text>
    </comment>
    <comment ref="Q41" authorId="0" shapeId="0">
      <text>
        <t>4Q'23 derived = FY2023 (10-K, acc. 0001770450-24-000012) less 9M YTD (3Q'23 10-Q, acc. 0001770450-23-000050).</t>
      </text>
    </comment>
    <comment ref="R41" authorId="0" shapeId="0">
      <text>
        <t>Other operating, net, 1Q'24: -5.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41" authorId="0" shapeId="0">
      <text>
        <t>Other operating, net, 2Q'24: six-month YTD -7 less 1Q. Q2 = H1 - Q1. Source: Xerox Holdings 10-Q for period ended 2024-06-30 (acc. 0001770450-24-000042, xrx-20240630.htm), Condensed Consolidated Statements of Cash Flows (XBRL R6.htm), six months ended column.</t>
      </text>
    </comment>
    <comment ref="T41" authorId="0" shapeId="0">
      <text>
        <t>Other operating, net, 3Q'24: nine-month YTD 0 less H1. Q3 = 9M - H1. Source: Xerox Holdings 10-Q for period ended 2024-09-30 (acc. 0001770450-24-000050, xrx-20240930.htm), Condensed Consolidated Statements of Cash Flows (XBRL R6.htm), nine months ended column.</t>
      </text>
    </comment>
    <comment ref="U41" authorId="0" shapeId="0">
      <text>
        <t>4Q'24 derived = FY2024 (10-K, acc. 0001770450-25-000010) less 9M YTD (3Q'24 10-Q, acc. 0001770450-24-000050).</t>
      </text>
    </comment>
    <comment ref="V41" authorId="0" shapeId="0">
      <text>
        <t>Other operating, net, 1Q'25: 11.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41" authorId="0" shapeId="0">
      <text>
        <t>Other operating, net, 2Q'25: six-month YTD 28 less 1Q. Q2 = H1 - Q1. Source: Xerox Holdings 10-Q for period ended 2025-06-30 (acc. 0001628280-25-038980, xrx-20250630.htm), Condensed Consolidated Statements of Cash Flows (XBRL R6.htm), six months ended column.</t>
      </text>
    </comment>
    <comment ref="X41" authorId="0" shapeId="0">
      <text>
        <t>Other operating, net, 3Q'25: nine-month YTD 46 less H1. Q3 = 9M - H1. Source: Xerox Holdings 10-Q for period ended 2025-09-30 (acc. 0001770450-25-000037, xrx-20250930.htm), Condensed Consolidated Statements of Cash Flows (XBRL R6.htm), nine months ended column.</t>
      </text>
    </comment>
    <comment ref="Y41" authorId="0" shapeId="0">
      <text>
        <t>4Q'25 derived = FY2025 (10-K, acc. 0001770450-26-000009) less 9M YTD (3Q'25 10-Q, acc. 0001770450-25-000037).</t>
      </text>
    </comment>
    <comment ref="Z41" authorId="0" shapeId="0">
      <text>
        <t>Other operating, net, 1Q'26: -14.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41" authorId="0" shapeId="0">
      <text>
        <t>Other operating, net, 2Q'26: six-month YTD 4 less 1Q. Q2 = H1 - Q1. Source: Xerox Holdings 10-Q for period ended 2026-06-30 (acc. 0001770450-26-000040, xrx-20260630.htm), Condensed Consolidated Statements of Cash Flows (XBRL R6.htm), six months ended column.</t>
      </text>
    </comment>
    <comment ref="AC41" authorId="0" shapeId="0">
      <text>
        <t>Other operating, net, FY2021: -17. Source: Xerox Holdings 10-K for period ended 2021-12-31 (acc. 0001770450-22-000010, xrx-20211231.htm), Condensed Consolidated Statements of Cash Flows (XBRL R7.htm), twelve months ended column.</t>
      </text>
    </comment>
    <comment ref="AD41" authorId="0" shapeId="0">
      <text>
        <t>Other operating, net, FY2022: 13. Source: Xerox Holdings 10-K for period ended 2022-12-31 (acc. 0001770450-23-000011, xrx-20221231.htm), Condensed Consolidated Statements of Cash Flows (XBRL R7.htm), twelve months ended column.</t>
      </text>
    </comment>
    <comment ref="AE41" authorId="0" shapeId="0">
      <text>
        <t>Other operating, net, FY2023: 13. Source: Xerox Holdings 10-K for period ended 2023-12-31 (acc. 0001770450-24-000012, xrx-20231231.htm), Condensed Consolidated Statements of Cash Flows (XBRL R7.htm), twelve months ended column.</t>
      </text>
    </comment>
    <comment ref="AF41" authorId="0" shapeId="0">
      <text>
        <t>Other operating, net, FY2024: -13. Source: Xerox Holdings 10-K for period ended 2024-12-31 (acc. 0001770450-25-000010, xrx-20241231.htm), Condensed Consolidated Statements of Cash Flows (XBRL R7.htm), twelve months ended column.</t>
      </text>
    </comment>
    <comment ref="AG41" authorId="0" shapeId="0">
      <text>
        <t>Other operating, net, FY2025: 35. Source: Xerox Holdings 10-K for period ended 2025-12-31 (acc. 0001770450-26-000009, xrx-20251231.htm), Condensed Consolidated Statements of Cash Flows (XBRL R7.htm), twelve months ended column.</t>
      </text>
    </comment>
    <comment ref="F43" authorId="0" shapeId="0">
      <text>
        <t>Reported net cash provided by (used in) operating activities, 1Q'21: 117. Source: Xerox Holdings 10-Q for period ended 2021-03-31 (acc. 0001770450-21-000025, xrx-20210331.htm), Condensed Consolidated Statements of Cash Flows (XBRL R6.htm), three months ended column.</t>
      </text>
    </comment>
    <comment ref="G43" authorId="0" shapeId="0">
      <text>
        <t>Reported net cash provided by (used in) operating activities, 2Q'21: YTD 331 less prior YTD 117. Source: Xerox Holdings 10-Q for period ended 2021-06-30 (acc. 0001770450-21-000036, xrx-20210630.htm), Condensed Consolidated Statements of Cash Flows (XBRL R6.htm), six months ended column.</t>
      </text>
    </comment>
    <comment ref="H43" authorId="0" shapeId="0">
      <text>
        <t>Reported net cash provided by (used in) operating activities, 3Q'21: YTD 431 less prior YTD 331. Source: Xerox Holdings 10-Q for period ended 2021-09-30 (acc. 0001770450-21-000050, xrx-20210930.htm), Condensed Consolidated Statements of Cash Flows (XBRL R6.htm), nine months ended column.</t>
      </text>
    </comment>
    <comment ref="I43" authorId="0" shapeId="0">
      <text>
        <t>Reported net cash provided by (used in) operating activities, 4Q'21: YTD 629 less prior YTD 431. Source: Xerox Holdings 10-K for period ended 2021-12-31 (acc. 0001770450-22-000010, xrx-20211231.htm), Condensed Consolidated Statements of Cash Flows (XBRL R7.htm), twelve months ended column.</t>
      </text>
    </comment>
    <comment ref="J43" authorId="0" shapeId="0">
      <text>
        <t>Reported net cash provided by (used in) operating activities, 1Q'22: 66. Source: Xerox Holdings 10-Q for period ended 2022-03-31 (acc. 0001770450-22-000020, xrx-20220331.htm), Condensed Consolidated Statements of Cash Flows (XBRL R6.htm), three months ended column.</t>
      </text>
    </comment>
    <comment ref="K43" authorId="0" shapeId="0">
      <text>
        <t>Reported net cash provided by (used in) operating activities, 2Q'22: YTD -19 less prior YTD 66. Source: Xerox Holdings 10-Q for period ended 2022-06-30 (acc. 0001770450-22-000030, xrx-20220630.htm), Condensed Consolidated Statements of Cash Flows (XBRL R6.htm), six months ended column.</t>
      </text>
    </comment>
    <comment ref="L43" authorId="0" shapeId="0">
      <text>
        <t>Reported net cash provided by (used in) operating activities, 3Q'22: YTD -27 less prior YTD -19. Source: Xerox Holdings 10-Q for period ended 2022-09-30 (acc. 0001770450-22-000041, xrx-20220930.htm), Condensed Consolidated Statements of Cash Flows (XBRL R6.htm), nine months ended column.</t>
      </text>
    </comment>
    <comment ref="M43" authorId="0" shapeId="0">
      <text>
        <t>Reported net cash provided by (used in) operating activities, 4Q'22: YTD 159 less prior YTD -27. Source: Xerox Holdings 10-K for period ended 2022-12-31 (acc. 0001770450-23-000011, xrx-20221231.htm), Condensed Consolidated Statements of Cash Flows (XBRL R7.htm), twelve months ended column.</t>
      </text>
    </comment>
    <comment ref="N43" authorId="0" shapeId="0">
      <text>
        <t>Reported net cash provided by (used in) operating activities, 1Q'23: 78. Source: Xerox Holdings 10-Q for period ended 2023-03-31 (acc. 0001770450-23-000032, xrx-20230331.htm), Condensed Consolidated Statements of Cash Flows (XBRL R6.htm), three months ended column.</t>
      </text>
    </comment>
    <comment ref="O43" authorId="0" shapeId="0">
      <text>
        <t>Reported net cash provided by (used in) operating activities, 2Q'23: YTD 173 less prior YTD 78. Source: Xerox Holdings 10-Q for period ended 2023-06-30 (acc. 0001770450-23-000042, xrx-20230630.htm), Condensed Consolidated Statements of Cash Flows (XBRL R6.htm), six months ended column.</t>
      </text>
    </comment>
    <comment ref="P43" authorId="0" shapeId="0">
      <text>
        <t>Reported net cash provided by (used in) operating activities, 3Q'23: YTD 297 less prior YTD 173. Source: Xerox Holdings 10-Q for period ended 2023-09-30 (acc. 0001770450-23-000050, xrx-20230930.htm), Condensed Consolidated Statements of Cash Flows (XBRL R6.htm), nine months ended column.</t>
      </text>
    </comment>
    <comment ref="Q43" authorId="0" shapeId="0">
      <text>
        <t>Reported net cash provided by (used in) operating activities, 4Q'23: YTD 686 less prior YTD 297. Source: Xerox Holdings 10-K for period ended 2023-12-31 (acc. 0001770450-24-000012, xrx-20231231.htm), Condensed Consolidated Statements of Cash Flows (XBRL R7.htm), twelve months ended column.</t>
      </text>
    </comment>
    <comment ref="R43" authorId="0" shapeId="0">
      <text>
        <t>Reported net cash provided by (used in) operating activities, 1Q'24: -79. Source: Xerox Holdings 10-Q for period ended 2024-03-31 (acc. 0001770450-24-000031, xrx-20240331.htm), Condensed Consolidated Statements of Cash Flows (XBRL R6.htm), three months ended column.</t>
      </text>
    </comment>
    <comment ref="S43" authorId="0" shapeId="0">
      <text>
        <t>Reported net cash provided by (used in) operating activities, 2Q'24: YTD 44 less prior YTD -79. Source: Xerox Holdings 10-Q for period ended 2024-06-30 (acc. 0001770450-24-000042, xrx-20240630.htm), Condensed Consolidated Statements of Cash Flows (XBRL R6.htm), six months ended column.</t>
      </text>
    </comment>
    <comment ref="T43" authorId="0" shapeId="0">
      <text>
        <t>Reported net cash provided by (used in) operating activities, 3Q'24: YTD 160 less prior YTD 44. Source: Xerox Holdings 10-Q for period ended 2024-09-30 (acc. 0001770450-24-000050, xrx-20240930.htm), Condensed Consolidated Statements of Cash Flows (XBRL R6.htm), nine months ended column.</t>
      </text>
    </comment>
    <comment ref="U43" authorId="0" shapeId="0">
      <text>
        <t>Reported net cash provided by (used in) operating activities, 4Q'24: YTD 511 less prior YTD 160. Source: Xerox Holdings 10-K for period ended 2024-12-31 (acc. 0001770450-25-000010, xrx-20241231.htm), Condensed Consolidated Statements of Cash Flows (XBRL R7.htm), twelve months ended column.</t>
      </text>
    </comment>
    <comment ref="V43" authorId="0" shapeId="0">
      <text>
        <t>Reported net cash provided by (used in) operating activities, 1Q'25: -89. Source: Xerox Holdings 10-Q for period ended 2025-03-31 (acc. 0001770450-25-000026, xrx-20250331.htm), Condensed Consolidated Statements of Cash Flows (XBRL R6.htm), three months ended column.</t>
      </text>
    </comment>
    <comment ref="W43" authorId="0" shapeId="0">
      <text>
        <t>Reported net cash provided by (used in) operating activities, 2Q'25: YTD -100 less prior YTD -89. Source: Xerox Holdings 10-Q for period ended 2025-06-30 (acc. 0001628280-25-038980, xrx-20250630.htm), Condensed Consolidated Statements of Cash Flows (XBRL R6.htm), six months ended column.</t>
      </text>
    </comment>
    <comment ref="X43" authorId="0" shapeId="0">
      <text>
        <t>Reported net cash provided by (used in) operating activities, 3Q'25: YTD 16 less prior YTD -100. Source: Xerox Holdings 10-Q for period ended 2025-09-30 (acc. 0001770450-25-000037, xrx-20250930.htm), Condensed Consolidated Statements of Cash Flows (XBRL R6.htm), nine months ended column.</t>
      </text>
    </comment>
    <comment ref="Y43" authorId="0" shapeId="0">
      <text>
        <t>Reported net cash provided by (used in) operating activities, 4Q'25: YTD 224 less prior YTD 16. Source: Xerox Holdings 10-K for period ended 2025-12-31 (acc. 0001770450-26-000009, xrx-20251231.htm), Condensed Consolidated Statements of Cash Flows (XBRL R7.htm), twelve months ended column.</t>
      </text>
    </comment>
    <comment ref="Z43" authorId="0" shapeId="0">
      <text>
        <t>Reported net cash provided by (used in) operating activities, 1Q'26: -144. Source: Xerox Holdings 10-Q for period ended 2026-03-31 (acc. 0001770450-26-000030, xrx-20260331.htm), Condensed Consolidated Statements of Cash Flows (XBRL R6.htm), three months ended column.</t>
      </text>
    </comment>
    <comment ref="AA43" authorId="0" shapeId="0">
      <text>
        <t>Reported net cash provided by (used in) operating activities, 2Q'26: YTD -107 less prior YTD -144. Source: Xerox Holdings 10-Q for period ended 2026-06-30 (acc. 0001770450-26-000040, xrx-20260630.htm), Condensed Consolidated Statements of Cash Flows (XBRL R6.htm), six months ended column.</t>
      </text>
    </comment>
    <comment ref="AC43" authorId="0" shapeId="0">
      <text>
        <t>Reported net cash provided by (used in) operating activities, FY2021: 629. Source: Xerox Holdings 10-K for period ended 2021-12-31 (acc. 0001770450-22-000010, xrx-20211231.htm), Condensed Consolidated Statements of Cash Flows (XBRL R7.htm), twelve months ended column.</t>
      </text>
    </comment>
    <comment ref="AD43" authorId="0" shapeId="0">
      <text>
        <t>Reported net cash provided by (used in) operating activities, FY2022: 159. Source: Xerox Holdings 10-K for period ended 2022-12-31 (acc. 0001770450-23-000011, xrx-20221231.htm), Condensed Consolidated Statements of Cash Flows (XBRL R7.htm), twelve months ended column.</t>
      </text>
    </comment>
    <comment ref="AE43" authorId="0" shapeId="0">
      <text>
        <t>Reported net cash provided by (used in) operating activities, FY2023: 686. Source: Xerox Holdings 10-K for period ended 2023-12-31 (acc. 0001770450-24-000012, xrx-20231231.htm), Condensed Consolidated Statements of Cash Flows (XBRL R7.htm), twelve months ended column.</t>
      </text>
    </comment>
    <comment ref="AF43" authorId="0" shapeId="0">
      <text>
        <t>Reported net cash provided by (used in) operating activities, FY2024: 511. Source: Xerox Holdings 10-K for period ended 2024-12-31 (acc. 0001770450-25-000010, xrx-20241231.htm), Condensed Consolidated Statements of Cash Flows (XBRL R7.htm), twelve months ended column.</t>
      </text>
    </comment>
    <comment ref="AG43" authorId="0" shapeId="0">
      <text>
        <t>Reported net cash provided by (used in) operating activities, FY2025: 224. Source: Xerox Holdings 10-K for period ended 2025-12-31 (acc. 0001770450-26-000009, xrx-20251231.htm), Condensed Consolidated Statements of Cash Flows (XBRL R7.htm), twelve months ended column.</t>
      </text>
    </comment>
    <comment ref="D46" authorId="0" shapeId="0">
      <text>
        <t>Change in NWC = accounts receivable + inventories + other current and long-term assets + accounts payable + accrued compensation + other current and long-term liabilities + income tax and derivative assets and liabilities. Excludes finance receivables and equipment on operating leases (Xerox financing book), shown separately.</t>
      </text>
    </comment>
    <comment ref="F49" authorId="0" shapeId="0">
      <text>
        <t>Cost of additions to land, buildings, equipment and software, 1Q'21: -17.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49" authorId="0" shapeId="0">
      <text>
        <t>Cost of additions to land, buildings, equipment and software, 2Q'21: six-month YTD -33 less 1Q. Q2 = H1 - Q1. Source: Xerox Holdings 10-Q for period ended 2021-06-30 (acc. 0001770450-21-000036, xrx-20210630.htm), Condensed Consolidated Statements of Cash Flows (XBRL R6.htm), six months ended column.</t>
      </text>
    </comment>
    <comment ref="H49" authorId="0" shapeId="0">
      <text>
        <t>Cost of additions to land, buildings, equipment and software, 3Q'21: nine-month YTD -52 less H1. Q3 = 9M - H1. Source: Xerox Holdings 10-Q for period ended 2021-09-30 (acc. 0001770450-21-000050, xrx-20210930.htm), Condensed Consolidated Statements of Cash Flows (XBRL R6.htm), nine months ended column.</t>
      </text>
    </comment>
    <comment ref="I49" authorId="0" shapeId="0">
      <text>
        <t>4Q'21 derived = FY2021 (10-K, acc. 0001770450-22-000010) less 9M YTD (3Q'21 10-Q, acc. 0001770450-21-000050).</t>
      </text>
    </comment>
    <comment ref="J49" authorId="0" shapeId="0">
      <text>
        <t>Cost of additions to land, buildings, equipment and software, 1Q'22: -16.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49" authorId="0" shapeId="0">
      <text>
        <t>Cost of additions to land, buildings, equipment and software, 2Q'22: six-month YTD -29 less 1Q. Q2 = H1 - Q1. Source: Xerox Holdings 10-Q for period ended 2022-06-30 (acc. 0001770450-22-000030, xrx-20220630.htm), Condensed Consolidated Statements of Cash Flows (XBRL R6.htm), six months ended column.</t>
      </text>
    </comment>
    <comment ref="L49" authorId="0" shapeId="0">
      <text>
        <t>Cost of additions to land, buildings, equipment and software, 3Q'22: nine-month YTD -39 less H1. Q3 = 9M - H1. Source: Xerox Holdings 10-Q for period ended 2022-09-30 (acc. 0001770450-22-000041, xrx-20220930.htm), Condensed Consolidated Statements of Cash Flows (XBRL R6.htm), nine months ended column.</t>
      </text>
    </comment>
    <comment ref="M49" authorId="0" shapeId="0">
      <text>
        <t>4Q'22 derived = FY2022 (10-K, acc. 0001770450-23-000011) less 9M YTD (3Q'22 10-Q, acc. 0001770450-22-000041).</t>
      </text>
    </comment>
    <comment ref="N49" authorId="0" shapeId="0">
      <text>
        <t>Cost of additions to land, buildings, equipment and software, 1Q'23: -8.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49" authorId="0" shapeId="0">
      <text>
        <t>Cost of additions to land, buildings, equipment and software, 2Q'23: six-month YTD -15 less 1Q. Q2 = H1 - Q1. Source: Xerox Holdings 10-Q for period ended 2023-06-30 (acc. 0001770450-23-000042, xrx-20230630.htm), Condensed Consolidated Statements of Cash Flows (XBRL R6.htm), six months ended column.</t>
      </text>
    </comment>
    <comment ref="P49" authorId="0" shapeId="0">
      <text>
        <t>Cost of additions to land, buildings, equipment and software, 3Q'23: nine-month YTD -27 less H1. Q3 = 9M - H1. Source: Xerox Holdings 10-Q for period ended 2023-09-30 (acc. 0001770450-23-000050, xrx-20230930.htm), Condensed Consolidated Statements of Cash Flows (XBRL R6.htm), nine months ended column.</t>
      </text>
    </comment>
    <comment ref="Q49" authorId="0" shapeId="0">
      <text>
        <t>4Q'23 derived = FY2023 (10-K, acc. 0001770450-24-000012) less 9M YTD (3Q'23 10-Q, acc. 0001770450-23-000050).</t>
      </text>
    </comment>
    <comment ref="R49" authorId="0" shapeId="0">
      <text>
        <t>Cost of additions to land, buildings, equipment and software, 1Q'24: -10.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49" authorId="0" shapeId="0">
      <text>
        <t>Cost of additions to land, buildings, equipment and software, 2Q'24: six-month YTD -18 less 1Q. Q2 = H1 - Q1. Source: Xerox Holdings 10-Q for period ended 2024-06-30 (acc. 0001770450-24-000042, xrx-20240630.htm), Condensed Consolidated Statements of Cash Flows (XBRL R6.htm), six months ended column.</t>
      </text>
    </comment>
    <comment ref="T49" authorId="0" shapeId="0">
      <text>
        <t>Cost of additions to land, buildings, equipment and software, 3Q'24: nine-month YTD -27 less H1. Q3 = 9M - H1. Source: Xerox Holdings 10-Q for period ended 2024-09-30 (acc. 0001770450-24-000050, xrx-20240930.htm), Condensed Consolidated Statements of Cash Flows (XBRL R6.htm), nine months ended column.</t>
      </text>
    </comment>
    <comment ref="U49" authorId="0" shapeId="0">
      <text>
        <t>4Q'24 derived = FY2024 (10-K, acc. 0001770450-25-000010) less 9M YTD (3Q'24 10-Q, acc. 0001770450-24-000050).</t>
      </text>
    </comment>
    <comment ref="V49" authorId="0" shapeId="0">
      <text>
        <t>Cost of additions to land, buildings, equipment and software, 1Q'25: -20.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49" authorId="0" shapeId="0">
      <text>
        <t>Cost of additions to land, buildings, equipment and software, 2Q'25: six-month YTD -39 less 1Q. Q2 = H1 - Q1. Source: Xerox Holdings 10-Q for period ended 2025-06-30 (acc. 0001628280-25-038980, xrx-20250630.htm), Condensed Consolidated Statements of Cash Flows (XBRL R6.htm), six months ended column.</t>
      </text>
    </comment>
    <comment ref="X49" authorId="0" shapeId="0">
      <text>
        <t>Cost of additions to land, buildings, equipment and software, 3Q'25: nine-month YTD -67 less H1. Q3 = 9M - H1. Source: Xerox Holdings 10-Q for period ended 2025-09-30 (acc. 0001770450-25-000037, xrx-20250930.htm), Condensed Consolidated Statements of Cash Flows (XBRL R6.htm), nine months ended column.</t>
      </text>
    </comment>
    <comment ref="Y49" authorId="0" shapeId="0">
      <text>
        <t>4Q'25 derived = FY2025 (10-K, acc. 0001770450-26-000009) less 9M YTD (3Q'25 10-Q, acc. 0001770450-25-000037).</t>
      </text>
    </comment>
    <comment ref="Z49" authorId="0" shapeId="0">
      <text>
        <t>Cost of additions to land, buildings, equipment and software, 1Q'26: -21.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49" authorId="0" shapeId="0">
      <text>
        <t>Cost of additions to land, buildings, equipment and software, 2Q'26: six-month YTD -47 less 1Q. Q2 = H1 - Q1. Source: Xerox Holdings 10-Q for period ended 2026-06-30 (acc. 0001770450-26-000040, xrx-20260630.htm), Condensed Consolidated Statements of Cash Flows (XBRL R6.htm), six months ended column.</t>
      </text>
    </comment>
    <comment ref="AC49" authorId="0" shapeId="0">
      <text>
        <t>Cost of additions to land, buildings, equipment and software, FY2021: -68. Source: Xerox Holdings 10-K for period ended 2021-12-31 (acc. 0001770450-22-000010, xrx-20211231.htm), Condensed Consolidated Statements of Cash Flows (XBRL R7.htm), twelve months ended column.</t>
      </text>
    </comment>
    <comment ref="AD49" authorId="0" shapeId="0">
      <text>
        <t>Cost of additions to land, buildings, equipment and software, FY2022: -57. Source: Xerox Holdings 10-K for period ended 2022-12-31 (acc. 0001770450-23-000011, xrx-20221231.htm), Condensed Consolidated Statements of Cash Flows (XBRL R7.htm), twelve months ended column.</t>
      </text>
    </comment>
    <comment ref="AE49" authorId="0" shapeId="0">
      <text>
        <t>Cost of additions to land, buildings, equipment and software, FY2023: -37. Source: Xerox Holdings 10-K for period ended 2023-12-31 (acc. 0001770450-24-000012, xrx-20231231.htm), Condensed Consolidated Statements of Cash Flows (XBRL R7.htm), twelve months ended column.</t>
      </text>
    </comment>
    <comment ref="AF49" authorId="0" shapeId="0">
      <text>
        <t>Cost of additions to land, buildings, equipment and software, FY2024: -44. Source: Xerox Holdings 10-K for period ended 2024-12-31 (acc. 0001770450-25-000010, xrx-20241231.htm), Condensed Consolidated Statements of Cash Flows (XBRL R7.htm), twelve months ended column.</t>
      </text>
    </comment>
    <comment ref="AG49" authorId="0" shapeId="0">
      <text>
        <t>Cost of additions to land, buildings, equipment and software, FY2025: -91. Source: Xerox Holdings 10-K for period ended 2025-12-31 (acc. 0001770450-26-000009, xrx-20251231.htm), Condensed Consolidated Statements of Cash Flows (XBRL R7.htm), twelve months ended column.</t>
      </text>
    </comment>
    <comment ref="F50" authorId="0" shapeId="0">
      <text>
        <t>Proceeds from sales of businesses and assets,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50" authorId="0" shapeId="0">
      <text>
        <t>Proceeds from sales of businesses and assets, 2Q'21: six-month YTD 1 less 1Q. Q2 = H1 - Q1. Source: Xerox Holdings 10-Q for period ended 2021-06-30 (acc. 0001770450-21-000036, xrx-20210630.htm), Condensed Consolidated Statements of Cash Flows (XBRL R6.htm), six months ended column.</t>
      </text>
    </comment>
    <comment ref="H50" authorId="0" shapeId="0">
      <text>
        <t>Proceeds from sales of businesses and assets, 3Q'21: nine-month YTD 39 less H1. Q3 = 9M - H1. Source: Xerox Holdings 10-Q for period ended 2021-09-30 (acc. 0001770450-21-000050, xrx-20210930.htm), Condensed Consolidated Statements of Cash Flows (XBRL R6.htm), nine months ended column.</t>
      </text>
    </comment>
    <comment ref="I50" authorId="0" shapeId="0">
      <text>
        <t>4Q'21 derived = FY2021 (10-K, acc. 0001770450-22-000010) less 9M YTD (3Q'21 10-Q, acc. 0001770450-21-000050).</t>
      </text>
    </comment>
    <comment ref="J50" authorId="0" shapeId="0">
      <text>
        <t>Proceeds from sales of businesses and assets, 1Q'22: 0. Source: Xerox Holdings 10-Q for period ended 2022-03-31 (acc. 0001770450-22-000020, xrx-20220331.htm), Condensed Consolidated Statements of Cash Flows (XBRL R6.htm), three months ended column. Q1 = three-month YTD as reported. Not presented in this filing; zero.</t>
      </text>
    </comment>
    <comment ref="K50" authorId="0" shapeId="0">
      <text>
        <t>Proceeds from sales of businesses and assets, 2Q'22: six-month YTD 26 less 1Q. Q2 = H1 - Q1. Source: Xerox Holdings 10-Q for period ended 2022-06-30 (acc. 0001770450-22-000030, xrx-20220630.htm), Condensed Consolidated Statements of Cash Flows (XBRL R6.htm), six months ended column.</t>
      </text>
    </comment>
    <comment ref="L50" authorId="0" shapeId="0">
      <text>
        <t>Proceeds from sales of businesses and assets, 3Q'22: nine-month YTD 49 less H1. Q3 = 9M - H1. Source: Xerox Holdings 10-Q for period ended 2022-09-30 (acc. 0001770450-22-000041, xrx-20220930.htm), Condensed Consolidated Statements of Cash Flows (XBRL R6.htm), nine months ended column.</t>
      </text>
    </comment>
    <comment ref="M50" authorId="0" shapeId="0">
      <text>
        <t>4Q'22 derived = FY2022 (10-K, acc. 0001770450-23-000011) less 9M YTD (3Q'22 10-Q, acc. 0001770450-22-000041).</t>
      </text>
    </comment>
    <comment ref="N50" authorId="0" shapeId="0">
      <text>
        <t>Proceeds from sales of businesses and assets, 1Q'23: 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0" authorId="0" shapeId="0">
      <text>
        <t>Proceeds from sales of businesses and assets, 2Q'23: six-month YTD 3 less 1Q. Q2 = H1 - Q1. Source: Xerox Holdings 10-Q for period ended 2023-06-30 (acc. 0001770450-23-000042, xrx-20230630.htm), Condensed Consolidated Statements of Cash Flows (XBRL R6.htm), six months ended column.</t>
      </text>
    </comment>
    <comment ref="P50" authorId="0" shapeId="0">
      <text>
        <t>Proceeds from sales of businesses and assets, 3Q'23: nine-month YTD 40 less H1. Q3 = 9M - H1. Source: Xerox Holdings 10-Q for period ended 2023-09-30 (acc. 0001770450-23-000050, xrx-20230930.htm), Condensed Consolidated Statements of Cash Flows (XBRL R6.htm), nine months ended column.</t>
      </text>
    </comment>
    <comment ref="Q50" authorId="0" shapeId="0">
      <text>
        <t>4Q'23 derived = FY2023 (10-K, acc. 0001770450-24-000012) less 9M YTD (3Q'23 10-Q, acc. 0001770450-23-000050).</t>
      </text>
    </comment>
    <comment ref="R50" authorId="0" shapeId="0">
      <text>
        <t>Proceeds from sales of businesses and assets, 1Q'24: 4.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0" authorId="0" shapeId="0">
      <text>
        <t>Proceeds from sales of businesses and assets, 2Q'24: six-month YTD 19 less 1Q. Q2 = H1 - Q1. Source: Xerox Holdings 10-Q for period ended 2024-06-30 (acc. 0001770450-24-000042, xrx-20240630.htm), Condensed Consolidated Statements of Cash Flows (XBRL R6.htm), six months ended column.</t>
      </text>
    </comment>
    <comment ref="T50" authorId="0" shapeId="0">
      <text>
        <t>Proceeds from sales of businesses and assets, 3Q'24: nine-month YTD 27 less H1. Q3 = 9M - H1. Source: Xerox Holdings 10-Q for period ended 2024-09-30 (acc. 0001770450-24-000050, xrx-20240930.htm), Condensed Consolidated Statements of Cash Flows (XBRL R6.htm), nine months ended column.</t>
      </text>
    </comment>
    <comment ref="U50" authorId="0" shapeId="0">
      <text>
        <t>4Q'24 derived = FY2024 (10-K, acc. 0001770450-25-000010) less 9M YTD (3Q'24 10-Q, acc. 0001770450-24-000050).</t>
      </text>
    </comment>
    <comment ref="V50" authorId="0" shapeId="0">
      <text>
        <t>Proceeds from sales of businesses and assets, 1Q'25: 27.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0" authorId="0" shapeId="0">
      <text>
        <t>Proceeds from sales of businesses and assets, 2Q'25: six-month YTD 30 less 1Q. Q2 = H1 - Q1. Source: Xerox Holdings 10-Q for period ended 2025-06-30 (acc. 0001628280-25-038980, xrx-20250630.htm), Condensed Consolidated Statements of Cash Flows (XBRL R6.htm), six months ended column.</t>
      </text>
    </comment>
    <comment ref="X50" authorId="0" shapeId="0">
      <text>
        <t>Proceeds from sales of businesses and assets, 3Q'25: nine-month YTD 56 less H1. Q3 = 9M - H1. Source: Xerox Holdings 10-Q for period ended 2025-09-30 (acc. 0001770450-25-000037, xrx-20250930.htm), Condensed Consolidated Statements of Cash Flows (XBRL R6.htm), nine months ended column.</t>
      </text>
    </comment>
    <comment ref="Y50" authorId="0" shapeId="0">
      <text>
        <t>4Q'25 derived = FY2025 (10-K, acc. 0001770450-26-000009) less 9M YTD (3Q'25 10-Q, acc. 0001770450-25-000037).</t>
      </text>
    </comment>
    <comment ref="Z50" authorId="0" shapeId="0">
      <text>
        <t>Proceeds from sales of businesses and assets, 1Q'26: 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0" authorId="0" shapeId="0">
      <text>
        <t>Proceeds from sales of businesses and assets, 2Q'26: six-month YTD 8 less 1Q. Q2 = H1 - Q1. Source: Xerox Holdings 10-Q for period ended 2026-06-30 (acc. 0001770450-26-000040, xrx-20260630.htm), Condensed Consolidated Statements of Cash Flows (XBRL R6.htm), six months ended column.</t>
      </text>
    </comment>
    <comment ref="AC50" authorId="0" shapeId="0">
      <text>
        <t>Proceeds from sales of businesses and assets, FY2021: 44. Source: Xerox Holdings 10-K for period ended 2021-12-31 (acc. 0001770450-22-000010, xrx-20211231.htm), Condensed Consolidated Statements of Cash Flows (XBRL R7.htm), twelve months ended column.</t>
      </text>
    </comment>
    <comment ref="AD50" authorId="0" shapeId="0">
      <text>
        <t>Proceeds from sales of businesses and assets, FY2022: 87. Source: Xerox Holdings 10-K for period ended 2022-12-31 (acc. 0001770450-23-000011, xrx-20221231.htm), Condensed Consolidated Statements of Cash Flows (XBRL R7.htm), twelve months ended column.</t>
      </text>
    </comment>
    <comment ref="AE50" authorId="0" shapeId="0">
      <text>
        <t>Proceeds from sales of businesses and assets, FY2023: 43. Source: Xerox Holdings 10-K for period ended 2023-12-31 (acc. 0001770450-24-000012, xrx-20231231.htm), Condensed Consolidated Statements of Cash Flows (XBRL R7.htm), twelve months ended column.</t>
      </text>
    </comment>
    <comment ref="AF50" authorId="0" shapeId="0">
      <text>
        <t>Proceeds from sales of businesses and assets, FY2024: 35. Source: Xerox Holdings 10-K for period ended 2024-12-31 (acc. 0001770450-25-000010, xrx-20241231.htm), Condensed Consolidated Statements of Cash Flows (XBRL R7.htm), twelve months ended column.</t>
      </text>
    </comment>
    <comment ref="AG50" authorId="0" shapeId="0">
      <text>
        <t>Proceeds from sales of businesses and assets, FY2025: 79. Source: Xerox Holdings 10-K for period ended 2025-12-31 (acc. 0001770450-26-000009, xrx-20251231.htm), Condensed Consolidated Statements of Cash Flows (XBRL R7.htm), twelve months ended column.</t>
      </text>
    </comment>
    <comment ref="F51" authorId="0" shapeId="0">
      <text>
        <t>Acquisitions, net of cash acquired,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51" authorId="0" shapeId="0">
      <text>
        <t>Acquisitions, net of cash acquired, 2Q'21: six-month YTD -37 less 1Q. Q2 = H1 - Q1. Source: Xerox Holdings 10-Q for period ended 2021-06-30 (acc. 0001770450-21-000036, xrx-20210630.htm), Condensed Consolidated Statements of Cash Flows (XBRL R6.htm), six months ended column.</t>
      </text>
    </comment>
    <comment ref="H51" authorId="0" shapeId="0">
      <text>
        <t>Acquisitions, net of cash acquired, 3Q'21: nine-month YTD -38 less H1. Q3 = 9M - H1. Source: Xerox Holdings 10-Q for period ended 2021-09-30 (acc. 0001770450-21-000050, xrx-20210930.htm), Condensed Consolidated Statements of Cash Flows (XBRL R6.htm), nine months ended column.</t>
      </text>
    </comment>
    <comment ref="I51" authorId="0" shapeId="0">
      <text>
        <t>4Q'21 derived = FY2021 (10-K, acc. 0001770450-22-000010) less 9M YTD (3Q'21 10-Q, acc. 0001770450-21-000050).</t>
      </text>
    </comment>
    <comment ref="J51" authorId="0" shapeId="0">
      <text>
        <t>Acquisitions, net of cash acquired, 1Q'22: -54.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51" authorId="0" shapeId="0">
      <text>
        <t>Acquisitions, net of cash acquired, 2Q'22: six-month YTD -52 less 1Q. Q2 = H1 - Q1. Source: Xerox Holdings 10-Q for period ended 2022-06-30 (acc. 0001770450-22-000030, xrx-20220630.htm), Condensed Consolidated Statements of Cash Flows (XBRL R6.htm), six months ended column.</t>
      </text>
    </comment>
    <comment ref="L51" authorId="0" shapeId="0">
      <text>
        <t>Acquisitions, net of cash acquired, 3Q'22: nine-month YTD -93 less H1. Q3 = 9M - H1. Source: Xerox Holdings 10-Q for period ended 2022-09-30 (acc. 0001770450-22-000041, xrx-20220930.htm), Condensed Consolidated Statements of Cash Flows (XBRL R6.htm), nine months ended column.</t>
      </text>
    </comment>
    <comment ref="M51" authorId="0" shapeId="0">
      <text>
        <t>4Q'22 derived = FY2022 (10-K, acc. 0001770450-23-000011) less 9M YTD (3Q'22 10-Q, acc. 0001770450-22-000041).</t>
      </text>
    </comment>
    <comment ref="N51" authorId="0" shapeId="0">
      <text>
        <t>Acquisitions, net of cash acquired, 1Q'23: -7.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1" authorId="0" shapeId="0">
      <text>
        <t>Acquisitions, net of cash acquired, 2Q'23: six-month YTD -7 less 1Q. Q2 = H1 - Q1. Source: Xerox Holdings 10-Q for period ended 2023-06-30 (acc. 0001770450-23-000042, xrx-20230630.htm), Condensed Consolidated Statements of Cash Flows (XBRL R6.htm), six months ended column.</t>
      </text>
    </comment>
    <comment ref="P51" authorId="0" shapeId="0">
      <text>
        <t>Acquisitions, net of cash acquired, 3Q'23: nine-month YTD -7 less H1. Q3 = 9M - H1. Source: Xerox Holdings 10-Q for period ended 2023-09-30 (acc. 0001770450-23-000050, xrx-20230930.htm), Condensed Consolidated Statements of Cash Flows (XBRL R6.htm), nine months ended column.</t>
      </text>
    </comment>
    <comment ref="Q51" authorId="0" shapeId="0">
      <text>
        <t>4Q'23 derived = FY2023 (10-K, acc. 0001770450-24-000012) less 9M YTD (3Q'23 10-Q, acc. 0001770450-23-000050).</t>
      </text>
    </comment>
    <comment ref="R51" authorId="0" shapeId="0">
      <text>
        <t>Acquisitions, net of cash acquired, 1Q'24: 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1" authorId="0" shapeId="0">
      <text>
        <t>Acquisitions, net of cash acquired, 2Q'24: six-month YTD 0 less 1Q. Q2 = H1 - Q1. Source: Xerox Holdings 10-Q for period ended 2024-06-30 (acc. 0001770450-24-000042, xrx-20240630.htm), Condensed Consolidated Statements of Cash Flows (XBRL R6.htm), six months ended column.</t>
      </text>
    </comment>
    <comment ref="T51" authorId="0" shapeId="0">
      <text>
        <t>Acquisitions, net of cash acquired, 3Q'24: nine-month YTD 0 less H1. Q3 = 9M - H1. Source: Xerox Holdings 10-Q for period ended 2024-09-30 (acc. 0001770450-24-000050, xrx-20240930.htm), Condensed Consolidated Statements of Cash Flows (XBRL R6.htm), nine months ended column.</t>
      </text>
    </comment>
    <comment ref="U51" authorId="0" shapeId="0">
      <text>
        <t>4Q'24 derived = FY2024 (10-K, acc. 0001770450-25-000010) less 9M YTD (3Q'24 10-Q, acc. 0001770450-24-000050).</t>
      </text>
    </comment>
    <comment ref="V51" authorId="0" shapeId="0">
      <text>
        <t>Acquisitions, net of cash acquired, 1Q'25: 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1" authorId="0" shapeId="0">
      <text>
        <t>Acquisitions, net of cash acquired, 2Q'25: six-month YTD 1 less 1Q. Q2 = H1 - Q1. Source: Xerox Holdings 10-Q for period ended 2025-06-30 (acc. 0001628280-25-038980, xrx-20250630.htm), Condensed Consolidated Statements of Cash Flows (XBRL R6.htm), six months ended column.</t>
      </text>
    </comment>
    <comment ref="X51" authorId="0" shapeId="0">
      <text>
        <t>Acquisitions, net of cash acquired, 3Q'25: nine-month YTD -674 less H1. Q3 = 9M - H1. Source: Xerox Holdings 10-Q for period ended 2025-09-30 (acc. 0001770450-25-000037, xrx-20250930.htm), Condensed Consolidated Statements of Cash Flows (XBRL R6.htm), nine months ended column.</t>
      </text>
    </comment>
    <comment ref="Y51" authorId="0" shapeId="0">
      <text>
        <t>4Q'25 derived = FY2025 (10-K, acc. 0001770450-26-000009) less 9M YTD (3Q'25 10-Q, acc. 0001770450-25-000037).</t>
      </text>
    </comment>
    <comment ref="Z51" authorId="0" shapeId="0">
      <text>
        <t>Acquisitions, net of cash acquired, 1Q'26: 0.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1" authorId="0" shapeId="0">
      <text>
        <t>Acquisitions, net of cash acquired, 2Q'26: six-month YTD 19 less 1Q. Q2 = H1 - Q1. Source: Xerox Holdings 10-Q for period ended 2026-06-30 (acc. 0001770450-26-000040, xrx-20260630.htm), Condensed Consolidated Statements of Cash Flows (XBRL R6.htm), six months ended column.</t>
      </text>
    </comment>
    <comment ref="AC51" authorId="0" shapeId="0">
      <text>
        <t>Acquisitions, net of cash acquired, FY2021: -53. Source: Xerox Holdings 10-K for period ended 2021-12-31 (acc. 0001770450-22-000010, xrx-20211231.htm), Condensed Consolidated Statements of Cash Flows (XBRL R7.htm), twelve months ended column.</t>
      </text>
    </comment>
    <comment ref="AD51" authorId="0" shapeId="0">
      <text>
        <t>Acquisitions, net of cash acquired, FY2022: -93. Source: Xerox Holdings 10-K for period ended 2022-12-31 (acc. 0001770450-23-000011, xrx-20221231.htm), Condensed Consolidated Statements of Cash Flows (XBRL R7.htm), twelve months ended column.</t>
      </text>
    </comment>
    <comment ref="AE51" authorId="0" shapeId="0">
      <text>
        <t>Acquisitions, net of cash acquired, FY2023: -7. Source: Xerox Holdings 10-K for period ended 2023-12-31 (acc. 0001770450-24-000012, xrx-20231231.htm), Condensed Consolidated Statements of Cash Flows (XBRL R7.htm), twelve months ended column.</t>
      </text>
    </comment>
    <comment ref="AF51" authorId="0" shapeId="0">
      <text>
        <t>Acquisitions, net of cash acquired, FY2024: -161. Source: Xerox Holdings 10-K for period ended 2024-12-31 (acc. 0001770450-25-000010, xrx-20241231.htm), Condensed Consolidated Statements of Cash Flows (XBRL R7.htm), twelve months ended column.</t>
      </text>
    </comment>
    <comment ref="AG51" authorId="0" shapeId="0">
      <text>
        <t>Acquisitions, net of cash acquired, FY2025: -674. Source: Xerox Holdings 10-K for period ended 2025-12-31 (acc. 0001770450-26-000009, xrx-20251231.htm), Condensed Consolidated Statements of Cash Flows (XBRL R7.htm), twelve months ended column.</t>
      </text>
    </comment>
    <comment ref="F52" authorId="0" shapeId="0">
      <text>
        <t>Other investing, net, 1Q'21: 0. Source: Xerox Holdings 10-Q for period ended 2021-03-31 (acc. 0001770450-21-000025, xrx-20210331.htm), Condensed Consolidated Statements of Cash Flows (XBRL R6.htm), three months ended column. Q1 = three-month YTD as reported. Not presented in this filing; zero.</t>
      </text>
    </comment>
    <comment ref="G52" authorId="0" shapeId="0">
      <text>
        <t>Other investing, net, 2Q'21: six-month YTD -3 less 1Q. Q2 = H1 - Q1. Source: Xerox Holdings 10-Q for period ended 2021-06-30 (acc. 0001770450-21-000036, xrx-20210630.htm), Condensed Consolidated Statements of Cash Flows (XBRL R6.htm), six months ended column.</t>
      </text>
    </comment>
    <comment ref="H52" authorId="0" shapeId="0">
      <text>
        <t>Other investing, net, 3Q'21: nine-month YTD -3 less H1. Q3 = 9M - H1. Source: Xerox Holdings 10-Q for period ended 2021-09-30 (acc. 0001770450-21-000050, xrx-20210930.htm), Condensed Consolidated Statements of Cash Flows (XBRL R6.htm), nine months ended column.</t>
      </text>
    </comment>
    <comment ref="I52" authorId="0" shapeId="0">
      <text>
        <t>4Q'21 derived = FY2021 (10-K, acc. 0001770450-22-000010) less 9M YTD (3Q'21 10-Q, acc. 0001770450-21-000050).</t>
      </text>
    </comment>
    <comment ref="J52" authorId="0" shapeId="0">
      <text>
        <t>Other investing, net, 1Q'22: -5.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52" authorId="0" shapeId="0">
      <text>
        <t>Other investing, net, 2Q'22: six-month YTD -7 less 1Q. Q2 = H1 - Q1. Source: Xerox Holdings 10-Q for period ended 2022-06-30 (acc. 0001770450-22-000030, xrx-20220630.htm), Condensed Consolidated Statements of Cash Flows (XBRL R6.htm), six months ended column.</t>
      </text>
    </comment>
    <comment ref="L52" authorId="0" shapeId="0">
      <text>
        <t>Other investing, net, 3Q'22: nine-month YTD -12 less H1. Q3 = 9M - H1. Source: Xerox Holdings 10-Q for period ended 2022-09-30 (acc. 0001770450-22-000041, xrx-20220930.htm), Condensed Consolidated Statements of Cash Flows (XBRL R6.htm), nine months ended column.</t>
      </text>
    </comment>
    <comment ref="M52" authorId="0" shapeId="0">
      <text>
        <t>4Q'22 derived = FY2022 (10-K, acc. 0001770450-23-000011) less 9M YTD (3Q'22 10-Q, acc. 0001770450-22-000041).</t>
      </text>
    </comment>
    <comment ref="N52" authorId="0" shapeId="0">
      <text>
        <t>Other investing, net, 1Q'23: -3.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2" authorId="0" shapeId="0">
      <text>
        <t>Other investing, net, 2Q'23: six-month YTD -3 less 1Q. Q2 = H1 - Q1. Source: Xerox Holdings 10-Q for period ended 2023-06-30 (acc. 0001770450-23-000042, xrx-20230630.htm), Condensed Consolidated Statements of Cash Flows (XBRL R6.htm), six months ended column.</t>
      </text>
    </comment>
    <comment ref="P52" authorId="0" shapeId="0">
      <text>
        <t>Other investing, net, 3Q'23: nine-month YTD -3 less H1. Q3 = 9M - H1. Source: Xerox Holdings 10-Q for period ended 2023-09-30 (acc. 0001770450-23-000050, xrx-20230930.htm), Condensed Consolidated Statements of Cash Flows (XBRL R6.htm), nine months ended column.</t>
      </text>
    </comment>
    <comment ref="Q52" authorId="0" shapeId="0">
      <text>
        <t>4Q'23 derived = FY2023 (10-K, acc. 0001770450-24-000012) less 9M YTD (3Q'23 10-Q, acc. 0001770450-23-000050).</t>
      </text>
    </comment>
    <comment ref="R52" authorId="0" shapeId="0">
      <text>
        <t>Other investing, net, 1Q'24: -11.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2" authorId="0" shapeId="0">
      <text>
        <t>Other investing, net, 2Q'24: six-month YTD -20 less 1Q. Q2 = H1 - Q1. Source: Xerox Holdings 10-Q for period ended 2024-06-30 (acc. 0001770450-24-000042, xrx-20240630.htm), Condensed Consolidated Statements of Cash Flows (XBRL R6.htm), six months ended column.</t>
      </text>
    </comment>
    <comment ref="T52" authorId="0" shapeId="0">
      <text>
        <t>Other investing, net, 3Q'24: nine-month YTD -26 less H1. Q3 = 9M - H1. Source: Xerox Holdings 10-Q for period ended 2024-09-30 (acc. 0001770450-24-000050, xrx-20240930.htm), Condensed Consolidated Statements of Cash Flows (XBRL R6.htm), nine months ended column.</t>
      </text>
    </comment>
    <comment ref="U52" authorId="0" shapeId="0">
      <text>
        <t>4Q'24 derived = FY2024 (10-K, acc. 0001770450-25-000010) less 9M YTD (3Q'24 10-Q, acc. 0001770450-24-000050).</t>
      </text>
    </comment>
    <comment ref="V52" authorId="0" shapeId="0">
      <text>
        <t>Other investing, net, 1Q'25: -2.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2" authorId="0" shapeId="0">
      <text>
        <t>Other investing, net, 2Q'25: six-month YTD -4 less 1Q. Q2 = H1 - Q1. Source: Xerox Holdings 10-Q for period ended 2025-06-30 (acc. 0001628280-25-038980, xrx-20250630.htm), Condensed Consolidated Statements of Cash Flows (XBRL R6.htm), six months ended column.</t>
      </text>
    </comment>
    <comment ref="X52" authorId="0" shapeId="0">
      <text>
        <t>Other investing, net, 3Q'25: nine-month YTD -9 less H1. Q3 = 9M - H1. Source: Xerox Holdings 10-Q for period ended 2025-09-30 (acc. 0001770450-25-000037, xrx-20250930.htm), Condensed Consolidated Statements of Cash Flows (XBRL R6.htm), nine months ended column.</t>
      </text>
    </comment>
    <comment ref="Y52" authorId="0" shapeId="0">
      <text>
        <t>4Q'25 derived = FY2025 (10-K, acc. 0001770450-26-000009) less 9M YTD (3Q'25 10-Q, acc. 0001770450-25-000037).</t>
      </text>
    </comment>
    <comment ref="Z52" authorId="0" shapeId="0">
      <text>
        <t>Other investing, net, 1Q'26: -5.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2" authorId="0" shapeId="0">
      <text>
        <t>Other investing, net, 2Q'26: six-month YTD -13 less 1Q. Q2 = H1 - Q1. Source: Xerox Holdings 10-Q for period ended 2026-06-30 (acc. 0001770450-26-000040, xrx-20260630.htm), Condensed Consolidated Statements of Cash Flows (XBRL R6.htm), six months ended column.</t>
      </text>
    </comment>
    <comment ref="AC52" authorId="0" shapeId="0">
      <text>
        <t>Other investing, net, FY2021: -8. Source: Xerox Holdings 10-K for period ended 2021-12-31 (acc. 0001770450-22-000010, xrx-20211231.htm), Condensed Consolidated Statements of Cash Flows (XBRL R7.htm), twelve months ended column.</t>
      </text>
    </comment>
    <comment ref="AD52" authorId="0" shapeId="0">
      <text>
        <t>Other investing, net, FY2022: -15. Source: Xerox Holdings 10-K for period ended 2022-12-31 (acc. 0001770450-23-000011, xrx-20221231.htm), Condensed Consolidated Statements of Cash Flows (XBRL R7.htm), twelve months ended column.</t>
      </text>
    </comment>
    <comment ref="AE52" authorId="0" shapeId="0">
      <text>
        <t>Other investing, net, FY2023: -4. Source: Xerox Holdings 10-K for period ended 2023-12-31 (acc. 0001770450-24-000012, xrx-20231231.htm), Condensed Consolidated Statements of Cash Flows (XBRL R7.htm), twelve months ended column.</t>
      </text>
    </comment>
    <comment ref="AF52" authorId="0" shapeId="0">
      <text>
        <t>Other investing, net, FY2024: -28. Source: Xerox Holdings 10-K for period ended 2024-12-31 (acc. 0001770450-25-000010, xrx-20241231.htm), Condensed Consolidated Statements of Cash Flows (XBRL R7.htm), twelve months ended column.</t>
      </text>
    </comment>
    <comment ref="AG52" authorId="0" shapeId="0">
      <text>
        <t>Other investing, net, FY2025: -12. Source: Xerox Holdings 10-K for period ended 2025-12-31 (acc. 0001770450-26-000009, xrx-20251231.htm), Condensed Consolidated Statements of Cash Flows (XBRL R7.htm), twelve months ended column.</t>
      </text>
    </comment>
    <comment ref="F54" authorId="0" shapeId="0">
      <text>
        <t>Reported net cash provided by (used in) investing activities, 1Q'21: -17. Source: Xerox Holdings 10-Q for period ended 2021-03-31 (acc. 0001770450-21-000025, xrx-20210331.htm), Condensed Consolidated Statements of Cash Flows (XBRL R6.htm), three months ended column.</t>
      </text>
    </comment>
    <comment ref="G54" authorId="0" shapeId="0">
      <text>
        <t>Reported net cash provided by (used in) investing activities, 2Q'21: YTD -72 less prior YTD -17. Source: Xerox Holdings 10-Q for period ended 2021-06-30 (acc. 0001770450-21-000036, xrx-20210630.htm), Condensed Consolidated Statements of Cash Flows (XBRL R6.htm), six months ended column.</t>
      </text>
    </comment>
    <comment ref="H54" authorId="0" shapeId="0">
      <text>
        <t>Reported net cash provided by (used in) investing activities, 3Q'21: YTD -54 less prior YTD -72. Source: Xerox Holdings 10-Q for period ended 2021-09-30 (acc. 0001770450-21-000050, xrx-20210930.htm), Condensed Consolidated Statements of Cash Flows (XBRL R6.htm), nine months ended column.</t>
      </text>
    </comment>
    <comment ref="I54" authorId="0" shapeId="0">
      <text>
        <t>Reported net cash provided by (used in) investing activities, 4Q'21: YTD -85 less prior YTD -54. Source: Xerox Holdings 10-K for period ended 2021-12-31 (acc. 0001770450-22-000010, xrx-20211231.htm), Condensed Consolidated Statements of Cash Flows (XBRL R7.htm), twelve months ended column.</t>
      </text>
    </comment>
    <comment ref="J54" authorId="0" shapeId="0">
      <text>
        <t>Reported net cash provided by (used in) investing activities, 1Q'22: -75. Source: Xerox Holdings 10-Q for period ended 2022-03-31 (acc. 0001770450-22-000020, xrx-20220331.htm), Condensed Consolidated Statements of Cash Flows (XBRL R6.htm), three months ended column.</t>
      </text>
    </comment>
    <comment ref="K54" authorId="0" shapeId="0">
      <text>
        <t>Reported net cash provided by (used in) investing activities, 2Q'22: YTD -62 less prior YTD -75. Source: Xerox Holdings 10-Q for period ended 2022-06-30 (acc. 0001770450-22-000030, xrx-20220630.htm), Condensed Consolidated Statements of Cash Flows (XBRL R6.htm), six months ended column.</t>
      </text>
    </comment>
    <comment ref="L54" authorId="0" shapeId="0">
      <text>
        <t>Reported net cash provided by (used in) investing activities, 3Q'22: YTD -95 less prior YTD -62. Source: Xerox Holdings 10-Q for period ended 2022-09-30 (acc. 0001770450-22-000041, xrx-20220930.htm), Condensed Consolidated Statements of Cash Flows (XBRL R6.htm), nine months ended column.</t>
      </text>
    </comment>
    <comment ref="M54" authorId="0" shapeId="0">
      <text>
        <t>Reported net cash provided by (used in) investing activities, 4Q'22: YTD -78 less prior YTD -95. Source: Xerox Holdings 10-K for period ended 2022-12-31 (acc. 0001770450-23-000011, xrx-20221231.htm), Condensed Consolidated Statements of Cash Flows (XBRL R7.htm), twelve months ended column.</t>
      </text>
    </comment>
    <comment ref="N54" authorId="0" shapeId="0">
      <text>
        <t>Reported net cash provided by (used in) investing activities, 1Q'23: -17. Source: Xerox Holdings 10-Q for period ended 2023-03-31 (acc. 0001770450-23-000032, xrx-20230331.htm), Condensed Consolidated Statements of Cash Flows (XBRL R6.htm), three months ended column.</t>
      </text>
    </comment>
    <comment ref="O54" authorId="0" shapeId="0">
      <text>
        <t>Reported net cash provided by (used in) investing activities, 2Q'23: YTD -22 less prior YTD -17. Source: Xerox Holdings 10-Q for period ended 2023-06-30 (acc. 0001770450-23-000042, xrx-20230630.htm), Condensed Consolidated Statements of Cash Flows (XBRL R6.htm), six months ended column.</t>
      </text>
    </comment>
    <comment ref="P54" authorId="0" shapeId="0">
      <text>
        <t>Reported net cash provided by (used in) investing activities, 3Q'23: YTD 3 less prior YTD -22. Source: Xerox Holdings 10-Q for period ended 2023-09-30 (acc. 0001770450-23-000050, xrx-20230930.htm), Condensed Consolidated Statements of Cash Flows (XBRL R6.htm), nine months ended column.</t>
      </text>
    </comment>
    <comment ref="Q54" authorId="0" shapeId="0">
      <text>
        <t>Reported net cash provided by (used in) investing activities, 4Q'23: YTD -5 less prior YTD 3. Source: Xerox Holdings 10-K for period ended 2023-12-31 (acc. 0001770450-24-000012, xrx-20231231.htm), Condensed Consolidated Statements of Cash Flows (XBRL R7.htm), twelve months ended column.</t>
      </text>
    </comment>
    <comment ref="R54" authorId="0" shapeId="0">
      <text>
        <t>Reported net cash provided by (used in) investing activities, 1Q'24: -17. Source: Xerox Holdings 10-Q for period ended 2024-03-31 (acc. 0001770450-24-000031, xrx-20240331.htm), Condensed Consolidated Statements of Cash Flows (XBRL R6.htm), three months ended column.</t>
      </text>
    </comment>
    <comment ref="S54" authorId="0" shapeId="0">
      <text>
        <t>Reported net cash provided by (used in) investing activities, 2Q'24: YTD -19 less prior YTD -17. Source: Xerox Holdings 10-Q for period ended 2024-06-30 (acc. 0001770450-24-000042, xrx-20240630.htm), Condensed Consolidated Statements of Cash Flows (XBRL R6.htm), six months ended column.</t>
      </text>
    </comment>
    <comment ref="T54" authorId="0" shapeId="0">
      <text>
        <t>Reported net cash provided by (used in) investing activities, 3Q'24: YTD -26 less prior YTD -19. Source: Xerox Holdings 10-Q for period ended 2024-09-30 (acc. 0001770450-24-000050, xrx-20240930.htm), Condensed Consolidated Statements of Cash Flows (XBRL R6.htm), nine months ended column.</t>
      </text>
    </comment>
    <comment ref="U54" authorId="0" shapeId="0">
      <text>
        <t>Reported net cash provided by (used in) investing activities, 4Q'24: YTD -198 less prior YTD -26. Source: Xerox Holdings 10-K for period ended 2024-12-31 (acc. 0001770450-25-000010, xrx-20241231.htm), Condensed Consolidated Statements of Cash Flows (XBRL R7.htm), twelve months ended column.</t>
      </text>
    </comment>
    <comment ref="V54" authorId="0" shapeId="0">
      <text>
        <t>Reported net cash provided by (used in) investing activities, 1Q'25: 6. Source: Xerox Holdings 10-Q for period ended 2025-03-31 (acc. 0001770450-25-000026, xrx-20250331.htm), Condensed Consolidated Statements of Cash Flows (XBRL R6.htm), three months ended column.</t>
      </text>
    </comment>
    <comment ref="W54" authorId="0" shapeId="0">
      <text>
        <t>Reported net cash provided by (used in) investing activities, 2Q'25: YTD -12 less prior YTD 6. Source: Xerox Holdings 10-Q for period ended 2025-06-30 (acc. 0001628280-25-038980, xrx-20250630.htm), Condensed Consolidated Statements of Cash Flows (XBRL R6.htm), six months ended column.</t>
      </text>
    </comment>
    <comment ref="X54" authorId="0" shapeId="0">
      <text>
        <t>Reported net cash provided by (used in) investing activities, 3Q'25: YTD -694 less prior YTD -12. Source: Xerox Holdings 10-Q for period ended 2025-09-30 (acc. 0001770450-25-000037, xrx-20250930.htm), Condensed Consolidated Statements of Cash Flows (XBRL R6.htm), nine months ended column.</t>
      </text>
    </comment>
    <comment ref="Y54" authorId="0" shapeId="0">
      <text>
        <t>Reported net cash provided by (used in) investing activities, 4Q'25: YTD -698 less prior YTD -694. Source: Xerox Holdings 10-K for period ended 2025-12-31 (acc. 0001770450-26-000009, xrx-20251231.htm), Condensed Consolidated Statements of Cash Flows (XBRL R7.htm), twelve months ended column.</t>
      </text>
    </comment>
    <comment ref="Z54" authorId="0" shapeId="0">
      <text>
        <t>Reported net cash provided by (used in) investing activities, 1Q'26: -24. Source: Xerox Holdings 10-Q for period ended 2026-03-31 (acc. 0001770450-26-000030, xrx-20260331.htm), Condensed Consolidated Statements of Cash Flows (XBRL R6.htm), three months ended column.</t>
      </text>
    </comment>
    <comment ref="AA54" authorId="0" shapeId="0">
      <text>
        <t>Reported net cash provided by (used in) investing activities, 2Q'26: YTD -33 less prior YTD -24. Source: Xerox Holdings 10-Q for period ended 2026-06-30 (acc. 0001770450-26-000040, xrx-20260630.htm), Condensed Consolidated Statements of Cash Flows (XBRL R6.htm), six months ended column.</t>
      </text>
    </comment>
    <comment ref="AC54" authorId="0" shapeId="0">
      <text>
        <t>Reported net cash provided by (used in) investing activities, FY2021: -85. Source: Xerox Holdings 10-K for period ended 2021-12-31 (acc. 0001770450-22-000010, xrx-20211231.htm), Condensed Consolidated Statements of Cash Flows (XBRL R7.htm), twelve months ended column.</t>
      </text>
    </comment>
    <comment ref="AD54" authorId="0" shapeId="0">
      <text>
        <t>Reported net cash provided by (used in) investing activities, FY2022: -78. Source: Xerox Holdings 10-K for period ended 2022-12-31 (acc. 0001770450-23-000011, xrx-20221231.htm), Condensed Consolidated Statements of Cash Flows (XBRL R7.htm), twelve months ended column.</t>
      </text>
    </comment>
    <comment ref="AE54" authorId="0" shapeId="0">
      <text>
        <t>Reported net cash provided by (used in) investing activities, FY2023: -5. Source: Xerox Holdings 10-K for period ended 2023-12-31 (acc. 0001770450-24-000012, xrx-20231231.htm), Condensed Consolidated Statements of Cash Flows (XBRL R7.htm), twelve months ended column.</t>
      </text>
    </comment>
    <comment ref="AF54" authorId="0" shapeId="0">
      <text>
        <t>Reported net cash provided by (used in) investing activities, FY2024: -198. Source: Xerox Holdings 10-K for period ended 2024-12-31 (acc. 0001770450-25-000010, xrx-20241231.htm), Condensed Consolidated Statements of Cash Flows (XBRL R7.htm), twelve months ended column.</t>
      </text>
    </comment>
    <comment ref="AG54" authorId="0" shapeId="0">
      <text>
        <t>Reported net cash provided by (used in) investing activities, FY2025: -698. Source: Xerox Holdings 10-K for period ended 2025-12-31 (acc. 0001770450-26-000009, xrx-20251231.htm), Condensed Consolidated Statements of Cash Flows (XBRL R7.htm), twelve months ended column.</t>
      </text>
    </comment>
    <comment ref="F58" authorId="0" shapeId="0">
      <text>
        <t>Net proceeds (payments) on short-term debt, 1Q'21: 0. Source: Xerox Holdings 10-Q for period ended 2021-03-31 (acc. 0001770450-21-000025, xrx-20210331.htm), Condensed Consolidated Statements of Cash Flows (XBRL R6.htm), three months ended column. Q1 = three-month YTD as reported. Not presented in this filing; zero.</t>
      </text>
    </comment>
    <comment ref="G58" authorId="0" shapeId="0">
      <text>
        <t>Net proceeds (payments) on short-term debt, 2Q'21: six-month YTD 0 less 1Q. Q2 = H1 - Q1. Source: Xerox Holdings 10-Q for period ended 2021-06-30 (acc. 0001770450-21-000036, xrx-20210630.htm), Condensed Consolidated Statements of Cash Flows (XBRL R6.htm), six months ended column. Not presented in this filing; zero.</t>
      </text>
    </comment>
    <comment ref="H58" authorId="0" shapeId="0">
      <text>
        <t>Net proceeds (payments) on short-term debt, 3Q'21: nine-month YTD 1 less H1. Q3 = 9M - H1. Source: Xerox Holdings 10-Q for period ended 2021-09-30 (acc. 0001770450-21-000050, xrx-20210930.htm), Condensed Consolidated Statements of Cash Flows (XBRL R6.htm), nine months ended column.</t>
      </text>
    </comment>
    <comment ref="I58" authorId="0" shapeId="0">
      <text>
        <t>4Q'21 derived = FY2021 (10-K, acc. 0001770450-22-000010) less 9M YTD (3Q'21 10-Q, acc. 0001770450-21-000050).</t>
      </text>
    </comment>
    <comment ref="J58" authorId="0" shapeId="0">
      <text>
        <t>Net proceeds (payments) on short-term debt, 1Q'22: 0. Source: Xerox Holdings 10-Q for period ended 2022-03-31 (acc. 0001770450-22-000020, xrx-20220331.htm), Condensed Consolidated Statements of Cash Flows (XBRL R6.htm), three months ended column. Q1 = three-month YTD as reported. Not presented in this filing; zero.</t>
      </text>
    </comment>
    <comment ref="K58" authorId="0" shapeId="0">
      <text>
        <t>Net proceeds (payments) on short-term debt, 2Q'22: six-month YTD 0 less 1Q. Q2 = H1 - Q1. Source: Xerox Holdings 10-Q for period ended 2022-06-30 (acc. 0001770450-22-000030, xrx-20220630.htm), Condensed Consolidated Statements of Cash Flows (XBRL R6.htm), six months ended column. Not presented in this filing; zero.</t>
      </text>
    </comment>
    <comment ref="L58" authorId="0" shapeId="0">
      <text>
        <t>Net proceeds (payments) on short-term debt, 3Q'22: nine-month YTD 0 less H1. Q3 = 9M - H1. Source: Xerox Holdings 10-Q for period ended 2022-09-30 (acc. 0001770450-22-000041, xrx-20220930.htm), Condensed Consolidated Statements of Cash Flows (XBRL R6.htm), nine months ended column.</t>
      </text>
    </comment>
    <comment ref="M58" authorId="0" shapeId="0">
      <text>
        <t>4Q'22 derived = FY2022 (10-K, acc. 0001770450-23-000011) less 9M YTD (3Q'22 10-Q, acc. 0001770450-22-000041).</t>
      </text>
    </comment>
    <comment ref="N58" authorId="0" shapeId="0">
      <text>
        <t>Net proceeds (payments) on short-term debt, 1Q'23: 0. Source: Xerox Holdings 10-Q for period ended 2023-03-31 (acc. 0001770450-23-000032, xrx-20230331.htm), Condensed Consolidated Statements of Cash Flows (XBRL R6.htm), three months ended column. Q1 = three-month YTD as reported. Not presented in this filing; zero.</t>
      </text>
    </comment>
    <comment ref="O58" authorId="0" shapeId="0">
      <text>
        <t>Net proceeds (payments) on short-term debt, 2Q'23: six-month YTD 200 less 1Q. Q2 = H1 - Q1. Source: Xerox Holdings 10-Q for period ended 2023-06-30 (acc. 0001770450-23-000042, xrx-20230630.htm), Condensed Consolidated Statements of Cash Flows (XBRL R6.htm), six months ended column.</t>
      </text>
    </comment>
    <comment ref="P58" authorId="0" shapeId="0">
      <text>
        <t>Net proceeds (payments) on short-term debt, 3Q'23: nine-month YTD 220 less H1. Q3 = 9M - H1. Source: Xerox Holdings 10-Q for period ended 2023-09-30 (acc. 0001770450-23-000050, xrx-20230930.htm), Condensed Consolidated Statements of Cash Flows (XBRL R6.htm), nine months ended column.</t>
      </text>
    </comment>
    <comment ref="Q58" authorId="0" shapeId="0">
      <text>
        <t>4Q'23 derived = FY2023 (10-K, acc. 0001770450-24-000012) less 9M YTD (3Q'23 10-Q, acc. 0001770450-23-000050).</t>
      </text>
    </comment>
    <comment ref="R58" authorId="0" shapeId="0">
      <text>
        <t>Net proceeds (payments) on short-term debt, 1Q'24: 0. Source: Xerox Holdings 10-Q for period ended 2024-03-31 (acc. 0001770450-24-000031, xrx-20240331.htm), Condensed Consolidated Statements of Cash Flows (XBRL R6.htm), three months ended column. Q1 = three-month YTD as reported. Not presented in this filing; zero.</t>
      </text>
    </comment>
    <comment ref="S58" authorId="0" shapeId="0">
      <text>
        <t>Net proceeds (payments) on short-term debt, 2Q'24: six-month YTD 0 less 1Q. Q2 = H1 - Q1. Source: Xerox Holdings 10-Q for period ended 2024-06-30 (acc. 0001770450-24-000042, xrx-20240630.htm), Condensed Consolidated Statements of Cash Flows (XBRL R6.htm), six months ended column.</t>
      </text>
    </comment>
    <comment ref="T58" authorId="0" shapeId="0">
      <text>
        <t>Net proceeds (payments) on short-term debt, 3Q'24: nine-month YTD 0 less H1. Q3 = 9M - H1. Source: Xerox Holdings 10-Q for period ended 2024-09-30 (acc. 0001770450-24-000050, xrx-20240930.htm), Condensed Consolidated Statements of Cash Flows (XBRL R6.htm), nine months ended column.</t>
      </text>
    </comment>
    <comment ref="U58" authorId="0" shapeId="0">
      <text>
        <t>4Q'24 derived = FY2024 (10-K, acc. 0001770450-25-000010) less 9M YTD (3Q'24 10-Q, acc. 0001770450-24-000050).</t>
      </text>
    </comment>
    <comment ref="V58" authorId="0" shapeId="0">
      <text>
        <t>Net proceeds (payments) on short-term debt, 1Q'25: 0. Source: Xerox Holdings 10-Q for period ended 2025-03-31 (acc. 0001770450-25-000026, xrx-20250331.htm), Condensed Consolidated Statements of Cash Flows (XBRL R6.htm), three months ended column. Q1 = three-month YTD as reported. Not presented in this filing; zero.</t>
      </text>
    </comment>
    <comment ref="W58" authorId="0" shapeId="0">
      <text>
        <t>Net proceeds (payments) on short-term debt, 2Q'25: six-month YTD 0 less 1Q. Q2 = H1 - Q1. Source: Xerox Holdings 10-Q for period ended 2025-06-30 (acc. 0001628280-25-038980, xrx-20250630.htm), Condensed Consolidated Statements of Cash Flows (XBRL R6.htm), six months ended column. Not presented in this filing; zero.</t>
      </text>
    </comment>
    <comment ref="X58" authorId="0" shapeId="0">
      <text>
        <t>Net proceeds (payments) on short-term debt, 3Q'25: nine-month YTD 218 less H1. Q3 = 9M - H1. Source: Xerox Holdings 10-Q for period ended 2025-09-30 (acc. 0001770450-25-000037, xrx-20250930.htm), Condensed Consolidated Statements of Cash Flows (XBRL R6.htm), nine months ended column.</t>
      </text>
    </comment>
    <comment ref="Y58" authorId="0" shapeId="0">
      <text>
        <t>4Q'25 derived = FY2025 (10-K, acc. 0001770450-26-000009) less 9M YTD (3Q'25 10-Q, acc. 0001770450-25-000037).</t>
      </text>
    </comment>
    <comment ref="Z58" authorId="0" shapeId="0">
      <text>
        <t>Net proceeds (payments) on short-term debt, 1Q'26: 0. Source: Xerox Holdings 10-Q for period ended 2026-03-31 (acc. 0001770450-26-000030, xrx-20260331.htm), Condensed Consolidated Statements of Cash Flows (XBRL R6.htm), three months ended column. Q1 = three-month YTD as reported. Not presented in this filing; zero.</t>
      </text>
    </comment>
    <comment ref="AA58" authorId="0" shapeId="0">
      <text>
        <t>Net proceeds (payments) on short-term debt, 2Q'26: six-month YTD -125 less 1Q. Q2 = H1 - Q1. Source: Xerox Holdings 10-Q for period ended 2026-06-30 (acc. 0001770450-26-000040, xrx-20260630.htm), Condensed Consolidated Statements of Cash Flows (XBRL R6.htm), six months ended column.</t>
      </text>
    </comment>
    <comment ref="AC58" authorId="0" shapeId="0">
      <text>
        <t>Net proceeds (payments) on short-term debt, FY2021: 0. Source: Xerox Holdings 10-K for period ended 2021-12-31 (acc. 0001770450-22-000010, xrx-20211231.htm), Condensed Consolidated Statements of Cash Flows (XBRL R7.htm), twelve months ended column. Not presented in this 10-K; zero.</t>
      </text>
    </comment>
    <comment ref="AD58" authorId="0" shapeId="0">
      <text>
        <t>Net proceeds (payments) on short-term debt, FY2022: 0. Source: Xerox Holdings 10-K for period ended 2022-12-31 (acc. 0001770450-23-000011, xrx-20221231.htm), Condensed Consolidated Statements of Cash Flows (XBRL R7.htm), twelve months ended column. Not presented in this 10-K; zero.</t>
      </text>
    </comment>
    <comment ref="AE58" authorId="0" shapeId="0">
      <text>
        <t>Net proceeds (payments) on short-term debt, FY2023: 0. Source: Xerox Holdings 10-K for period ended 2023-12-31 (acc. 0001770450-24-000012, xrx-20231231.htm), Condensed Consolidated Statements of Cash Flows (XBRL R7.htm), twelve months ended column. Not presented in this 10-K; zero.</t>
      </text>
    </comment>
    <comment ref="AF58" authorId="0" shapeId="0">
      <text>
        <t>Net proceeds (payments) on short-term debt, FY2024: 0. Source: Xerox Holdings 10-K for period ended 2024-12-31 (acc. 0001770450-25-000010, xrx-20241231.htm), Condensed Consolidated Statements of Cash Flows (XBRL R7.htm), twelve months ended column. Not presented in this 10-K; zero.</t>
      </text>
    </comment>
    <comment ref="AG58" authorId="0" shapeId="0">
      <text>
        <t>Net proceeds (payments) on short-term debt, FY2025: 119. Source: Xerox Holdings 10-K for period ended 2025-12-31 (acc. 0001770450-26-000009, xrx-20251231.htm), Condensed Consolidated Statements of Cash Flows (XBRL R7.htm), twelve months ended column.</t>
      </text>
    </comment>
    <comment ref="F59" authorId="0" shapeId="0">
      <text>
        <t>Proceeds from issuance of long-term debt,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59" authorId="0" shapeId="0">
      <text>
        <t>Proceeds from issuance of long-term debt, 2Q'21: six-month YTD 0 less 1Q. Q2 = H1 - Q1. Source: Xerox Holdings 10-Q for period ended 2021-06-30 (acc. 0001770450-21-000036, xrx-20210630.htm), Condensed Consolidated Statements of Cash Flows (XBRL R6.htm), six months ended column.</t>
      </text>
    </comment>
    <comment ref="H59" authorId="0" shapeId="0">
      <text>
        <t>Proceeds from issuance of long-term debt, 3Q'21: nine-month YTD 311 less H1. Q3 = 9M - H1. Source: Xerox Holdings 10-Q for period ended 2021-09-30 (acc. 0001770450-21-000050, xrx-20210930.htm), Condensed Consolidated Statements of Cash Flows (XBRL R6.htm), nine months ended column.</t>
      </text>
    </comment>
    <comment ref="I59" authorId="0" shapeId="0">
      <text>
        <t>4Q'21 derived = FY2021 (10-K, acc. 0001770450-22-000010) less 9M YTD (3Q'21 10-Q, acc. 0001770450-21-000050).</t>
      </text>
    </comment>
    <comment ref="J59" authorId="0" shapeId="0">
      <text>
        <t>Proceeds from issuance of long-term debt, 1Q'22: 668.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59" authorId="0" shapeId="0">
      <text>
        <t>Proceeds from issuance of long-term debt, 2Q'22: six-month YTD 754 less 1Q. Q2 = H1 - Q1. Source: Xerox Holdings 10-Q for period ended 2022-06-30 (acc. 0001770450-22-000030, xrx-20220630.htm), Condensed Consolidated Statements of Cash Flows (XBRL R6.htm), six months ended column.</t>
      </text>
    </comment>
    <comment ref="L59" authorId="0" shapeId="0">
      <text>
        <t>Proceeds from issuance of long-term debt, 3Q'22: nine-month YTD 754 less H1. Q3 = 9M - H1. Source: Xerox Holdings 10-Q for period ended 2022-09-30 (acc. 0001770450-22-000041, xrx-20220930.htm), Condensed Consolidated Statements of Cash Flows (XBRL R6.htm), nine months ended column.</t>
      </text>
    </comment>
    <comment ref="M59" authorId="0" shapeId="0">
      <text>
        <t>4Q'22 derived = FY2022 (10-K, acc. 0001770450-23-000011) less 9M YTD (3Q'22 10-Q, acc. 0001770450-22-000041).</t>
      </text>
    </comment>
    <comment ref="N59" authorId="0" shapeId="0">
      <text>
        <t>Proceeds from issuance of long-term debt, 1Q'23: 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9" authorId="0" shapeId="0">
      <text>
        <t>Proceeds from issuance of long-term debt, 2Q'23: six-month YTD 0 less 1Q. Q2 = H1 - Q1. Source: Xerox Holdings 10-Q for period ended 2023-06-30 (acc. 0001770450-23-000042, xrx-20230630.htm), Condensed Consolidated Statements of Cash Flows (XBRL R6.htm), six months ended column.</t>
      </text>
    </comment>
    <comment ref="P59" authorId="0" shapeId="0">
      <text>
        <t>Proceeds from issuance of long-term debt, 3Q'23: nine-month YTD 646 less H1. Q3 = 9M - H1. Source: Xerox Holdings 10-Q for period ended 2023-09-30 (acc. 0001770450-23-000050, xrx-20230930.htm), Condensed Consolidated Statements of Cash Flows (XBRL R6.htm), nine months ended column.</t>
      </text>
    </comment>
    <comment ref="Q59" authorId="0" shapeId="0">
      <text>
        <t>4Q'23 derived = FY2023 (10-K, acc. 0001770450-24-000012) less 9M YTD (3Q'23 10-Q, acc. 0001770450-23-000050).</t>
      </text>
    </comment>
    <comment ref="R59" authorId="0" shapeId="0">
      <text>
        <t>Proceeds from issuance of long-term debt, 1Q'24: 905.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9" authorId="0" shapeId="0">
      <text>
        <t>Proceeds from issuance of long-term debt, 2Q'24: six-month YTD 906 less 1Q. Q2 = H1 - Q1. Source: Xerox Holdings 10-Q for period ended 2024-06-30 (acc. 0001770450-24-000042, xrx-20240630.htm), Condensed Consolidated Statements of Cash Flows (XBRL R6.htm), six months ended column.</t>
      </text>
    </comment>
    <comment ref="T59" authorId="0" shapeId="0">
      <text>
        <t>Proceeds from issuance of long-term debt, 3Q'24: nine-month YTD 906 less H1. Q3 = 9M - H1. Source: Xerox Holdings 10-Q for period ended 2024-09-30 (acc. 0001770450-24-000050, xrx-20240930.htm), Condensed Consolidated Statements of Cash Flows (XBRL R6.htm), nine months ended column.</t>
      </text>
    </comment>
    <comment ref="U59" authorId="0" shapeId="0">
      <text>
        <t>4Q'24 derived = FY2024 (10-K, acc. 0001770450-25-000010) less 9M YTD (3Q'24 10-Q, acc. 0001770450-24-000050).</t>
      </text>
    </comment>
    <comment ref="V59" authorId="0" shapeId="0">
      <text>
        <t>Proceeds from issuance of long-term debt, 1Q'25: 3.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9" authorId="0" shapeId="0">
      <text>
        <t>Proceeds from issuance of long-term debt, 2Q'25: six-month YTD 889 less 1Q. Q2 = H1 - Q1. Source: Xerox Holdings 10-Q for period ended 2025-06-30 (acc. 0001628280-25-038980, xrx-20250630.htm), Condensed Consolidated Statements of Cash Flows (XBRL R6.htm), six months ended column.</t>
      </text>
    </comment>
    <comment ref="X59" authorId="0" shapeId="0">
      <text>
        <t>Proceeds from issuance of long-term debt, 3Q'25: nine-month YTD 1137 less H1. Q3 = 9M - H1. Source: Xerox Holdings 10-Q for period ended 2025-09-30 (acc. 0001770450-25-000037, xrx-20250930.htm), Condensed Consolidated Statements of Cash Flows (XBRL R6.htm), nine months ended column.</t>
      </text>
    </comment>
    <comment ref="Y59" authorId="0" shapeId="0">
      <text>
        <t>4Q'25 derived = FY2025 (10-K, acc. 0001770450-26-000009) less 9M YTD (3Q'25 10-Q, acc. 0001770450-25-000037).</t>
      </text>
    </comment>
    <comment ref="Z59" authorId="0" shapeId="0">
      <text>
        <t>Proceeds from issuance of long-term debt, 1Q'26: 446.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9" authorId="0" shapeId="0">
      <text>
        <t>Proceeds from issuance of long-term debt, 2Q'26: six-month YTD 446 less 1Q. Q2 = H1 - Q1. Source: Xerox Holdings 10-Q for period ended 2026-06-30 (acc. 0001770450-26-000040, xrx-20260630.htm), Condensed Consolidated Statements of Cash Flows (XBRL R6.htm), six months ended column.</t>
      </text>
    </comment>
    <comment ref="AC59" authorId="0" shapeId="0">
      <text>
        <t>Proceeds from issuance of long-term debt, FY2021: 311. Source: Xerox Holdings 10-K for period ended 2021-12-31 (acc. 0001770450-22-000010, xrx-20211231.htm), Condensed Consolidated Statements of Cash Flows (XBRL R7.htm), twelve months ended column.</t>
      </text>
    </comment>
    <comment ref="AD59" authorId="0" shapeId="0">
      <text>
        <t>Proceeds from issuance of long-term debt, FY2022: 1194. Source: Xerox Holdings 10-K for period ended 2022-12-31 (acc. 0001770450-23-000011, xrx-20221231.htm), Condensed Consolidated Statements of Cash Flows (XBRL R7.htm), twelve months ended column.</t>
      </text>
    </comment>
    <comment ref="AE59" authorId="0" shapeId="0">
      <text>
        <t>Proceeds from issuance of long-term debt, FY2023: 1396. Source: Xerox Holdings 10-K for period ended 2023-12-31 (acc. 0001770450-24-000012, xrx-20231231.htm), Condensed Consolidated Statements of Cash Flows (XBRL R7.htm), twelve months ended column.</t>
      </text>
    </comment>
    <comment ref="AF59" authorId="0" shapeId="0">
      <text>
        <t>Proceeds from issuance of long-term debt, FY2024: 907. Source: Xerox Holdings 10-K for period ended 2024-12-31 (acc. 0001770450-25-000010, xrx-20241231.htm), Condensed Consolidated Statements of Cash Flows (XBRL R7.htm), twelve months ended column.</t>
      </text>
    </comment>
    <comment ref="AG59" authorId="0" shapeId="0">
      <text>
        <t>Proceeds from issuance of long-term debt, FY2025: 1140. Source: Xerox Holdings 10-K for period ended 2025-12-31 (acc. 0001770450-26-000009, xrx-20251231.htm), Condensed Consolidated Statements of Cash Flows (XBRL R7.htm), twelve months ended column.</t>
      </text>
    </comment>
    <comment ref="F60" authorId="0" shapeId="0">
      <text>
        <t>Payments on long-term debt, 1Q'21: -95.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0" authorId="0" shapeId="0">
      <text>
        <t>Payments on long-term debt, 2Q'21: six-month YTD -209 less 1Q. Q2 = H1 - Q1. Source: Xerox Holdings 10-Q for period ended 2021-06-30 (acc. 0001770450-21-000036, xrx-20210630.htm), Condensed Consolidated Statements of Cash Flows (XBRL R6.htm), six months ended column.</t>
      </text>
    </comment>
    <comment ref="H60" authorId="0" shapeId="0">
      <text>
        <t>Payments on long-term debt, 3Q'21: nine-month YTD -445 less H1. Q3 = 9M - H1. Source: Xerox Holdings 10-Q for period ended 2021-09-30 (acc. 0001770450-21-000050, xrx-20210930.htm), Condensed Consolidated Statements of Cash Flows (XBRL R6.htm), nine months ended column.</t>
      </text>
    </comment>
    <comment ref="I60" authorId="0" shapeId="0">
      <text>
        <t>4Q'21 derived = FY2021 (10-K, acc. 0001770450-22-000010) less 9M YTD (3Q'21 10-Q, acc. 0001770450-21-000050).</t>
      </text>
    </comment>
    <comment ref="J60" authorId="0" shapeId="0">
      <text>
        <t>Payments on long-term debt, 1Q'22: -646.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0" authorId="0" shapeId="0">
      <text>
        <t>Payments on long-term debt, 2Q'22: six-month YTD -1133 less 1Q. Q2 = H1 - Q1. Source: Xerox Holdings 10-Q for period ended 2022-06-30 (acc. 0001770450-22-000030, xrx-20220630.htm), Condensed Consolidated Statements of Cash Flows (XBRL R6.htm), six months ended column.</t>
      </text>
    </comment>
    <comment ref="L60" authorId="0" shapeId="0">
      <text>
        <t>Payments on long-term debt, 3Q'22: nine-month YTD -1259 less H1. Q3 = 9M - H1. Source: Xerox Holdings 10-Q for period ended 2022-09-30 (acc. 0001770450-22-000041, xrx-20220930.htm), Condensed Consolidated Statements of Cash Flows (XBRL R6.htm), nine months ended column.</t>
      </text>
    </comment>
    <comment ref="M60" authorId="0" shapeId="0">
      <text>
        <t>4Q'22 derived = FY2022 (10-K, acc. 0001770450-23-000011) less 9M YTD (3Q'22 10-Q, acc. 0001770450-22-000041).</t>
      </text>
    </comment>
    <comment ref="N60" authorId="0" shapeId="0">
      <text>
        <t>Payments on long-term debt, 1Q'23: -452.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0" authorId="0" shapeId="0">
      <text>
        <t>Payments on long-term debt, 2Q'23: six-month YTD -826 less 1Q. Q2 = H1 - Q1. Source: Xerox Holdings 10-Q for period ended 2023-06-30 (acc. 0001770450-23-000042, xrx-20230630.htm), Condensed Consolidated Statements of Cash Flows (XBRL R6.htm), six months ended column.</t>
      </text>
    </comment>
    <comment ref="P60" authorId="0" shapeId="0">
      <text>
        <t>Payments on long-term debt, 3Q'23: nine-month YTD -997 less H1. Q3 = 9M - H1. Source: Xerox Holdings 10-Q for period ended 2023-09-30 (acc. 0001770450-23-000050, xrx-20230930.htm), Condensed Consolidated Statements of Cash Flows (XBRL R6.htm), nine months ended column.</t>
      </text>
    </comment>
    <comment ref="Q60" authorId="0" shapeId="0">
      <text>
        <t>4Q'23 derived = FY2023 (10-K, acc. 0001770450-24-000012) less 9M YTD (3Q'23 10-Q, acc. 0001770450-23-000050).</t>
      </text>
    </comment>
    <comment ref="R60" authorId="0" shapeId="0">
      <text>
        <t>Payments on long-term debt, 1Q'24: -570.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0" authorId="0" shapeId="0">
      <text>
        <t>Payments on long-term debt, 2Q'24: six-month YTD -871 less 1Q. Q2 = H1 - Q1. Source: Xerox Holdings 10-Q for period ended 2024-06-30 (acc. 0001770450-24-000042, xrx-20240630.htm), Condensed Consolidated Statements of Cash Flows (XBRL R6.htm), six months ended column.</t>
      </text>
    </comment>
    <comment ref="T60" authorId="0" shapeId="0">
      <text>
        <t>Payments on long-term debt, 3Q'24: nine-month YTD -913 less H1. Q3 = 9M - H1. Source: Xerox Holdings 10-Q for period ended 2024-09-30 (acc. 0001770450-24-000050, xrx-20240930.htm), Condensed Consolidated Statements of Cash Flows (XBRL R6.htm), nine months ended column.</t>
      </text>
    </comment>
    <comment ref="U60" authorId="0" shapeId="0">
      <text>
        <t>4Q'24 derived = FY2024 (10-K, acc. 0001770450-25-000010) less 9M YTD (3Q'24 10-Q, acc. 0001770450-24-000050).</t>
      </text>
    </comment>
    <comment ref="V60" authorId="0" shapeId="0">
      <text>
        <t>Payments on long-term debt, 1Q'25: -107.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0" authorId="0" shapeId="0">
      <text>
        <t>Payments on long-term debt, 2Q'25: six-month YTD -343 less 1Q. Q2 = H1 - Q1. Source: Xerox Holdings 10-Q for period ended 2025-06-30 (acc. 0001628280-25-038980, xrx-20250630.htm), Condensed Consolidated Statements of Cash Flows (XBRL R6.htm), six months ended column.</t>
      </text>
    </comment>
    <comment ref="X60" authorId="0" shapeId="0">
      <text>
        <t>Payments on long-term debt, 3Q'25: nine-month YTD -685 less H1. Q3 = 9M - H1. Source: Xerox Holdings 10-Q for period ended 2025-09-30 (acc. 0001770450-25-000037, xrx-20250930.htm), Condensed Consolidated Statements of Cash Flows (XBRL R6.htm), nine months ended column.</t>
      </text>
    </comment>
    <comment ref="Y60" authorId="0" shapeId="0">
      <text>
        <t>4Q'25 derived = FY2025 (10-K, acc. 0001770450-26-000009) less 9M YTD (3Q'25 10-Q, acc. 0001770450-25-000037).</t>
      </text>
    </comment>
    <comment ref="Z60" authorId="0" shapeId="0">
      <text>
        <t>Payments on long-term debt, 1Q'26: -191.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60" authorId="0" shapeId="0">
      <text>
        <t>Payments on long-term debt, 2Q'26: six-month YTD -251 less 1Q. Q2 = H1 - Q1. Source: Xerox Holdings 10-Q for period ended 2026-06-30 (acc. 0001770450-26-000040, xrx-20260630.htm), Condensed Consolidated Statements of Cash Flows (XBRL R6.htm), six months ended column.</t>
      </text>
    </comment>
    <comment ref="AC60" authorId="0" shapeId="0">
      <text>
        <t>Payments on long-term debt, FY2021: -519. Source: Xerox Holdings 10-K for period ended 2021-12-31 (acc. 0001770450-22-000010, xrx-20211231.htm), Condensed Consolidated Statements of Cash Flows (XBRL R7.htm), twelve months ended column.</t>
      </text>
    </comment>
    <comment ref="AD60" authorId="0" shapeId="0">
      <text>
        <t>Payments on long-term debt, FY2022: -1723. Source: Xerox Holdings 10-K for period ended 2022-12-31 (acc. 0001770450-23-000011, xrx-20221231.htm), Condensed Consolidated Statements of Cash Flows (XBRL R7.htm), twelve months ended column.</t>
      </text>
    </comment>
    <comment ref="AE60" authorId="0" shapeId="0">
      <text>
        <t>Payments on long-term debt, FY2023: -1874. Source: Xerox Holdings 10-K for period ended 2023-12-31 (acc. 0001770450-24-000012, xrx-20231231.htm), Condensed Consolidated Statements of Cash Flows (XBRL R7.htm), twelve months ended column.</t>
      </text>
    </comment>
    <comment ref="AF60" authorId="0" shapeId="0">
      <text>
        <t>Payments on long-term debt, FY2024: -992. Source: Xerox Holdings 10-K for period ended 2024-12-31 (acc. 0001770450-25-000010, xrx-20241231.htm), Condensed Consolidated Statements of Cash Flows (XBRL R7.htm), twelve months ended column.</t>
      </text>
    </comment>
    <comment ref="AG60" authorId="0" shapeId="0">
      <text>
        <t>Payments on long-term debt, FY2025: -755. Source: Xerox Holdings 10-K for period ended 2025-12-31 (acc. 0001770450-26-000009, xrx-20251231.htm), Condensed Consolidated Statements of Cash Flows (XBRL R7.htm), twelve months ended column.</t>
      </text>
    </comment>
    <comment ref="Z61" authorId="0" shapeId="0">
      <text>
        <t>Tariff receivables monetization, 1Q'26: 0. Source: Xerox Holdings 10-Q for period ended 2026-03-31 (acc. 0001770450-26-000030, xrx-20260331.htm), Condensed Consolidated Statements of Cash Flows (XBRL R6.htm), three months ended column. Q1 = three-month YTD as reported. Not presented in this filing; zero.</t>
      </text>
    </comment>
    <comment ref="AA61" authorId="0" shapeId="0">
      <text>
        <t>Tariff receivables monetization, 2Q'26: six-month YTD 80 less 1Q. Q2 = H1 - Q1. Source: Xerox Holdings 10-Q for period ended 2026-06-30 (acc. 0001770450-26-000040, xrx-20260630.htm), Condensed Consolidated Statements of Cash Flows (XBRL R6.htm), six months ended column.</t>
      </text>
    </comment>
    <comment ref="R62" authorId="0" shapeId="0">
      <text>
        <t>Purchases of capped calls, 1Q'24: -23.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2" authorId="0" shapeId="0">
      <text>
        <t>Purchases of capped calls, 2Q'24: six-month YTD -23 less 1Q. Q2 = H1 - Q1. Source: Xerox Holdings 10-Q for period ended 2024-06-30 (acc. 0001770450-24-000042, xrx-20240630.htm), Condensed Consolidated Statements of Cash Flows (XBRL R6.htm), six months ended column.</t>
      </text>
    </comment>
    <comment ref="T62" authorId="0" shapeId="0">
      <text>
        <t>Purchases of capped calls, 3Q'24: nine-month YTD -23 less H1. Q3 = 9M - H1. Source: Xerox Holdings 10-Q for period ended 2024-09-30 (acc. 0001770450-24-000050, xrx-20240930.htm), Condensed Consolidated Statements of Cash Flows (XBRL R6.htm), nine months ended column.</t>
      </text>
    </comment>
    <comment ref="U62" authorId="0" shapeId="0">
      <text>
        <t>4Q'24 derived = FY2024 (10-K, acc. 0001770450-25-000010) less 9M YTD (3Q'24 10-Q, acc. 0001770450-24-000050).</t>
      </text>
    </comment>
    <comment ref="V62" authorId="0" shapeId="0">
      <text>
        <t>Purchases of capped calls, 1Q'25: 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2" authorId="0" shapeId="0">
      <text>
        <t>Purchases of capped calls, 2Q'25: six-month YTD 0 less 1Q. Q2 = H1 - Q1. Source: Xerox Holdings 10-Q for period ended 2025-06-30 (acc. 0001628280-25-038980, xrx-20250630.htm), Condensed Consolidated Statements of Cash Flows (XBRL R6.htm), six months ended column.</t>
      </text>
    </comment>
    <comment ref="X62" authorId="0" shapeId="0">
      <text>
        <t>Purchases of capped calls, 3Q'25: nine-month YTD 0 less H1. Q3 = 9M - H1. Source: Xerox Holdings 10-Q for period ended 2025-09-30 (acc. 0001770450-25-000037, xrx-20250930.htm), Condensed Consolidated Statements of Cash Flows (XBRL R6.htm), nine months ended column.</t>
      </text>
    </comment>
    <comment ref="Y62" authorId="0" shapeId="0">
      <text>
        <t>4Q'25 derived = FY2025 (10-K, acc. 0001770450-26-000009) less 9M YTD (3Q'25 10-Q, acc. 0001770450-25-000037).</t>
      </text>
    </comment>
    <comment ref="AF62" authorId="0" shapeId="0">
      <text>
        <t>Purchases of capped calls, FY2024: -23. Source: Xerox Holdings 10-K for period ended 2024-12-31 (acc. 0001770450-25-000010, xrx-20241231.htm), Condensed Consolidated Statements of Cash Flows (XBRL R7.htm), twelve months ended column.</t>
      </text>
    </comment>
    <comment ref="AG62" authorId="0" shapeId="0">
      <text>
        <t>Purchases of capped calls, FY2025: 0. Source: Xerox Holdings 10-K for period ended 2025-12-31 (acc. 0001770450-26-000009, xrx-20251231.htm), Condensed Consolidated Statements of Cash Flows (XBRL R7.htm), twelve months ended column.</t>
      </text>
    </comment>
    <comment ref="F63" authorId="0" shapeId="0">
      <text>
        <t>Dividends, 1Q'21: -54.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3" authorId="0" shapeId="0">
      <text>
        <t>Dividends, 2Q'21: six-month YTD -108 less 1Q. Q2 = H1 - Q1. Source: Xerox Holdings 10-Q for period ended 2021-06-30 (acc. 0001770450-21-000036, xrx-20210630.htm), Condensed Consolidated Statements of Cash Flows (XBRL R6.htm), six months ended column.</t>
      </text>
    </comment>
    <comment ref="H63" authorId="0" shapeId="0">
      <text>
        <t>Dividends, 3Q'21: nine-month YTD -157 less H1. Q3 = 9M - H1. Source: Xerox Holdings 10-Q for period ended 2021-09-30 (acc. 0001770450-21-000050, xrx-20210930.htm), Condensed Consolidated Statements of Cash Flows (XBRL R6.htm), nine months ended column.</t>
      </text>
    </comment>
    <comment ref="I63" authorId="0" shapeId="0">
      <text>
        <t>4Q'21 derived = FY2021 (10-K, acc. 0001770450-22-000010) less 9M YTD (3Q'21 10-Q, acc. 0001770450-21-000050).</t>
      </text>
    </comment>
    <comment ref="J63" authorId="0" shapeId="0">
      <text>
        <t>Dividends, 1Q'22: -46.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3" authorId="0" shapeId="0">
      <text>
        <t>Dividends, 2Q'22: six-month YTD -88 less 1Q. Q2 = H1 - Q1. Source: Xerox Holdings 10-Q for period ended 2022-06-30 (acc. 0001770450-22-000030, xrx-20220630.htm), Condensed Consolidated Statements of Cash Flows (XBRL R6.htm), six months ended column.</t>
      </text>
    </comment>
    <comment ref="L63" authorId="0" shapeId="0">
      <text>
        <t>Dividends, 3Q'22: nine-month YTD -131 less H1. Q3 = 9M - H1. Source: Xerox Holdings 10-Q for period ended 2022-09-30 (acc. 0001770450-22-000041, xrx-20220930.htm), Condensed Consolidated Statements of Cash Flows (XBRL R6.htm), nine months ended column.</t>
      </text>
    </comment>
    <comment ref="M63" authorId="0" shapeId="0">
      <text>
        <t>4Q'22 derived = FY2022 (10-K, acc. 0001770450-23-000011) less 9M YTD (3Q'22 10-Q, acc. 0001770450-22-000041).</t>
      </text>
    </comment>
    <comment ref="N63" authorId="0" shapeId="0">
      <text>
        <t>Dividends, 1Q'23: -45.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3" authorId="0" shapeId="0">
      <text>
        <t>Dividends, 2Q'23: six-month YTD -88 less 1Q. Q2 = H1 - Q1. Source: Xerox Holdings 10-Q for period ended 2023-06-30 (acc. 0001770450-23-000042, xrx-20230630.htm), Condensed Consolidated Statements of Cash Flows (XBRL R6.htm), six months ended column.</t>
      </text>
    </comment>
    <comment ref="P63" authorId="0" shapeId="0">
      <text>
        <t>Dividends, 3Q'23: nine-month YTD -131 less H1. Q3 = 9M - H1. Source: Xerox Holdings 10-Q for period ended 2023-09-30 (acc. 0001770450-23-000050, xrx-20230930.htm), Condensed Consolidated Statements of Cash Flows (XBRL R6.htm), nine months ended column.</t>
      </text>
    </comment>
    <comment ref="Q63" authorId="0" shapeId="0">
      <text>
        <t>4Q'23 derived = FY2023 (10-K, acc. 0001770450-24-000012) less 9M YTD (3Q'23 10-Q, acc. 0001770450-23-000050).</t>
      </text>
    </comment>
    <comment ref="R63" authorId="0" shapeId="0">
      <text>
        <t>Dividends, 1Q'24: -37.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3" authorId="0" shapeId="0">
      <text>
        <t>Dividends, 2Q'24: six-month YTD -71 less 1Q. Q2 = H1 - Q1. Source: Xerox Holdings 10-Q for period ended 2024-06-30 (acc. 0001770450-24-000042, xrx-20240630.htm), Condensed Consolidated Statements of Cash Flows (XBRL R6.htm), six months ended column.</t>
      </text>
    </comment>
    <comment ref="T63" authorId="0" shapeId="0">
      <text>
        <t>Dividends, 3Q'24: nine-month YTD -107 less H1. Q3 = 9M - H1. Source: Xerox Holdings 10-Q for period ended 2024-09-30 (acc. 0001770450-24-000050, xrx-20240930.htm), Condensed Consolidated Statements of Cash Flows (XBRL R6.htm), nine months ended column.</t>
      </text>
    </comment>
    <comment ref="U63" authorId="0" shapeId="0">
      <text>
        <t>4Q'24 derived = FY2024 (10-K, acc. 0001770450-25-000010) less 9M YTD (3Q'24 10-Q, acc. 0001770450-24-000050).</t>
      </text>
    </comment>
    <comment ref="V63" authorId="0" shapeId="0">
      <text>
        <t>Dividends, 1Q'25: -39.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3" authorId="0" shapeId="0">
      <text>
        <t>Dividends, 2Q'25: six-month YTD -58 less 1Q. Q2 = H1 - Q1. Source: Xerox Holdings 10-Q for period ended 2025-06-30 (acc. 0001628280-25-038980, xrx-20250630.htm), Condensed Consolidated Statements of Cash Flows (XBRL R6.htm), six months ended column.</t>
      </text>
    </comment>
    <comment ref="X63" authorId="0" shapeId="0">
      <text>
        <t>Dividends, 3Q'25: nine-month YTD -65 less H1. Q3 = 9M - H1. Source: Xerox Holdings 10-Q for period ended 2025-09-30 (acc. 0001770450-25-000037, xrx-20250930.htm), Condensed Consolidated Statements of Cash Flows (XBRL R6.htm), nine months ended column.</t>
      </text>
    </comment>
    <comment ref="Y63" authorId="0" shapeId="0">
      <text>
        <t>4Q'25 derived = FY2025 (10-K, acc. 0001770450-26-000009) less 9M YTD (3Q'25 10-Q, acc. 0001770450-25-000037).</t>
      </text>
    </comment>
    <comment ref="Z63" authorId="0" shapeId="0">
      <text>
        <t>Dividends, 1Q'26: -10.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63" authorId="0" shapeId="0">
      <text>
        <t>Dividends, 2Q'26: six-month YTD -16 less 1Q. Q2 = H1 - Q1. Source: Xerox Holdings 10-Q for period ended 2026-06-30 (acc. 0001770450-26-000040, xrx-20260630.htm), Condensed Consolidated Statements of Cash Flows (XBRL R6.htm), six months ended column.</t>
      </text>
    </comment>
    <comment ref="AC63" authorId="0" shapeId="0">
      <text>
        <t>Dividends, FY2021: -206. Source: Xerox Holdings 10-K for period ended 2021-12-31 (acc. 0001770450-22-000010, xrx-20211231.htm), Condensed Consolidated Statements of Cash Flows (XBRL R7.htm), twelve months ended column.</t>
      </text>
    </comment>
    <comment ref="AD63" authorId="0" shapeId="0">
      <text>
        <t>Dividends, FY2022: -174. Source: Xerox Holdings 10-K for period ended 2022-12-31 (acc. 0001770450-23-000011, xrx-20221231.htm), Condensed Consolidated Statements of Cash Flows (XBRL R7.htm), twelve months ended column.</t>
      </text>
    </comment>
    <comment ref="AE63" authorId="0" shapeId="0">
      <text>
        <t>Dividends, FY2023: -165. Source: Xerox Holdings 10-K for period ended 2023-12-31 (acc. 0001770450-24-000012, xrx-20231231.htm), Condensed Consolidated Statements of Cash Flows (XBRL R7.htm), twelve months ended column.</t>
      </text>
    </comment>
    <comment ref="AF63" authorId="0" shapeId="0">
      <text>
        <t>Dividends, FY2024: -141. Source: Xerox Holdings 10-K for period ended 2024-12-31 (acc. 0001770450-25-000010, xrx-20241231.htm), Condensed Consolidated Statements of Cash Flows (XBRL R7.htm), twelve months ended column.</t>
      </text>
    </comment>
    <comment ref="AG63" authorId="0" shapeId="0">
      <text>
        <t>Dividends, FY2025: -71. Source: Xerox Holdings 10-K for period ended 2025-12-31 (acc. 0001770450-26-000009, xrx-20251231.htm), Condensed Consolidated Statements of Cash Flows (XBRL R7.htm), twelve months ended column.</t>
      </text>
    </comment>
    <comment ref="F64" authorId="0" shapeId="0">
      <text>
        <t>Payments to acquire treasury stock, including fees, 1Q'21: -162.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4" authorId="0" shapeId="0">
      <text>
        <t>Payments to acquire treasury stock, including fees, 2Q'21: six-month YTD -413 less 1Q. Q2 = H1 - Q1. Source: Xerox Holdings 10-Q for period ended 2021-06-30 (acc. 0001770450-21-000036, xrx-20210630.htm), Condensed Consolidated Statements of Cash Flows (XBRL R6.htm), six months ended column.</t>
      </text>
    </comment>
    <comment ref="H64" authorId="0" shapeId="0">
      <text>
        <t>Payments to acquire treasury stock, including fees, 3Q'21: nine-month YTD -500 less H1. Q3 = 9M - H1. Source: Xerox Holdings 10-Q for period ended 2021-09-30 (acc. 0001770450-21-000050, xrx-20210930.htm), Condensed Consolidated Statements of Cash Flows (XBRL R6.htm), nine months ended column.</t>
      </text>
    </comment>
    <comment ref="I64" authorId="0" shapeId="0">
      <text>
        <t>4Q'21 derived = FY2021 (10-K, acc. 0001770450-22-000010) less 9M YTD (3Q'21 10-Q, acc. 0001770450-21-000050).</t>
      </text>
    </comment>
    <comment ref="J64" authorId="0" shapeId="0">
      <text>
        <t>Payments to acquire treasury stock, including fees, 1Q'22: -113.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4" authorId="0" shapeId="0">
      <text>
        <t>Payments to acquire treasury stock, including fees, 2Q'22: six-month YTD -113 less 1Q. Q2 = H1 - Q1. Source: Xerox Holdings 10-Q for period ended 2022-06-30 (acc. 0001770450-22-000030, xrx-20220630.htm), Condensed Consolidated Statements of Cash Flows (XBRL R6.htm), six months ended column.</t>
      </text>
    </comment>
    <comment ref="L64" authorId="0" shapeId="0">
      <text>
        <t>Payments to acquire treasury stock, including fees, 3Q'22: nine-month YTD -113 less H1. Q3 = 9M - H1. Source: Xerox Holdings 10-Q for period ended 2022-09-30 (acc. 0001770450-22-000041, xrx-20220930.htm), Condensed Consolidated Statements of Cash Flows (XBRL R6.htm), nine months ended column.</t>
      </text>
    </comment>
    <comment ref="M64" authorId="0" shapeId="0">
      <text>
        <t>4Q'22 derived = FY2022 (10-K, acc. 0001770450-23-000011) less 9M YTD (3Q'22 10-Q, acc. 0001770450-22-000041).</t>
      </text>
    </comment>
    <comment ref="N64" authorId="0" shapeId="0">
      <text>
        <t>Payments to acquire treasury stock, including fees, 1Q'23: 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4" authorId="0" shapeId="0">
      <text>
        <t>Payments to acquire treasury stock, including fees, 2Q'23: six-month YTD 0 less 1Q. Q2 = H1 - Q1. Source: Xerox Holdings 10-Q for period ended 2023-06-30 (acc. 0001770450-23-000042, xrx-20230630.htm), Condensed Consolidated Statements of Cash Flows (XBRL R6.htm), six months ended column.</t>
      </text>
    </comment>
    <comment ref="P64" authorId="0" shapeId="0">
      <text>
        <t>Payments to acquire treasury stock, including fees, 3Q'23: nine-month YTD -544 less H1. Q3 = 9M - H1. Source: Xerox Holdings 10-Q for period ended 2023-09-30 (acc. 0001770450-23-000050, xrx-20230930.htm), Condensed Consolidated Statements of Cash Flows (XBRL R6.htm), nine months ended column.</t>
      </text>
    </comment>
    <comment ref="Q64" authorId="0" shapeId="0">
      <text>
        <t>4Q'23 derived = FY2023 (10-K, acc. 0001770450-24-000012) less 9M YTD (3Q'23 10-Q, acc. 0001770450-23-000050).</t>
      </text>
    </comment>
    <comment ref="R64" authorId="0" shapeId="0">
      <text>
        <t>Payments to acquire treasury stock, including fees, 1Q'24: -3.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4" authorId="0" shapeId="0">
      <text>
        <t>Payments to acquire treasury stock, including fees, 2Q'24: six-month YTD -3 less 1Q. Q2 = H1 - Q1. Source: Xerox Holdings 10-Q for period ended 2024-06-30 (acc. 0001770450-24-000042, xrx-20240630.htm), Condensed Consolidated Statements of Cash Flows (XBRL R6.htm), six months ended column.</t>
      </text>
    </comment>
    <comment ref="T64" authorId="0" shapeId="0">
      <text>
        <t>Payments to acquire treasury stock, including fees, 3Q'24: nine-month YTD -3 less H1. Q3 = 9M - H1. Source: Xerox Holdings 10-Q for period ended 2024-09-30 (acc. 0001770450-24-000050, xrx-20240930.htm), Condensed Consolidated Statements of Cash Flows (XBRL R6.htm), nine months ended column.</t>
      </text>
    </comment>
    <comment ref="U64" authorId="0" shapeId="0">
      <text>
        <t>4Q'24 derived = FY2024 (10-K, acc. 0001770450-25-000010) less 9M YTD (3Q'24 10-Q, acc. 0001770450-24-000050).</t>
      </text>
    </comment>
    <comment ref="V64" authorId="0" shapeId="0">
      <text>
        <t>Payments to acquire treasury stock, including fees, 1Q'25: 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4" authorId="0" shapeId="0">
      <text>
        <t>Payments to acquire treasury stock, including fees, 2Q'25: six-month YTD 0 less 1Q. Q2 = H1 - Q1. Source: Xerox Holdings 10-Q for period ended 2025-06-30 (acc. 0001628280-25-038980, xrx-20250630.htm), Condensed Consolidated Statements of Cash Flows (XBRL R6.htm), six months ended column.</t>
      </text>
    </comment>
    <comment ref="X64" authorId="0" shapeId="0">
      <text>
        <t>Payments to acquire treasury stock, including fees, 3Q'25: nine-month YTD 0 less H1. Q3 = 9M - H1. Source: Xerox Holdings 10-Q for period ended 2025-09-30 (acc. 0001770450-25-000037, xrx-20250930.htm), Condensed Consolidated Statements of Cash Flows (XBRL R6.htm), nine months ended column.</t>
      </text>
    </comment>
    <comment ref="Y64" authorId="0" shapeId="0">
      <text>
        <t>4Q'25 derived = FY2025 (10-K, acc. 0001770450-26-000009) less 9M YTD (3Q'25 10-Q, acc. 0001770450-25-000037).</t>
      </text>
    </comment>
    <comment ref="AC64" authorId="0" shapeId="0">
      <text>
        <t>Payments to acquire treasury stock, including fees, FY2021: -888. Source: Xerox Holdings 10-K for period ended 2021-12-31 (acc. 0001770450-22-000010, xrx-20211231.htm), Condensed Consolidated Statements of Cash Flows (XBRL R7.htm), twelve months ended column.</t>
      </text>
    </comment>
    <comment ref="AD64" authorId="0" shapeId="0">
      <text>
        <t>Payments to acquire treasury stock, including fees, FY2022: -113. Source: Xerox Holdings 10-K for period ended 2022-12-31 (acc. 0001770450-23-000011, xrx-20221231.htm), Condensed Consolidated Statements of Cash Flows (XBRL R7.htm), twelve months ended column.</t>
      </text>
    </comment>
    <comment ref="AE64" authorId="0" shapeId="0">
      <text>
        <t>Payments to acquire treasury stock, including fees, FY2023: -544. Source: Xerox Holdings 10-K for period ended 2023-12-31 (acc. 0001770450-24-000012, xrx-20231231.htm), Condensed Consolidated Statements of Cash Flows (XBRL R7.htm), twelve months ended column.</t>
      </text>
    </comment>
    <comment ref="AF64" authorId="0" shapeId="0">
      <text>
        <t>Payments to acquire treasury stock, including fees, FY2024: -8. Source: Xerox Holdings 10-K for period ended 2024-12-31 (acc. 0001770450-25-000010, xrx-20241231.htm), Condensed Consolidated Statements of Cash Flows (XBRL R7.htm), twelve months ended column.</t>
      </text>
    </comment>
    <comment ref="AG64" authorId="0" shapeId="0">
      <text>
        <t>Payments to acquire treasury stock, including fees, FY2025: 0. Source: Xerox Holdings 10-K for period ended 2025-12-31 (acc. 0001770450-26-000009, xrx-20251231.htm), Condensed Consolidated Statements of Cash Flows (XBRL R7.htm), twelve months ended column.</t>
      </text>
    </comment>
    <comment ref="F65" authorId="0" shapeId="0">
      <text>
        <t>Other financing, net, 1Q'21: -7.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5" authorId="0" shapeId="0">
      <text>
        <t>Other financing, net, 2Q'21: six-month YTD -17 less 1Q. Q2 = H1 - Q1. Source: Xerox Holdings 10-Q for period ended 2021-06-30 (acc. 0001770450-21-000036, xrx-20210630.htm), Condensed Consolidated Statements of Cash Flows (XBRL R6.htm), six months ended column.</t>
      </text>
    </comment>
    <comment ref="H65" authorId="0" shapeId="0">
      <text>
        <t>Other financing, net, 3Q'21: nine-month YTD -3 less H1. Q3 = 9M - H1. Source: Xerox Holdings 10-Q for period ended 2021-09-30 (acc. 0001770450-21-000050, xrx-20210930.htm), Condensed Consolidated Statements of Cash Flows (XBRL R6.htm), nine months ended column.</t>
      </text>
    </comment>
    <comment ref="I65" authorId="0" shapeId="0">
      <text>
        <t>4Q'21 derived = FY2021 (10-K, acc. 0001770450-22-000010) less 9M YTD (3Q'21 10-Q, acc. 0001770450-21-000050).</t>
      </text>
    </comment>
    <comment ref="J65" authorId="0" shapeId="0">
      <text>
        <t>Other financing, net, 1Q'22: -12.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5" authorId="0" shapeId="0">
      <text>
        <t>Other financing, net, 2Q'22: six-month YTD -7 less 1Q. Q2 = H1 - Q1. Source: Xerox Holdings 10-Q for period ended 2022-06-30 (acc. 0001770450-22-000030, xrx-20220630.htm), Condensed Consolidated Statements of Cash Flows (XBRL R6.htm), six months ended column.</t>
      </text>
    </comment>
    <comment ref="L65" authorId="0" shapeId="0">
      <text>
        <t>Other financing, net, 3Q'22: nine-month YTD -6 less H1. Q3 = 9M - H1. Source: Xerox Holdings 10-Q for period ended 2022-09-30 (acc. 0001770450-22-000041, xrx-20220930.htm), Condensed Consolidated Statements of Cash Flows (XBRL R6.htm), nine months ended column.</t>
      </text>
    </comment>
    <comment ref="M65" authorId="0" shapeId="0">
      <text>
        <t>4Q'22 derived = FY2022 (10-K, acc. 0001770450-23-000011) less 9M YTD (3Q'22 10-Q, acc. 0001770450-22-000041).</t>
      </text>
    </comment>
    <comment ref="N65" authorId="0" shapeId="0">
      <text>
        <t>Other financing, net, 1Q'23: -8.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5" authorId="0" shapeId="0">
      <text>
        <t>Other financing, net, 2Q'23: six-month YTD -11 less 1Q. Q2 = H1 - Q1. Source: Xerox Holdings 10-Q for period ended 2023-06-30 (acc. 0001770450-23-000042, xrx-20230630.htm), Condensed Consolidated Statements of Cash Flows (XBRL R6.htm), six months ended column.</t>
      </text>
    </comment>
    <comment ref="P65" authorId="0" shapeId="0">
      <text>
        <t>Other financing, net, 3Q'23: nine-month YTD -13 less H1. Q3 = 9M - H1. Source: Xerox Holdings 10-Q for period ended 2023-09-30 (acc. 0001770450-23-000050, xrx-20230930.htm), Condensed Consolidated Statements of Cash Flows (XBRL R6.htm), nine months ended column.</t>
      </text>
    </comment>
    <comment ref="Q65" authorId="0" shapeId="0">
      <text>
        <t>4Q'23 derived = FY2023 (10-K, acc. 0001770450-24-000012) less 9M YTD (3Q'23 10-Q, acc. 0001770450-23-000050).</t>
      </text>
    </comment>
    <comment ref="R65" authorId="0" shapeId="0">
      <text>
        <t>Other financing, net, 1Q'24: -11.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5" authorId="0" shapeId="0">
      <text>
        <t>Other financing, net, 2Q'24: six-month YTD -13 less 1Q. Q2 = H1 - Q1. Source: Xerox Holdings 10-Q for period ended 2024-06-30 (acc. 0001770450-24-000042, xrx-20240630.htm), Condensed Consolidated Statements of Cash Flows (XBRL R6.htm), six months ended column.</t>
      </text>
    </comment>
    <comment ref="T65" authorId="0" shapeId="0">
      <text>
        <t>Other financing, net, 3Q'24: nine-month YTD -9 less H1. Q3 = 9M - H1. Source: Xerox Holdings 10-Q for period ended 2024-09-30 (acc. 0001770450-24-000050, xrx-20240930.htm), Condensed Consolidated Statements of Cash Flows (XBRL R6.htm), nine months ended column.</t>
      </text>
    </comment>
    <comment ref="U65" authorId="0" shapeId="0">
      <text>
        <t>4Q'24 derived = FY2024 (10-K, acc. 0001770450-25-000010) less 9M YTD (3Q'24 10-Q, acc. 0001770450-24-000050).</t>
      </text>
    </comment>
    <comment ref="V65" authorId="0" shapeId="0">
      <text>
        <t>Other financing, net, 1Q'25: -16.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5" authorId="0" shapeId="0">
      <text>
        <t>Other financing, net, 2Q'25: six-month YTD -29 less 1Q. Q2 = H1 - Q1. Source: Xerox Holdings 10-Q for period ended 2025-06-30 (acc. 0001628280-25-038980, xrx-20250630.htm), Condensed Consolidated Statements of Cash Flows (XBRL R6.htm), six months ended column.</t>
      </text>
    </comment>
    <comment ref="X65" authorId="0" shapeId="0">
      <text>
        <t>Other financing, net, 3Q'25: nine-month YTD -28 less H1. Q3 = 9M - H1. Source: Xerox Holdings 10-Q for period ended 2025-09-30 (acc. 0001770450-25-000037, xrx-20250930.htm), Condensed Consolidated Statements of Cash Flows (XBRL R6.htm), nine months ended column.</t>
      </text>
    </comment>
    <comment ref="Y65" authorId="0" shapeId="0">
      <text>
        <t>4Q'25 derived = FY2025 (10-K, acc. 0001770450-26-000009) less 9M YTD (3Q'25 10-Q, acc. 0001770450-25-000037).</t>
      </text>
    </comment>
    <comment ref="Z65" authorId="0" shapeId="0">
      <text>
        <t>Other financing, net, 1Q'26: -3.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65" authorId="0" shapeId="0">
      <text>
        <t>Other financing, net, 2Q'26: six-month YTD -6 less 1Q. Q2 = H1 - Q1. Source: Xerox Holdings 10-Q for period ended 2026-06-30 (acc. 0001770450-26-000040, xrx-20260630.htm), Condensed Consolidated Statements of Cash Flows (XBRL R6.htm), six months ended column.</t>
      </text>
    </comment>
    <comment ref="AC65" authorId="0" shapeId="0">
      <text>
        <t>Other financing, net, FY2021: -8. Source: Xerox Holdings 10-K for period ended 2021-12-31 (acc. 0001770450-22-000010, xrx-20211231.htm), Condensed Consolidated Statements of Cash Flows (XBRL R7.htm), twelve months ended column.</t>
      </text>
    </comment>
    <comment ref="AD65" authorId="0" shapeId="0">
      <text>
        <t>Other financing, net, FY2022: -6. Source: Xerox Holdings 10-K for period ended 2022-12-31 (acc. 0001770450-23-000011, xrx-20221231.htm), Condensed Consolidated Statements of Cash Flows (XBRL R7.htm), twelve months ended column.</t>
      </text>
    </comment>
    <comment ref="AE65" authorId="0" shapeId="0">
      <text>
        <t>Other financing, net, FY2023: -15. Source: Xerox Holdings 10-K for period ended 2023-12-31 (acc. 0001770450-24-000012, xrx-20231231.htm), Condensed Consolidated Statements of Cash Flows (XBRL R7.htm), twelve months ended column.</t>
      </text>
    </comment>
    <comment ref="AF65" authorId="0" shapeId="0">
      <text>
        <t>Other financing, net, FY2024: -14. Source: Xerox Holdings 10-K for period ended 2024-12-31 (acc. 0001770450-25-000010, xrx-20241231.htm), Condensed Consolidated Statements of Cash Flows (XBRL R7.htm), twelve months ended column.</t>
      </text>
    </comment>
    <comment ref="AG65" authorId="0" shapeId="0">
      <text>
        <t>Other financing, net, FY2025: -29. Source: Xerox Holdings 10-K for period ended 2025-12-31 (acc. 0001770450-26-000009, xrx-20251231.htm), Condensed Consolidated Statements of Cash Flows (XBRL R7.htm), twelve months ended column.</t>
      </text>
    </comment>
    <comment ref="F67" authorId="0" shapeId="0">
      <text>
        <t>Reported net cash provided by (used in) financing activities, 1Q'21: -318. Source: Xerox Holdings 10-Q for period ended 2021-03-31 (acc. 0001770450-21-000025, xrx-20210331.htm), Condensed Consolidated Statements of Cash Flows (XBRL R6.htm), three months ended column.</t>
      </text>
    </comment>
    <comment ref="G67" authorId="0" shapeId="0">
      <text>
        <t>Reported net cash provided by (used in) financing activities, 2Q'21: YTD -747 less prior YTD -318. Source: Xerox Holdings 10-Q for period ended 2021-06-30 (acc. 0001770450-21-000036, xrx-20210630.htm), Condensed Consolidated Statements of Cash Flows (XBRL R6.htm), six months ended column.</t>
      </text>
    </comment>
    <comment ref="H67" authorId="0" shapeId="0">
      <text>
        <t>Reported net cash provided by (used in) financing activities, 3Q'21: YTD -793 less prior YTD -747. Source: Xerox Holdings 10-Q for period ended 2021-09-30 (acc. 0001770450-21-000050, xrx-20210930.htm), Condensed Consolidated Statements of Cash Flows (XBRL R6.htm), nine months ended column.</t>
      </text>
    </comment>
    <comment ref="I67" authorId="0" shapeId="0">
      <text>
        <t>Reported net cash provided by (used in) financing activities, 4Q'21: YTD -1310 less prior YTD -793. Source: Xerox Holdings 10-K for period ended 2021-12-31 (acc. 0001770450-22-000010, xrx-20211231.htm), Condensed Consolidated Statements of Cash Flows (XBRL R7.htm), twelve months ended column.</t>
      </text>
    </comment>
    <comment ref="J67" authorId="0" shapeId="0">
      <text>
        <t>Reported net cash provided by (used in) financing activities, 1Q'22: -149. Source: Xerox Holdings 10-Q for period ended 2022-03-31 (acc. 0001770450-22-000020, xrx-20220331.htm), Condensed Consolidated Statements of Cash Flows (XBRL R6.htm), three months ended column.</t>
      </text>
    </comment>
    <comment ref="K67" authorId="0" shapeId="0">
      <text>
        <t>Reported net cash provided by (used in) financing activities, 2Q'22: YTD -587 less prior YTD -149. Source: Xerox Holdings 10-Q for period ended 2022-06-30 (acc. 0001770450-22-000030, xrx-20220630.htm), Condensed Consolidated Statements of Cash Flows (XBRL R6.htm), six months ended column.</t>
      </text>
    </comment>
    <comment ref="L67" authorId="0" shapeId="0">
      <text>
        <t>Reported net cash provided by (used in) financing activities, 3Q'22: YTD -755 less prior YTD -587. Source: Xerox Holdings 10-Q for period ended 2022-09-30 (acc. 0001770450-22-000041, xrx-20220930.htm), Condensed Consolidated Statements of Cash Flows (XBRL R6.htm), nine months ended column.</t>
      </text>
    </comment>
    <comment ref="M67" authorId="0" shapeId="0">
      <text>
        <t>Reported net cash provided by (used in) financing activities, 4Q'22: YTD -822 less prior YTD -755. Source: Xerox Holdings 10-K for period ended 2022-12-31 (acc. 0001770450-23-000011, xrx-20221231.htm), Condensed Consolidated Statements of Cash Flows (XBRL R7.htm), twelve months ended column.</t>
      </text>
    </comment>
    <comment ref="N67" authorId="0" shapeId="0">
      <text>
        <t>Reported net cash provided by (used in) financing activities, 1Q'23: -505. Source: Xerox Holdings 10-Q for period ended 2023-03-31 (acc. 0001770450-23-000032, xrx-20230331.htm), Condensed Consolidated Statements of Cash Flows (XBRL R6.htm), three months ended column.</t>
      </text>
    </comment>
    <comment ref="O67" authorId="0" shapeId="0">
      <text>
        <t>Reported net cash provided by (used in) financing activities, 2Q'23: YTD -725 less prior YTD -505. Source: Xerox Holdings 10-Q for period ended 2023-06-30 (acc. 0001770450-23-000042, xrx-20230630.htm), Condensed Consolidated Statements of Cash Flows (XBRL R6.htm), six months ended column.</t>
      </text>
    </comment>
    <comment ref="P67" authorId="0" shapeId="0">
      <text>
        <t>Reported net cash provided by (used in) financing activities, 3Q'23: YTD -819 less prior YTD -725. Source: Xerox Holdings 10-Q for period ended 2023-09-30 (acc. 0001770450-23-000050, xrx-20230930.htm), Condensed Consolidated Statements of Cash Flows (XBRL R6.htm), nine months ended column.</t>
      </text>
    </comment>
    <comment ref="Q67" authorId="0" shapeId="0">
      <text>
        <t>Reported net cash provided by (used in) financing activities, 4Q'23: YTD -1202 less prior YTD -819. Source: Xerox Holdings 10-K for period ended 2023-12-31 (acc. 0001770450-24-000012, xrx-20231231.htm), Condensed Consolidated Statements of Cash Flows (XBRL R7.htm), twelve months ended column.</t>
      </text>
    </comment>
    <comment ref="R67" authorId="0" shapeId="0">
      <text>
        <t>Reported net cash provided by (used in) financing activities, 1Q'24: 261. Source: Xerox Holdings 10-Q for period ended 2024-03-31 (acc. 0001770450-24-000031, xrx-20240331.htm), Condensed Consolidated Statements of Cash Flows (XBRL R6.htm), three months ended column.</t>
      </text>
    </comment>
    <comment ref="S67" authorId="0" shapeId="0">
      <text>
        <t>Reported net cash provided by (used in) financing activities, 2Q'24: YTD -75 less prior YTD 261. Source: Xerox Holdings 10-Q for period ended 2024-06-30 (acc. 0001770450-24-000042, xrx-20240630.htm), Condensed Consolidated Statements of Cash Flows (XBRL R6.htm), six months ended column.</t>
      </text>
    </comment>
    <comment ref="T67" authorId="0" shapeId="0">
      <text>
        <t>Reported net cash provided by (used in) financing activities, 3Q'24: YTD -149 less prior YTD -75. Source: Xerox Holdings 10-Q for period ended 2024-09-30 (acc. 0001770450-24-000050, xrx-20240930.htm), Condensed Consolidated Statements of Cash Flows (XBRL R6.htm), nine months ended column.</t>
      </text>
    </comment>
    <comment ref="U67" authorId="0" shapeId="0">
      <text>
        <t>Reported net cash provided by (used in) financing activities, 4Q'24: YTD -271 less prior YTD -149. Source: Xerox Holdings 10-K for period ended 2024-12-31 (acc. 0001770450-25-000010, xrx-20241231.htm), Condensed Consolidated Statements of Cash Flows (XBRL R7.htm), twelve months ended column.</t>
      </text>
    </comment>
    <comment ref="V67" authorId="0" shapeId="0">
      <text>
        <t>Reported net cash provided by (used in) financing activities, 1Q'25: -159. Source: Xerox Holdings 10-Q for period ended 2025-03-31 (acc. 0001770450-25-000026, xrx-20250331.htm), Condensed Consolidated Statements of Cash Flows (XBRL R6.htm), three months ended column.</t>
      </text>
    </comment>
    <comment ref="W67" authorId="0" shapeId="0">
      <text>
        <t>Reported net cash provided by (used in) financing activities, 2Q'25: YTD 459 less prior YTD -159. Source: Xerox Holdings 10-Q for period ended 2025-06-30 (acc. 0001628280-25-038980, xrx-20250630.htm), Condensed Consolidated Statements of Cash Flows (XBRL R6.htm), six months ended column.</t>
      </text>
    </comment>
    <comment ref="X67" authorId="0" shapeId="0">
      <text>
        <t>Reported net cash provided by (used in) financing activities, 3Q'25: YTD 577 less prior YTD 459. Source: Xerox Holdings 10-Q for period ended 2025-09-30 (acc. 0001770450-25-000037, xrx-20250930.htm), Condensed Consolidated Statements of Cash Flows (XBRL R6.htm), nine months ended column.</t>
      </text>
    </comment>
    <comment ref="Y67" authorId="0" shapeId="0">
      <text>
        <t>Reported net cash provided by (used in) financing activities, 4Q'25: YTD 404 less prior YTD 577. Source: Xerox Holdings 10-K for period ended 2025-12-31 (acc. 0001770450-26-000009, xrx-20251231.htm), Condensed Consolidated Statements of Cash Flows (XBRL R7.htm), twelve months ended column.</t>
      </text>
    </comment>
    <comment ref="Z67" authorId="0" shapeId="0">
      <text>
        <t>Reported net cash provided by (used in) financing activities, 1Q'26: 242. Source: Xerox Holdings 10-Q for period ended 2026-03-31 (acc. 0001770450-26-000030, xrx-20260331.htm), Condensed Consolidated Statements of Cash Flows (XBRL R6.htm), three months ended column.</t>
      </text>
    </comment>
    <comment ref="AA67" authorId="0" shapeId="0">
      <text>
        <t>Reported net cash provided by (used in) financing activities, 2Q'26: YTD 128 less prior YTD 242. Source: Xerox Holdings 10-Q for period ended 2026-06-30 (acc. 0001770450-26-000040, xrx-20260630.htm), Condensed Consolidated Statements of Cash Flows (XBRL R6.htm), six months ended column.</t>
      </text>
    </comment>
    <comment ref="AC67" authorId="0" shapeId="0">
      <text>
        <t>Reported net cash provided by (used in) financing activities, FY2021: -1310. Source: Xerox Holdings 10-K for period ended 2021-12-31 (acc. 0001770450-22-000010, xrx-20211231.htm), Condensed Consolidated Statements of Cash Flows (XBRL R7.htm), twelve months ended column.</t>
      </text>
    </comment>
    <comment ref="AD67" authorId="0" shapeId="0">
      <text>
        <t>Reported net cash provided by (used in) financing activities, FY2022: -822. Source: Xerox Holdings 10-K for period ended 2022-12-31 (acc. 0001770450-23-000011, xrx-20221231.htm), Condensed Consolidated Statements of Cash Flows (XBRL R7.htm), twelve months ended column.</t>
      </text>
    </comment>
    <comment ref="AE67" authorId="0" shapeId="0">
      <text>
        <t>Reported net cash provided by (used in) financing activities, FY2023: -1202. Source: Xerox Holdings 10-K for period ended 2023-12-31 (acc. 0001770450-24-000012, xrx-20231231.htm), Condensed Consolidated Statements of Cash Flows (XBRL R7.htm), twelve months ended column.</t>
      </text>
    </comment>
    <comment ref="AF67" authorId="0" shapeId="0">
      <text>
        <t>Reported net cash provided by (used in) financing activities, FY2024: -271. Source: Xerox Holdings 10-K for period ended 2024-12-31 (acc. 0001770450-25-000010, xrx-20241231.htm), Condensed Consolidated Statements of Cash Flows (XBRL R7.htm), twelve months ended column.</t>
      </text>
    </comment>
    <comment ref="AG67" authorId="0" shapeId="0">
      <text>
        <t>Reported net cash provided by (used in) financing activities, FY2025: 404. Source: Xerox Holdings 10-K for period ended 2025-12-31 (acc. 0001770450-26-000009, xrx-20251231.htm), Condensed Consolidated Statements of Cash Flows (XBRL R7.htm), twelve months ended column.</t>
      </text>
    </comment>
    <comment ref="F70" authorId="0" shapeId="0">
      <text>
        <t>Effect of exchange rate changes on cash, cash equivalents and restricted cash, 1Q'21: -12.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70" authorId="0" shapeId="0">
      <text>
        <t>Effect of exchange rate changes on cash, cash equivalents and restricted cash, 2Q'21: six-month YTD 0 less 1Q. Q2 = H1 - Q1. Source: Xerox Holdings 10-Q for period ended 2021-06-30 (acc. 0001770450-21-000036, xrx-20210630.htm), Condensed Consolidated Statements of Cash Flows (XBRL R6.htm), six months ended column.</t>
      </text>
    </comment>
    <comment ref="H70" authorId="0" shapeId="0">
      <text>
        <t>Effect of exchange rate changes on cash, cash equivalents and restricted cash, 3Q'21: nine-month YTD -13 less H1. Q3 = 9M - H1. Source: Xerox Holdings 10-Q for period ended 2021-09-30 (acc. 0001770450-21-000050, xrx-20210930.htm), Condensed Consolidated Statements of Cash Flows (XBRL R6.htm), nine months ended column.</t>
      </text>
    </comment>
    <comment ref="I70" authorId="0" shapeId="0">
      <text>
        <t>4Q'21 derived = FY2021 (10-K, acc. 0001770450-22-000010) less 9M YTD (3Q'21 10-Q, acc. 0001770450-21-000050).</t>
      </text>
    </comment>
    <comment ref="J70" authorId="0" shapeId="0">
      <text>
        <t>Effect of exchange rate changes on cash, cash equivalents and restricted cash, 1Q'22: 10.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70" authorId="0" shapeId="0">
      <text>
        <t>Effect of exchange rate changes on cash, cash equivalents and restricted cash, 2Q'22: six-month YTD -14 less 1Q. Q2 = H1 - Q1. Source: Xerox Holdings 10-Q for period ended 2022-06-30 (acc. 0001770450-22-000030, xrx-20220630.htm), Condensed Consolidated Statements of Cash Flows (XBRL R6.htm), six months ended column.</t>
      </text>
    </comment>
    <comment ref="L70" authorId="0" shapeId="0">
      <text>
        <t>Effect of exchange rate changes on cash, cash equivalents and restricted cash, 3Q'22: nine-month YTD -31 less H1. Q3 = 9M - H1. Source: Xerox Holdings 10-Q for period ended 2022-09-30 (acc. 0001770450-22-000041, xrx-20220930.htm), Condensed Consolidated Statements of Cash Flows (XBRL R6.htm), nine months ended column.</t>
      </text>
    </comment>
    <comment ref="M70" authorId="0" shapeId="0">
      <text>
        <t>4Q'22 derived = FY2022 (10-K, acc. 0001770450-23-000011) less 9M YTD (3Q'22 10-Q, acc. 0001770450-22-000041).</t>
      </text>
    </comment>
    <comment ref="N70" authorId="0" shapeId="0">
      <text>
        <t>Effect of exchange rate changes on cash, cash equivalents and restricted cash, 1Q'23: 2.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70" authorId="0" shapeId="0">
      <text>
        <t>Effect of exchange rate changes on cash, cash equivalents and restricted cash, 2Q'23: six-month YTD 4 less 1Q. Q2 = H1 - Q1. Source: Xerox Holdings 10-Q for period ended 2023-06-30 (acc. 0001770450-23-000042, xrx-20230630.htm), Condensed Consolidated Statements of Cash Flows (XBRL R6.htm), six months ended column.</t>
      </text>
    </comment>
    <comment ref="P70" authorId="0" shapeId="0">
      <text>
        <t>Effect of exchange rate changes on cash, cash equivalents and restricted cash, 3Q'23: nine-month YTD -3 less H1. Q3 = 9M - H1. Source: Xerox Holdings 10-Q for period ended 2023-09-30 (acc. 0001770450-23-000050, xrx-20230930.htm), Condensed Consolidated Statements of Cash Flows (XBRL R6.htm), nine months ended column.</t>
      </text>
    </comment>
    <comment ref="Q70" authorId="0" shapeId="0">
      <text>
        <t>4Q'23 derived = FY2023 (10-K, acc. 0001770450-24-000012) less 9M YTD (3Q'23 10-Q, acc. 0001770450-23-000050).</t>
      </text>
    </comment>
    <comment ref="R70" authorId="0" shapeId="0">
      <text>
        <t>Effect of exchange rate changes on cash, cash equivalents and restricted cash, 1Q'24: -10.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70" authorId="0" shapeId="0">
      <text>
        <t>Effect of exchange rate changes on cash, cash equivalents and restricted cash, 2Q'24: six-month YTD -16 less 1Q. Q2 = H1 - Q1. Source: Xerox Holdings 10-Q for period ended 2024-06-30 (acc. 0001770450-24-000042, xrx-20240630.htm), Condensed Consolidated Statements of Cash Flows (XBRL R6.htm), six months ended column.</t>
      </text>
    </comment>
    <comment ref="T70" authorId="0" shapeId="0">
      <text>
        <t>Effect of exchange rate changes on cash, cash equivalents and restricted cash, 3Q'24: nine-month YTD -12 less H1. Q3 = 9M - H1. Source: Xerox Holdings 10-Q for period ended 2024-09-30 (acc. 0001770450-24-000050, xrx-20240930.htm), Condensed Consolidated Statements of Cash Flows (XBRL R6.htm), nine months ended column.</t>
      </text>
    </comment>
    <comment ref="U70" authorId="0" shapeId="0">
      <text>
        <t>4Q'24 derived = FY2024 (10-K, acc. 0001770450-25-000010) less 9M YTD (3Q'24 10-Q, acc. 0001770450-24-000050).</t>
      </text>
    </comment>
    <comment ref="V70" authorId="0" shapeId="0">
      <text>
        <t>Effect of exchange rate changes on cash, cash equivalents and restricted cash, 1Q'25: 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70" authorId="0" shapeId="0">
      <text>
        <t>Effect of exchange rate changes on cash, cash equivalents and restricted cash, 2Q'25: six-month YTD 7 less 1Q. Q2 = H1 - Q1. Source: Xerox Holdings 10-Q for period ended 2025-06-30 (acc. 0001628280-25-038980, xrx-20250630.htm), Condensed Consolidated Statements of Cash Flows (XBRL R6.htm), six months ended column.</t>
      </text>
    </comment>
    <comment ref="X70" authorId="0" shapeId="0">
      <text>
        <t>Effect of exchange rate changes on cash, cash equivalents and restricted cash, 3Q'25: nine-month YTD 5 less H1. Q3 = 9M - H1. Source: Xerox Holdings 10-Q for period ended 2025-09-30 (acc. 0001770450-25-000037, xrx-20250930.htm), Condensed Consolidated Statements of Cash Flows (XBRL R6.htm), nine months ended column.</t>
      </text>
    </comment>
    <comment ref="Y70" authorId="0" shapeId="0">
      <text>
        <t>4Q'25 derived = FY2025 (10-K, acc. 0001770450-26-000009) less 9M YTD (3Q'25 10-Q, acc. 0001770450-25-000037).</t>
      </text>
    </comment>
    <comment ref="Z70" authorId="0" shapeId="0">
      <text>
        <t>Effect of exchange rate changes on cash, cash equivalents and restricted cash, 1Q'26: -2.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70" authorId="0" shapeId="0">
      <text>
        <t>Effect of exchange rate changes on cash, cash equivalents and restricted cash, 2Q'26: six-month YTD -1 less 1Q. Q2 = H1 - Q1. Source: Xerox Holdings 10-Q for period ended 2026-06-30 (acc. 0001770450-26-000040, xrx-20260630.htm), Condensed Consolidated Statements of Cash Flows (XBRL R6.htm), six months ended column.</t>
      </text>
    </comment>
    <comment ref="AC70" authorId="0" shapeId="0">
      <text>
        <t>Effect of exchange rate changes on cash, cash equivalents and restricted cash, FY2021: -16. Source: Xerox Holdings 10-K for period ended 2021-12-31 (acc. 0001770450-22-000010, xrx-20211231.htm), Condensed Consolidated Statements of Cash Flows (XBRL R7.htm), twelve months ended column.</t>
      </text>
    </comment>
    <comment ref="AD70" authorId="0" shapeId="0">
      <text>
        <t>Effect of exchange rate changes on cash, cash equivalents and restricted cash, FY2022: -29. Source: Xerox Holdings 10-K for period ended 2022-12-31 (acc. 0001770450-23-000011, xrx-20221231.htm), Condensed Consolidated Statements of Cash Flows (XBRL R7.htm), twelve months ended column.</t>
      </text>
    </comment>
    <comment ref="AE70" authorId="0" shapeId="0">
      <text>
        <t>Effect of exchange rate changes on cash, cash equivalents and restricted cash, FY2023: -1. Source: Xerox Holdings 10-K for period ended 2023-12-31 (acc. 0001770450-24-000012, xrx-20231231.htm), Condensed Consolidated Statements of Cash Flows (XBRL R7.htm), twelve months ended column.</t>
      </text>
    </comment>
    <comment ref="AF70" authorId="0" shapeId="0">
      <text>
        <t>Effect of exchange rate changes on cash, cash equivalents and restricted cash, FY2024: -28. Source: Xerox Holdings 10-K for period ended 2024-12-31 (acc. 0001770450-25-000010, xrx-20241231.htm), Condensed Consolidated Statements of Cash Flows (XBRL R7.htm), twelve months ended column.</t>
      </text>
    </comment>
    <comment ref="AG70" authorId="0" shapeId="0">
      <text>
        <t>Effect of exchange rate changes on cash, cash equivalents and restricted cash, FY2025: 4. Source: Xerox Holdings 10-K for period ended 2025-12-31 (acc. 0001770450-26-000009, xrx-20251231.htm), Condensed Consolidated Statements of Cash Flows (XBRL R7.htm), twelve months ended column.</t>
      </text>
    </comment>
    <comment ref="F72" authorId="0" shapeId="0">
      <text>
        <t>Reported net increase (decrease) in cash, cash equivalents and restricted cash, 1Q'21: -230. Source: Xerox Holdings 10-Q for period ended 2021-03-31 (acc. 0001770450-21-000025, xrx-20210331.htm), Condensed Consolidated Statements of Cash Flows (XBRL R6.htm), three months ended column.</t>
      </text>
    </comment>
    <comment ref="G72" authorId="0" shapeId="0">
      <text>
        <t>Reported net increase (decrease) in cash, cash equivalents and restricted cash, 2Q'21: YTD -488 less prior YTD -230. Source: Xerox Holdings 10-Q for period ended 2021-06-30 (acc. 0001770450-21-000036, xrx-20210630.htm), Condensed Consolidated Statements of Cash Flows (XBRL R6.htm), six months ended column.</t>
      </text>
    </comment>
    <comment ref="H72" authorId="0" shapeId="0">
      <text>
        <t>Reported net increase (decrease) in cash, cash equivalents and restricted cash, 3Q'21: YTD -429 less prior YTD -488. Source: Xerox Holdings 10-Q for period ended 2021-09-30 (acc. 0001770450-21-000050, xrx-20210930.htm), Condensed Consolidated Statements of Cash Flows (XBRL R6.htm), nine months ended column.</t>
      </text>
    </comment>
    <comment ref="I72" authorId="0" shapeId="0">
      <text>
        <t>Reported net increase (decrease) in cash, cash equivalents and restricted cash, 4Q'21: YTD -782 less prior YTD -429. Source: Xerox Holdings 10-K for period ended 2021-12-31 (acc. 0001770450-22-000010, xrx-20211231.htm), Condensed Consolidated Statements of Cash Flows (XBRL R7.htm), twelve months ended column.</t>
      </text>
    </comment>
    <comment ref="J72" authorId="0" shapeId="0">
      <text>
        <t>Reported net increase (decrease) in cash, cash equivalents and restricted cash, 1Q'22: -148. Source: Xerox Holdings 10-Q for period ended 2022-03-31 (acc. 0001770450-22-000020, xrx-20220331.htm), Condensed Consolidated Statements of Cash Flows (XBRL R6.htm), three months ended column.</t>
      </text>
    </comment>
    <comment ref="K72" authorId="0" shapeId="0">
      <text>
        <t>Reported net increase (decrease) in cash, cash equivalents and restricted cash, 2Q'22: YTD -682 less prior YTD -148. Source: Xerox Holdings 10-Q for period ended 2022-06-30 (acc. 0001770450-22-000030, xrx-20220630.htm), Condensed Consolidated Statements of Cash Flows (XBRL R6.htm), six months ended column.</t>
      </text>
    </comment>
    <comment ref="L72" authorId="0" shapeId="0">
      <text>
        <t>Reported net increase (decrease) in cash, cash equivalents and restricted cash, 3Q'22: YTD -908 less prior YTD -682. Source: Xerox Holdings 10-Q for period ended 2022-09-30 (acc. 0001770450-22-000041, xrx-20220930.htm), Condensed Consolidated Statements of Cash Flows (XBRL R6.htm), nine months ended column.</t>
      </text>
    </comment>
    <comment ref="M72" authorId="0" shapeId="0">
      <text>
        <t>Reported net increase (decrease) in cash, cash equivalents and restricted cash, 4Q'22: YTD -770 less prior YTD -908. Source: Xerox Holdings 10-K for period ended 2022-12-31 (acc. 0001770450-23-000011, xrx-20221231.htm), Condensed Consolidated Statements of Cash Flows (XBRL R7.htm), twelve months ended column.</t>
      </text>
    </comment>
    <comment ref="N72" authorId="0" shapeId="0">
      <text>
        <t>Reported net increase (decrease) in cash, cash equivalents and restricted cash, 1Q'23: -442. Source: Xerox Holdings 10-Q for period ended 2023-03-31 (acc. 0001770450-23-000032, xrx-20230331.htm), Condensed Consolidated Statements of Cash Flows (XBRL R6.htm), three months ended column.</t>
      </text>
    </comment>
    <comment ref="O72" authorId="0" shapeId="0">
      <text>
        <t>Reported net increase (decrease) in cash, cash equivalents and restricted cash, 2Q'23: YTD -570 less prior YTD -442. Source: Xerox Holdings 10-Q for period ended 2023-06-30 (acc. 0001770450-23-000042, xrx-20230630.htm), Condensed Consolidated Statements of Cash Flows (XBRL R6.htm), six months ended column.</t>
      </text>
    </comment>
    <comment ref="P72" authorId="0" shapeId="0">
      <text>
        <t>Reported net increase (decrease) in cash, cash equivalents and restricted cash, 3Q'23: YTD -522 less prior YTD -570. Source: Xerox Holdings 10-Q for period ended 2023-09-30 (acc. 0001770450-23-000050, xrx-20230930.htm), Condensed Consolidated Statements of Cash Flows (XBRL R6.htm), nine months ended column.</t>
      </text>
    </comment>
    <comment ref="Q72" authorId="0" shapeId="0">
      <text>
        <t>Reported net increase (decrease) in cash, cash equivalents and restricted cash, 4Q'23: YTD -522 less prior YTD -522. Source: Xerox Holdings 10-K for period ended 2023-12-31 (acc. 0001770450-24-000012, xrx-20231231.htm), Condensed Consolidated Statements of Cash Flows (XBRL R7.htm), twelve months ended column.</t>
      </text>
    </comment>
    <comment ref="R72" authorId="0" shapeId="0">
      <text>
        <t>Reported net increase (decrease) in cash, cash equivalents and restricted cash, 1Q'24: 155. Source: Xerox Holdings 10-Q for period ended 2024-03-31 (acc. 0001770450-24-000031, xrx-20240331.htm), Condensed Consolidated Statements of Cash Flows (XBRL R6.htm), three months ended column.</t>
      </text>
    </comment>
    <comment ref="S72" authorId="0" shapeId="0">
      <text>
        <t>Reported net increase (decrease) in cash, cash equivalents and restricted cash, 2Q'24: YTD -66 less prior YTD 155. Source: Xerox Holdings 10-Q for period ended 2024-06-30 (acc. 0001770450-24-000042, xrx-20240630.htm), Condensed Consolidated Statements of Cash Flows (XBRL R6.htm), six months ended column.</t>
      </text>
    </comment>
    <comment ref="T72" authorId="0" shapeId="0">
      <text>
        <t>Reported net increase (decrease) in cash, cash equivalents and restricted cash, 3Q'24: YTD -27 less prior YTD -66. Source: Xerox Holdings 10-Q for period ended 2024-09-30 (acc. 0001770450-24-000050, xrx-20240930.htm), Condensed Consolidated Statements of Cash Flows (XBRL R6.htm), nine months ended column.</t>
      </text>
    </comment>
    <comment ref="U72" authorId="0" shapeId="0">
      <text>
        <t>Reported net increase (decrease) in cash, cash equivalents and restricted cash, 4Q'24: YTD 14 less prior YTD -27. Source: Xerox Holdings 10-K for period ended 2024-12-31 (acc. 0001770450-25-000010, xrx-20241231.htm), Condensed Consolidated Statements of Cash Flows (XBRL R7.htm), twelve months ended column.</t>
      </text>
    </comment>
    <comment ref="V72" authorId="0" shapeId="0">
      <text>
        <t>Reported net increase (decrease) in cash, cash equivalents and restricted cash, 1Q'25: -241. Source: Xerox Holdings 10-Q for period ended 2025-03-31 (acc. 0001770450-25-000026, xrx-20250331.htm), Condensed Consolidated Statements of Cash Flows (XBRL R6.htm), three months ended column.</t>
      </text>
    </comment>
    <comment ref="W72" authorId="0" shapeId="0">
      <text>
        <t>Reported net increase (decrease) in cash, cash equivalents and restricted cash, 2Q'25: YTD 354 less prior YTD -241. Source: Xerox Holdings 10-Q for period ended 2025-06-30 (acc. 0001628280-25-038980, xrx-20250630.htm), Condensed Consolidated Statements of Cash Flows (XBRL R6.htm), six months ended column.</t>
      </text>
    </comment>
    <comment ref="X72" authorId="0" shapeId="0">
      <text>
        <t>Reported net increase (decrease) in cash, cash equivalents and restricted cash, 3Q'25: YTD -96 less prior YTD 354. Source: Xerox Holdings 10-Q for period ended 2025-09-30 (acc. 0001770450-25-000037, xrx-20250930.htm), Condensed Consolidated Statements of Cash Flows (XBRL R6.htm), nine months ended column.</t>
      </text>
    </comment>
    <comment ref="Y72" authorId="0" shapeId="0">
      <text>
        <t>Reported net increase (decrease) in cash, cash equivalents and restricted cash, 4Q'25: YTD -66 less prior YTD -96. Source: Xerox Holdings 10-K for period ended 2025-12-31 (acc. 0001770450-26-000009, xrx-20251231.htm), Condensed Consolidated Statements of Cash Flows (XBRL R7.htm), twelve months ended column.</t>
      </text>
    </comment>
    <comment ref="Z72" authorId="0" shapeId="0">
      <text>
        <t>Reported net increase (decrease) in cash, cash equivalents and restricted cash, 1Q'26: 72. Source: Xerox Holdings 10-Q for period ended 2026-03-31 (acc. 0001770450-26-000030, xrx-20260331.htm), Condensed Consolidated Statements of Cash Flows (XBRL R6.htm), three months ended column.</t>
      </text>
    </comment>
    <comment ref="AA72" authorId="0" shapeId="0">
      <text>
        <t>Reported net increase (decrease) in cash, cash equivalents and restricted cash, 2Q'26: YTD -13 less prior YTD 72. Source: Xerox Holdings 10-Q for period ended 2026-06-30 (acc. 0001770450-26-000040, xrx-20260630.htm), Condensed Consolidated Statements of Cash Flows (XBRL R6.htm), six months ended column.</t>
      </text>
    </comment>
    <comment ref="AC72" authorId="0" shapeId="0">
      <text>
        <t>Reported net increase (decrease) in cash, cash equivalents and restricted cash, FY2021: -782. Source: Xerox Holdings 10-K for period ended 2021-12-31 (acc. 0001770450-22-000010, xrx-20211231.htm), Condensed Consolidated Statements of Cash Flows (XBRL R7.htm), twelve months ended column.</t>
      </text>
    </comment>
    <comment ref="AD72" authorId="0" shapeId="0">
      <text>
        <t>Reported net increase (decrease) in cash, cash equivalents and restricted cash, FY2022: -770. Source: Xerox Holdings 10-K for period ended 2022-12-31 (acc. 0001770450-23-000011, xrx-20221231.htm), Condensed Consolidated Statements of Cash Flows (XBRL R7.htm), twelve months ended column.</t>
      </text>
    </comment>
    <comment ref="AE72" authorId="0" shapeId="0">
      <text>
        <t>Reported net increase (decrease) in cash, cash equivalents and restricted cash, FY2023: -522. Source: Xerox Holdings 10-K for period ended 2023-12-31 (acc. 0001770450-24-000012, xrx-20231231.htm), Condensed Consolidated Statements of Cash Flows (XBRL R7.htm), twelve months ended column.</t>
      </text>
    </comment>
    <comment ref="AF72" authorId="0" shapeId="0">
      <text>
        <t>Reported net increase (decrease) in cash, cash equivalents and restricted cash, FY2024: 14. Source: Xerox Holdings 10-K for period ended 2024-12-31 (acc. 0001770450-25-000010, xrx-20241231.htm), Condensed Consolidated Statements of Cash Flows (XBRL R7.htm), twelve months ended column.</t>
      </text>
    </comment>
    <comment ref="AG72" authorId="0" shapeId="0">
      <text>
        <t>Reported net increase (decrease) in cash, cash equivalents and restricted cash, FY2025: -66. Source: Xerox Holdings 10-K for period ended 2025-12-31 (acc. 0001770450-26-000009, xrx-20251231.htm), Condensed Consolidated Statements of Cash Flows (XBRL R7.htm), twelve months ended column.</t>
      </text>
    </comment>
    <comment ref="F75" authorId="0" shapeId="0">
      <text>
        <t>Beginning cash, 1Q'21 (start of FY2021): 2691. Source: Xerox Holdings 10-Q for period ended 2021-03-31 (acc. 0001770450-21-000025, xrx-20210331.htm), Condensed Consolidated Statements of Cash Flows (XBRL R6.htm), three months ended column.</t>
      </text>
    </comment>
    <comment ref="J75" authorId="0" shapeId="0">
      <text>
        <t>Beginning cash, 1Q'22 (start of FY2022): 1909. Source: Xerox Holdings 10-Q for period ended 2022-03-31 (acc. 0001770450-22-000020, xrx-20220331.htm), Condensed Consolidated Statements of Cash Flows (XBRL R6.htm), three months ended column.</t>
      </text>
    </comment>
    <comment ref="N75" authorId="0" shapeId="0">
      <text>
        <t>Beginning cash, 1Q'23 (start of FY2023): 1139. Source: Xerox Holdings 10-Q for period ended 2023-03-31 (acc. 0001770450-23-000032, xrx-20230331.htm), Condensed Consolidated Statements of Cash Flows (XBRL R6.htm), three months ended column.</t>
      </text>
    </comment>
    <comment ref="R75" authorId="0" shapeId="0">
      <text>
        <t>Beginning cash, 1Q'24 (start of FY2024): 617. Source: Xerox Holdings 10-Q for period ended 2024-03-31 (acc. 0001770450-24-000031, xrx-20240331.htm), Condensed Consolidated Statements of Cash Flows (XBRL R6.htm), three months ended column.</t>
      </text>
    </comment>
    <comment ref="V75" authorId="0" shapeId="0">
      <text>
        <t>Beginning cash, 1Q'25 (start of FY2025): 631. Source: Xerox Holdings 10-Q for period ended 2025-03-31 (acc. 0001770450-25-000026, xrx-20250331.htm), Condensed Consolidated Statements of Cash Flows (XBRL R6.htm), three months ended column.</t>
      </text>
    </comment>
    <comment ref="Z75" authorId="0" shapeId="0">
      <text>
        <t>Beginning cash, 1Q'26 (start of FY2026): 565. Source: Xerox Holdings 10-Q for period ended 2026-03-31 (acc. 0001770450-26-000030, xrx-20260331.htm), Condensed Consolidated Statements of Cash Flows (XBRL R6.htm), three months ended column.</t>
      </text>
    </comment>
    <comment ref="AC75" authorId="0" shapeId="0">
      <text>
        <t>Beginning cash, FY2021: 2691. Source: Xerox Holdings 10-K for period ended 2021-12-31 (acc. 0001770450-22-000010, xrx-20211231.htm), Condensed Consolidated Statements of Cash Flows (XBRL R7.htm), twelve months ended column.</t>
      </text>
    </comment>
    <comment ref="AD75" authorId="0" shapeId="0">
      <text>
        <t>Beginning cash, FY2022: 1909. Source: Xerox Holdings 10-K for period ended 2022-12-31 (acc. 0001770450-23-000011, xrx-20221231.htm), Condensed Consolidated Statements of Cash Flows (XBRL R7.htm), twelve months ended column.</t>
      </text>
    </comment>
    <comment ref="AE75" authorId="0" shapeId="0">
      <text>
        <t>Beginning cash, FY2023: 1139. Source: Xerox Holdings 10-K for period ended 2023-12-31 (acc. 0001770450-24-000012, xrx-20231231.htm), Condensed Consolidated Statements of Cash Flows (XBRL R7.htm), twelve months ended column.</t>
      </text>
    </comment>
    <comment ref="AF75" authorId="0" shapeId="0">
      <text>
        <t>Beginning cash, FY2024: 617. Source: Xerox Holdings 10-K for period ended 2024-12-31 (acc. 0001770450-25-000010, xrx-20241231.htm), Condensed Consolidated Statements of Cash Flows (XBRL R7.htm), twelve months ended column.</t>
      </text>
    </comment>
    <comment ref="AG75" authorId="0" shapeId="0">
      <text>
        <t>Beginning cash, FY2025: 631. Source: Xerox Holdings 10-K for period ended 2025-12-31 (acc. 0001770450-26-000009, xrx-20251231.htm), Condensed Consolidated Statements of Cash Flows (XBRL R7.htm), twelve months ended column.</t>
      </text>
    </comment>
    <comment ref="AI75" authorId="0" shapeId="0">
      <text>
        <t>LTM beginning cash = beginning of 3Q'24.</t>
      </text>
    </comment>
    <comment ref="AJ75" authorId="0" shapeId="0">
      <text>
        <t>LTM beginning cash = beginning of 3Q'25.</t>
      </text>
    </comment>
    <comment ref="F77" authorId="0" shapeId="0">
      <text>
        <t>Reported ending cash, 1Q'21: 2461. Source: Xerox Holdings 10-Q for period ended 2021-03-31 (acc. 0001770450-21-000025, xrx-20210331.htm), Condensed Consolidated Statements of Cash Flows (XBRL R6.htm), three months ended column.</t>
      </text>
    </comment>
    <comment ref="G77" authorId="0" shapeId="0">
      <text>
        <t>Reported ending cash, 2Q'21: 2203. Source: Xerox Holdings 10-Q for period ended 2021-06-30 (acc. 0001770450-21-000036, xrx-20210630.htm), Condensed Consolidated Statements of Cash Flows (XBRL R6.htm), six months ended column.</t>
      </text>
    </comment>
    <comment ref="H77" authorId="0" shapeId="0">
      <text>
        <t>Reported ending cash, 3Q'21: 2262. Source: Xerox Holdings 10-Q for period ended 2021-09-30 (acc. 0001770450-21-000050, xrx-20210930.htm), Condensed Consolidated Statements of Cash Flows (XBRL R6.htm), nine months ended column.</t>
      </text>
    </comment>
    <comment ref="I77" authorId="0" shapeId="0">
      <text>
        <t>Reported ending cash, 4Q'21: 1909. Source: Xerox Holdings 10-K for period ended 2021-12-31 (acc. 0001770450-22-000010, xrx-20211231.htm), Condensed Consolidated Statements of Cash Flows (XBRL R7.htm), twelve months ended column.</t>
      </text>
    </comment>
    <comment ref="J77" authorId="0" shapeId="0">
      <text>
        <t>Reported ending cash, 1Q'22: 1761. Source: Xerox Holdings 10-Q for period ended 2022-03-31 (acc. 0001770450-22-000020, xrx-20220331.htm), Condensed Consolidated Statements of Cash Flows (XBRL R6.htm), three months ended column.</t>
      </text>
    </comment>
    <comment ref="K77" authorId="0" shapeId="0">
      <text>
        <t>Reported ending cash, 2Q'22: 1227. Source: Xerox Holdings 10-Q for period ended 2022-06-30 (acc. 0001770450-22-000030, xrx-20220630.htm), Condensed Consolidated Statements of Cash Flows (XBRL R6.htm), six months ended column.</t>
      </text>
    </comment>
    <comment ref="L77" authorId="0" shapeId="0">
      <text>
        <t>Reported ending cash, 3Q'22: 1001. Source: Xerox Holdings 10-Q for period ended 2022-09-30 (acc. 0001770450-22-000041, xrx-20220930.htm), Condensed Consolidated Statements of Cash Flows (XBRL R6.htm), nine months ended column.</t>
      </text>
    </comment>
    <comment ref="M77" authorId="0" shapeId="0">
      <text>
        <t>Reported ending cash, 4Q'22: 1139. Source: Xerox Holdings 10-K for period ended 2022-12-31 (acc. 0001770450-23-000011, xrx-20221231.htm), Condensed Consolidated Statements of Cash Flows (XBRL R7.htm), twelve months ended column.</t>
      </text>
    </comment>
    <comment ref="N77" authorId="0" shapeId="0">
      <text>
        <t>Reported ending cash, 1Q'23: 697. Source: Xerox Holdings 10-Q for period ended 2023-03-31 (acc. 0001770450-23-000032, xrx-20230331.htm), Condensed Consolidated Statements of Cash Flows (XBRL R6.htm), three months ended column.</t>
      </text>
    </comment>
    <comment ref="O77" authorId="0" shapeId="0">
      <text>
        <t>Reported ending cash, 2Q'23: 569. Source: Xerox Holdings 10-Q for period ended 2023-06-30 (acc. 0001770450-23-000042, xrx-20230630.htm), Condensed Consolidated Statements of Cash Flows (XBRL R6.htm), six months ended column.</t>
      </text>
    </comment>
    <comment ref="P77" authorId="0" shapeId="0">
      <text>
        <t>Reported ending cash, 3Q'23: 617. Source: Xerox Holdings 10-Q for period ended 2023-09-30 (acc. 0001770450-23-000050, xrx-20230930.htm), Condensed Consolidated Statements of Cash Flows (XBRL R6.htm), nine months ended column.</t>
      </text>
    </comment>
    <comment ref="Q77" authorId="0" shapeId="0">
      <text>
        <t>Reported ending cash, 4Q'23: 617. Source: Xerox Holdings 10-K for period ended 2023-12-31 (acc. 0001770450-24-000012, xrx-20231231.htm), Condensed Consolidated Statements of Cash Flows (XBRL R7.htm), twelve months ended column.</t>
      </text>
    </comment>
    <comment ref="R77" authorId="0" shapeId="0">
      <text>
        <t>Reported ending cash, 1Q'24: 772. Source: Xerox Holdings 10-Q for period ended 2024-03-31 (acc. 0001770450-24-000031, xrx-20240331.htm), Condensed Consolidated Statements of Cash Flows (XBRL R6.htm), three months ended column.</t>
      </text>
    </comment>
    <comment ref="S77" authorId="0" shapeId="0">
      <text>
        <t>Reported ending cash, 2Q'24: 551. Source: Xerox Holdings 10-Q for period ended 2024-06-30 (acc. 0001770450-24-000042, xrx-20240630.htm), Condensed Consolidated Statements of Cash Flows (XBRL R6.htm), six months ended column.</t>
      </text>
    </comment>
    <comment ref="T77" authorId="0" shapeId="0">
      <text>
        <t>Reported ending cash, 3Q'24: 590. Source: Xerox Holdings 10-Q for period ended 2024-09-30 (acc. 0001770450-24-000050, xrx-20240930.htm), Condensed Consolidated Statements of Cash Flows (XBRL R6.htm), nine months ended column.</t>
      </text>
    </comment>
    <comment ref="U77" authorId="0" shapeId="0">
      <text>
        <t>Reported ending cash, 4Q'24: 631. Source: Xerox Holdings 10-K for period ended 2024-12-31 (acc. 0001770450-25-000010, xrx-20241231.htm), Condensed Consolidated Statements of Cash Flows (XBRL R7.htm), twelve months ended column.</t>
      </text>
    </comment>
    <comment ref="V77" authorId="0" shapeId="0">
      <text>
        <t>Reported ending cash, 1Q'25: 390. Source: Xerox Holdings 10-Q for period ended 2025-03-31 (acc. 0001770450-25-000026, xrx-20250331.htm), Condensed Consolidated Statements of Cash Flows (XBRL R6.htm), three months ended column.</t>
      </text>
    </comment>
    <comment ref="W77" authorId="0" shapeId="0">
      <text>
        <t>Reported ending cash, 2Q'25: 985. Source: Xerox Holdings 10-Q for period ended 2025-06-30 (acc. 0001628280-25-038980, xrx-20250630.htm), Condensed Consolidated Statements of Cash Flows (XBRL R6.htm), six months ended column.</t>
      </text>
    </comment>
    <comment ref="X77" authorId="0" shapeId="0">
      <text>
        <t>Reported ending cash, 3Q'25: 535. Source: Xerox Holdings 10-Q for period ended 2025-09-30 (acc. 0001770450-25-000037, xrx-20250930.htm), Condensed Consolidated Statements of Cash Flows (XBRL R6.htm), nine months ended column.</t>
      </text>
    </comment>
    <comment ref="Y77" authorId="0" shapeId="0">
      <text>
        <t>Reported ending cash, 4Q'25: 565. Source: Xerox Holdings 10-K for period ended 2025-12-31 (acc. 0001770450-26-000009, xrx-20251231.htm), Condensed Consolidated Statements of Cash Flows (XBRL R7.htm), twelve months ended column.</t>
      </text>
    </comment>
    <comment ref="Z77" authorId="0" shapeId="0">
      <text>
        <t>Reported ending cash, 1Q'26: 637. Source: Xerox Holdings 10-Q for period ended 2026-03-31 (acc. 0001770450-26-000030, xrx-20260331.htm), Condensed Consolidated Statements of Cash Flows (XBRL R6.htm), three months ended column.</t>
      </text>
    </comment>
    <comment ref="AA77" authorId="0" shapeId="0">
      <text>
        <t>Reported ending cash, 2Q'26: 552. Source: Xerox Holdings 10-Q for period ended 2026-06-30 (acc. 0001770450-26-000040, xrx-20260630.htm), Condensed Consolidated Statements of Cash Flows (XBRL R6.htm), six months ended column.</t>
      </text>
    </comment>
    <comment ref="AC77" authorId="0" shapeId="0">
      <text>
        <t>Reported cash, cash equivalents and restricted cash, ending, FY2021: 1909. Source: Xerox Holdings 10-K for period ended 2021-12-31 (acc. 0001770450-22-000010, xrx-20211231.htm), Condensed Consolidated Statements of Cash Flows (XBRL R7.htm), twelve months ended column.</t>
      </text>
    </comment>
    <comment ref="AD77" authorId="0" shapeId="0">
      <text>
        <t>Reported cash, cash equivalents and restricted cash, ending, FY2022: 1139. Source: Xerox Holdings 10-K for period ended 2022-12-31 (acc. 0001770450-23-000011, xrx-20221231.htm), Condensed Consolidated Statements of Cash Flows (XBRL R7.htm), twelve months ended column.</t>
      </text>
    </comment>
    <comment ref="AE77" authorId="0" shapeId="0">
      <text>
        <t>Reported cash, cash equivalents and restricted cash, ending, FY2023: 617. Source: Xerox Holdings 10-K for period ended 2023-12-31 (acc. 0001770450-24-000012, xrx-20231231.htm), Condensed Consolidated Statements of Cash Flows (XBRL R7.htm), twelve months ended column.</t>
      </text>
    </comment>
    <comment ref="AF77" authorId="0" shapeId="0">
      <text>
        <t>Reported cash, cash equivalents and restricted cash, ending, FY2024: 631. Source: Xerox Holdings 10-K for period ended 2024-12-31 (acc. 0001770450-25-000010, xrx-20241231.htm), Condensed Consolidated Statements of Cash Flows (XBRL R7.htm), twelve months ended column.</t>
      </text>
    </comment>
    <comment ref="AG77" authorId="0" shapeId="0">
      <text>
        <t>Reported cash, cash equivalents and restricted cash, ending, FY2025: 565. Source: Xerox Holdings 10-K for period ended 2025-12-31 (acc. 0001770450-26-000009, xrx-20251231.htm), Condensed Consolidated Statements of Cash Flows (XBRL R7.htm), twelve months ended column.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13" authorId="0" shapeId="0">
      <text>
        <t>Form 10-Q (period ended 2021-03-31; acc. 0001770450-21-000025, xrx-20210331.htm), Xerox Holdings Condensed Consolidated Balance Sheets (XBRL R4.htm), as of March 31, 2021: Cash and cash equivalents = 2,379. https://www.sec.gov/Archives/edgar/data/1770450/000177045021000025/xrx-20210331.htm</t>
      </text>
    </comment>
    <comment ref="G13" authorId="0" shapeId="0">
      <text>
        <t>Form 10-Q (period ended 2021-06-30; acc. 0001770450-21-000036, xrx-20210630.htm), Xerox Holdings Condensed Consolidated Balance Sheets (XBRL R4.htm), as of June 30, 2021: Cash and cash equivalents = 2,124. https://www.sec.gov/Archives/edgar/data/1770450/000177045021000036/xrx-20210630.htm</t>
      </text>
    </comment>
    <comment ref="H13" authorId="0" shapeId="0">
      <text>
        <t>Form 10-Q (period ended 2021-09-30; acc. 0001770450-21-000050, xrx-20210930.htm), Xerox Holdings Condensed Consolidated Balance Sheets (XBRL R4.htm), as of September 30, 2021: Cash and cash equivalents = 2,209. https://www.sec.gov/Archives/edgar/data/1770450/000177045021000050/xrx-20210930.htm</t>
      </text>
    </comment>
    <comment ref="I13" authorId="0" shapeId="0">
      <text>
        <t>Form 10-K (period ended 2021-12-31; acc. 0001770450-22-000010, xrx-20211231.htm), Xerox Holdings Condensed Consolidated Balance Sheets (XBRL R5.htm), as of December 31, 2021: Cash and cash equivalents = 1,840. https://www.sec.gov/Archives/edgar/data/1770450/000177045022000010/xrx-20211231.htm</t>
      </text>
    </comment>
    <comment ref="J13" authorId="0" shapeId="0">
      <text>
        <t>Form 10-Q (period ended 2022-03-31; acc. 0001770450-22-000020, xrx-20220331.htm), Xerox Holdings Condensed Consolidated Balance Sheets (XBRL R4.htm), as of March 31, 2022: Cash and cash equivalents = 1,681. https://www.sec.gov/Archives/edgar/data/1770450/000177045022000020/xrx-20220331.htm</t>
      </text>
    </comment>
    <comment ref="K13" authorId="0" shapeId="0">
      <text>
        <t>Form 10-Q (period ended 2022-06-30; acc. 0001770450-22-000030, xrx-20220630.htm), Xerox Holdings Condensed Consolidated Balance Sheets (XBRL R4.htm), as of June 30, 2022: Cash and cash equivalents = 1,151. https://www.sec.gov/Archives/edgar/data/1770450/000177045022000030/xrx-20220630.htm</t>
      </text>
    </comment>
    <comment ref="L13" authorId="0" shapeId="0">
      <text>
        <t>Form 10-Q (period ended 2022-09-30; acc. 0001770450-22-000041, xrx-20220930.htm), Xerox Holdings Condensed Consolidated Balance Sheets (XBRL R4.htm), as of September 30, 2022: Cash and cash equivalents = 932. https://www.sec.gov/Archives/edgar/data/1770450/000177045022000041/xrx-20220930.htm</t>
      </text>
    </comment>
    <comment ref="M13" authorId="0" shapeId="0">
      <text>
        <t>Form 10-K (period ended 2022-12-31; acc. 0001770450-23-000011, xrx-20221231.htm), Xerox Holdings Condensed Consolidated Balance Sheets (XBRL R5.htm), as of December 31, 2022: Cash and cash equivalents = 1,045. https://www.sec.gov/Archives/edgar/data/1770450/000177045023000011/xrx-20221231.htm</t>
      </text>
    </comment>
    <comment ref="N13" authorId="0" shapeId="0">
      <text>
        <t>Form 10-Q (period ended 2023-03-31; acc. 0001770450-23-000032, xrx-20230331.htm), Xerox Holdings Condensed Consolidated Balance Sheets (XBRL R4.htm), as of March 31, 2023: Cash and cash equivalents = 591. https://www.sec.gov/Archives/edgar/data/1770450/000177045023000032/xrx-20230331.htm</t>
      </text>
    </comment>
    <comment ref="O13" authorId="0" shapeId="0">
      <text>
        <t>Form 10-Q (period ended 2023-06-30; acc. 0001770450-23-000042, xrx-20230630.htm), Xerox Holdings Condensed Consolidated Balance Sheets (XBRL R4.htm), as of June 30, 2023: Cash and cash equivalents = 477. https://www.sec.gov/Archives/edgar/data/1770450/000177045023000042/xrx-20230630.htm</t>
      </text>
    </comment>
    <comment ref="P13" authorId="0" shapeId="0">
      <text>
        <t>Form 10-Q (period ended 2023-09-30; acc. 0001770450-23-000050, xrx-20230930.htm), Xerox Holdings Condensed Consolidated Balance Sheets (XBRL R4.htm), as of September 30, 2023: Cash and cash equivalents = 532. https://www.sec.gov/Archives/edgar/data/1770450/000177045023000050/xrx-20230930.htm</t>
      </text>
    </comment>
    <comment ref="Q13" authorId="0" shapeId="0">
      <text>
        <t>Form 10-K (period ended 2023-12-31; acc. 0001770450-24-000012, xrx-20231231.htm), Xerox Holdings Condensed Consolidated Balance Sheets (XBRL R5.htm), as of December 31, 2023: Cash and cash equivalents = 519. https://www.sec.gov/Archives/edgar/data/1770450/000177045024000012/xrx-20231231.htm</t>
      </text>
    </comment>
    <comment ref="R13" authorId="0" shapeId="0">
      <text>
        <t>Form 10-Q (period ended 2024-03-31; acc. 0001770450-24-000031, xrx-20240331.htm), Xerox Holdings Condensed Consolidated Balance Sheets (XBRL R4.htm), as of March 31, 2024: Cash and cash equivalents = 685. https://www.sec.gov/Archives/edgar/data/1770450/000177045024000031/xrx-20240331.htm</t>
      </text>
    </comment>
    <comment ref="S13" authorId="0" shapeId="0">
      <text>
        <t>Form 10-Q (period ended 2024-06-30; acc. 0001770450-24-000042, xrx-20240630.htm), Xerox Holdings Condensed Consolidated Balance Sheets (XBRL R4.htm), as of June 30, 2024: Cash and cash equivalents = 485. https://www.sec.gov/Archives/edgar/data/1770450/000177045024000042/xrx-20240630.htm</t>
      </text>
    </comment>
    <comment ref="T13" authorId="0" shapeId="0">
      <text>
        <t>Form 10-Q (period ended 2024-09-30; acc. 0001770450-24-000050, xrx-20240930.htm), Xerox Holdings Condensed Consolidated Balance Sheets (XBRL R4.htm), as of September 30, 2024: Cash and cash equivalents = 521. https://www.sec.gov/Archives/edgar/data/1770450/000177045024000050/xrx-20240930.htm</t>
      </text>
    </comment>
    <comment ref="U13" authorId="0" shapeId="0">
      <text>
        <t>Form 10-K (period ended 2024-12-31; acc. 0001770450-25-000010, xrx-20241231.htm), Xerox Holdings Condensed Consolidated Balance Sheets (XBRL R5.htm), as of December 31, 2024: Cash and cash equivalents = 576. https://www.sec.gov/Archives/edgar/data/1770450/000177045025000010/xrx-20241231.htm</t>
      </text>
    </comment>
    <comment ref="V13" authorId="0" shapeId="0">
      <text>
        <t>Form 10-Q (period ended 2025-03-31; acc. 0001770450-25-000026, xrx-20250331.htm), Xerox Holdings Condensed Consolidated Balance Sheets (XBRL R4.htm), as of March 31, 2025: Cash and cash equivalents = 336. https://www.sec.gov/Archives/edgar/data/1770450/000177045025000026/xrx-20250331.htm</t>
      </text>
    </comment>
    <comment ref="W13" authorId="0" shapeId="0">
      <text>
        <t>Form 10-Q (period ended 2025-06-30; acc. 0001628280-25-038980, xrx-20250630.htm), Xerox Holdings Condensed Consolidated Balance Sheets (XBRL R4.htm), as of June 30, 2025: Cash and cash equivalents = 449. https://www.sec.gov/Archives/edgar/data/1770450/000162828025038980/xrx-20250630.htm</t>
      </text>
    </comment>
    <comment ref="X13" authorId="0" shapeId="0">
      <text>
        <t>Form 10-Q (period ended 2025-09-30; acc. 0001770450-25-000037, xrx-20250930.htm), Xerox Holdings Condensed Consolidated Balance Sheets (XBRL R4.htm), as of September 30, 2025: Cash and cash equivalents = 479. https://www.sec.gov/Archives/edgar/data/1770450/000177045025000037/xrx-20250930.htm</t>
      </text>
    </comment>
    <comment ref="Y13" authorId="0" shapeId="0">
      <text>
        <t>Form 10-K (period ended 2025-12-31; acc. 0001770450-26-000009, xrx-20251231.htm), Xerox Holdings Condensed Consolidated Balance Sheets (XBRL R5.htm), as of December 31, 2025: Cash and cash equivalents = 512. https://www.sec.gov/Archives/edgar/data/1770450/000177045026000009/xrx-20251231.htm</t>
      </text>
    </comment>
    <comment ref="Z13" authorId="0" shapeId="0">
      <text>
        <t>Form 10-Q (period ended 2026-03-31; acc. 0001770450-26-000030, xrx-20260331.htm), Xerox Holdings Condensed Consolidated Balance Sheets (XBRL R4.htm), as of March 31, 2026: Cash and cash equivalents = 585. https://www.sec.gov/Archives/edgar/data/1770450/000177045026000030/xrx-20260331.htm</t>
      </text>
    </comment>
    <comment ref="AA13" authorId="0" shapeId="0">
      <text>
        <t>Form 10-Q (period ended 2026-06-30; acc. 0001770450-26-000040, xrx-20260630.htm), Xerox Holdings Condensed Consolidated Balance Sheets (XBRL R4.htm), as of June 30, 2026: Cash and cash equivalents = 495. https://www.sec.gov/Archives/edgar/data/1770450/000177045026000040/xrx-20260630.htm</t>
      </text>
    </comment>
    <comment ref="F14" authorId="0" shapeId="0">
      <text>
        <t>Form 10-Q (period ended 2021-03-31; acc. 0001770450-21-000025, xrx-20210331.htm), Xerox Holdings Condensed Consolidated Balance Sheets (XBRL R4.htm), as of March 31, 2021: Accounts receivable, net = 781. https://www.sec.gov/Archives/edgar/data/1770450/000177045021000025/xrx-20210331.htm</t>
      </text>
    </comment>
    <comment ref="G14" authorId="0" shapeId="0">
      <text>
        <t>Form 10-Q (period ended 2021-06-30; acc. 0001770450-21-000036, xrx-20210630.htm), Xerox Holdings Condensed Consolidated Balance Sheets (XBRL R4.htm), as of June 30, 2021: Accounts receivable, net = 846. https://www.sec.gov/Archives/edgar/data/1770450/000177045021000036/xrx-20210630.htm</t>
      </text>
    </comment>
    <comment ref="H14" authorId="0" shapeId="0">
      <text>
        <t>Form 10-Q (period ended 2021-09-30; acc. 0001770450-21-000050, xrx-20210930.htm), Xerox Holdings Condensed Consolidated Balance Sheets (XBRL R4.htm), as of September 30, 2021: Accounts receivable, net = 891. https://www.sec.gov/Archives/edgar/data/1770450/000177045021000050/xrx-20210930.htm</t>
      </text>
    </comment>
    <comment ref="I14" authorId="0" shapeId="0">
      <text>
        <t>Form 10-K (period ended 2021-12-31; acc. 0001770450-22-000010, xrx-20211231.htm), Xerox Holdings Condensed Consolidated Balance Sheets (XBRL R5.htm), as of December 31, 2021: Accounts receivable, net = 818. https://www.sec.gov/Archives/edgar/data/1770450/000177045022000010/xrx-20211231.htm</t>
      </text>
    </comment>
    <comment ref="J14" authorId="0" shapeId="0">
      <text>
        <t>Form 10-Q (period ended 2022-03-31; acc. 0001770450-22-000020, xrx-20220331.htm), Xerox Holdings Condensed Consolidated Balance Sheets (XBRL R4.htm), as of March 31, 2022: Accounts receivable, net = 807. https://www.sec.gov/Archives/edgar/data/1770450/000177045022000020/xrx-20220331.htm</t>
      </text>
    </comment>
    <comment ref="K14" authorId="0" shapeId="0">
      <text>
        <t>Form 10-Q (period ended 2022-06-30; acc. 0001770450-22-000030, xrx-20220630.htm), Xerox Holdings Condensed Consolidated Balance Sheets (XBRL R4.htm), as of June 30, 2022: Accounts receivable, net = 852. https://www.sec.gov/Archives/edgar/data/1770450/000177045022000030/xrx-20220630.htm</t>
      </text>
    </comment>
    <comment ref="L14" authorId="0" shapeId="0">
      <text>
        <t>Form 10-Q (period ended 2022-09-30; acc. 0001770450-22-000041, xrx-20220930.htm), Xerox Holdings Condensed Consolidated Balance Sheets (XBRL R4.htm), as of September 30, 2022: Accounts receivable, net = 835. https://www.sec.gov/Archives/edgar/data/1770450/000177045022000041/xrx-20220930.htm</t>
      </text>
    </comment>
    <comment ref="M14" authorId="0" shapeId="0">
      <text>
        <t>Form 10-K (period ended 2022-12-31; acc. 0001770450-23-000011, xrx-20221231.htm), Xerox Holdings Condensed Consolidated Balance Sheets (XBRL R5.htm), as of December 31, 2022: Accounts receivable, net = 857. https://www.sec.gov/Archives/edgar/data/1770450/000177045023000011/xrx-20221231.htm</t>
      </text>
    </comment>
    <comment ref="N14" authorId="0" shapeId="0">
      <text>
        <t>Form 10-Q (period ended 2023-03-31; acc. 0001770450-23-000032, xrx-20230331.htm), Xerox Holdings Condensed Consolidated Balance Sheets (XBRL R4.htm), as of March 31, 2023: Accounts receivable, net = 818. https://www.sec.gov/Archives/edgar/data/1770450/000177045023000032/xrx-20230331.htm</t>
      </text>
    </comment>
    <comment ref="O14" authorId="0" shapeId="0">
      <text>
        <t>Form 10-Q (period ended 2023-06-30; acc. 0001770450-23-000042, xrx-20230630.htm), Xerox Holdings Condensed Consolidated Balance Sheets (XBRL R4.htm), as of June 30, 2023: Accounts receivable, net = 903. https://www.sec.gov/Archives/edgar/data/1770450/000177045023000042/xrx-20230630.htm</t>
      </text>
    </comment>
    <comment ref="P14" authorId="0" shapeId="0">
      <text>
        <t>Form 10-Q (period ended 2023-09-30; acc. 0001770450-23-000050, xrx-20230930.htm), Xerox Holdings Condensed Consolidated Balance Sheets (XBRL R4.htm), as of September 30, 2023: Accounts receivable, net = 880. https://www.sec.gov/Archives/edgar/data/1770450/000177045023000050/xrx-20230930.htm</t>
      </text>
    </comment>
    <comment ref="Q14" authorId="0" shapeId="0">
      <text>
        <t>Form 10-K (period ended 2023-12-31; acc. 0001770450-24-000012, xrx-20231231.htm), Xerox Holdings Condensed Consolidated Balance Sheets (XBRL R5.htm), as of December 31, 2023: Accounts receivable, net = 850. https://www.sec.gov/Archives/edgar/data/1770450/000177045024000012/xrx-20231231.htm</t>
      </text>
    </comment>
    <comment ref="R14" authorId="0" shapeId="0">
      <text>
        <t>Form 10-Q (period ended 2024-03-31; acc. 0001770450-24-000031, xrx-20240331.htm), Xerox Holdings Condensed Consolidated Balance Sheets (XBRL R4.htm), as of March 31, 2024: Accounts receivable, net = 846. https://www.sec.gov/Archives/edgar/data/1770450/000177045024000031/xrx-20240331.htm</t>
      </text>
    </comment>
    <comment ref="S14" authorId="0" shapeId="0">
      <text>
        <t>Form 10-Q (period ended 2024-06-30; acc. 0001770450-24-000042, xrx-20240630.htm), Xerox Holdings Condensed Consolidated Balance Sheets (XBRL R4.htm), as of June 30, 2024: Accounts receivable, net = 847. https://www.sec.gov/Archives/edgar/data/1770450/000177045024000042/xrx-20240630.htm</t>
      </text>
    </comment>
    <comment ref="T14" authorId="0" shapeId="0">
      <text>
        <t>Form 10-Q (period ended 2024-09-30; acc. 0001770450-24-000050, xrx-20240930.htm), Xerox Holdings Condensed Consolidated Balance Sheets (XBRL R4.htm), as of September 30, 2024: Accounts receivable, net = 821. https://www.sec.gov/Archives/edgar/data/1770450/000177045024000050/xrx-20240930.htm</t>
      </text>
    </comment>
    <comment ref="U14" authorId="0" shapeId="0">
      <text>
        <t>Form 10-K (period ended 2024-12-31; acc. 0001770450-25-000010, xrx-20241231.htm), Xerox Holdings Condensed Consolidated Balance Sheets (XBRL R5.htm), as of December 31, 2024: Accounts receivable, net = 796. https://www.sec.gov/Archives/edgar/data/1770450/000177045025000010/xrx-20241231.htm</t>
      </text>
    </comment>
    <comment ref="V14" authorId="0" shapeId="0">
      <text>
        <t>Form 10-Q (period ended 2025-03-31; acc. 0001770450-25-000026, xrx-20250331.htm), Xerox Holdings Condensed Consolidated Balance Sheets (XBRL R4.htm), as of March 31, 2025: Accounts receivable, net = 819. https://www.sec.gov/Archives/edgar/data/1770450/000177045025000026/xrx-20250331.htm</t>
      </text>
    </comment>
    <comment ref="W14" authorId="0" shapeId="0">
      <text>
        <t>Form 10-Q (period ended 2025-06-30; acc. 0001628280-25-038980, xrx-20250630.htm), Xerox Holdings Condensed Consolidated Balance Sheets (XBRL R4.htm), as of June 30, 2025: Accounts receivable, net = 862. https://www.sec.gov/Archives/edgar/data/1770450/000162828025038980/xrx-20250630.htm</t>
      </text>
    </comment>
    <comment ref="X14" authorId="0" shapeId="0">
      <text>
        <t>Form 10-Q (period ended 2025-09-30; acc. 0001770450-25-000037, xrx-20250930.htm), Xerox Holdings Condensed Consolidated Balance Sheets (XBRL R4.htm), as of September 30, 2025: Accounts receivable, net = 1,196. https://www.sec.gov/Archives/edgar/data/1770450/000177045025000037/xrx-20250930.htm</t>
      </text>
    </comment>
    <comment ref="Y14" authorId="0" shapeId="0">
      <text>
        <t>Form 10-K (period ended 2025-12-31; acc. 0001770450-26-000009, xrx-20251231.htm), Xerox Holdings Condensed Consolidated Balance Sheets (XBRL R5.htm), as of December 31, 2025: Accounts receivable, net = 1,122. https://www.sec.gov/Archives/edgar/data/1770450/000177045026000009/xrx-20251231.htm</t>
      </text>
    </comment>
    <comment ref="Z14" authorId="0" shapeId="0">
      <text>
        <t>Form 10-Q (period ended 2026-03-31; acc. 0001770450-26-000030, xrx-20260331.htm), Xerox Holdings Condensed Consolidated Balance Sheets (XBRL R4.htm), as of March 31, 2026: Accounts receivable, net = 1,218. https://www.sec.gov/Archives/edgar/data/1770450/000177045026000030/xrx-20260331.htm</t>
      </text>
    </comment>
    <comment ref="AA14" authorId="0" shapeId="0">
      <text>
        <t>Form 10-Q (period ended 2026-06-30; acc. 0001770450-26-000040, xrx-20260630.htm), Xerox Holdings Condensed Consolidated Balance Sheets (XBRL R4.htm), as of June 30, 2026: Accounts receivable, net = 1,185. https://www.sec.gov/Archives/edgar/data/1770450/000177045026000040/xrx-20260630.htm</t>
      </text>
    </comment>
    <comment ref="F15" authorId="0" shapeId="0">
      <text>
        <t>Form 10-Q (period ended 2021-03-31; acc. 0001770450-21-000025, xrx-20210331.htm), Xerox Holdings Condensed Consolidated Balance Sheets (XBRL R4.htm), as of March 31, 2021: Billed portion of finance receivables, net = 92. https://www.sec.gov/Archives/edgar/data/1770450/000177045021000025/xrx-20210331.htm</t>
      </text>
    </comment>
    <comment ref="G15" authorId="0" shapeId="0">
      <text>
        <t>Form 10-Q (period ended 2021-06-30; acc. 0001770450-21-000036, xrx-20210630.htm), Xerox Holdings Condensed Consolidated Balance Sheets (XBRL R4.htm), as of June 30, 2021: Billed portion of finance receivables, net = 89. https://www.sec.gov/Archives/edgar/data/1770450/000177045021000036/xrx-20210630.htm</t>
      </text>
    </comment>
    <comment ref="H15" authorId="0" shapeId="0">
      <text>
        <t>Form 10-Q (period ended 2021-09-30; acc. 0001770450-21-000050, xrx-20210930.htm), Xerox Holdings Condensed Consolidated Balance Sheets (XBRL R4.htm), as of September 30, 2021: Billed portion of finance receivables, net = 100. https://www.sec.gov/Archives/edgar/data/1770450/000177045021000050/xrx-20210930.htm</t>
      </text>
    </comment>
    <comment ref="I15" authorId="0" shapeId="0">
      <text>
        <t>Form 10-K (period ended 2021-12-31; acc. 0001770450-22-000010, xrx-20211231.htm), Xerox Holdings Condensed Consolidated Balance Sheets (XBRL R5.htm), as of December 31, 2021: Billed portion of finance receivables, net = 94. https://www.sec.gov/Archives/edgar/data/1770450/000177045022000010/xrx-20211231.htm</t>
      </text>
    </comment>
    <comment ref="J15" authorId="0" shapeId="0">
      <text>
        <t>Form 10-Q (period ended 2022-03-31; acc. 0001770450-22-000020, xrx-20220331.htm), Xerox Holdings Condensed Consolidated Balance Sheets (XBRL R4.htm), as of March 31, 2022: Billed portion of finance receivables, net = 89. https://www.sec.gov/Archives/edgar/data/1770450/000177045022000020/xrx-20220331.htm</t>
      </text>
    </comment>
    <comment ref="K15" authorId="0" shapeId="0">
      <text>
        <t>Form 10-Q (period ended 2022-06-30; acc. 0001770450-22-000030, xrx-20220630.htm), Xerox Holdings Condensed Consolidated Balance Sheets (XBRL R4.htm), as of June 30, 2022: Billed portion of finance receivables, net = 83. https://www.sec.gov/Archives/edgar/data/1770450/000177045022000030/xrx-20220630.htm</t>
      </text>
    </comment>
    <comment ref="L15" authorId="0" shapeId="0">
      <text>
        <t>Form 10-Q (period ended 2022-09-30; acc. 0001770450-22-000041, xrx-20220930.htm), Xerox Holdings Condensed Consolidated Balance Sheets (XBRL R4.htm), as of September 30, 2022: Billed portion of finance receivables, net = 91. https://www.sec.gov/Archives/edgar/data/1770450/000177045022000041/xrx-20220930.htm</t>
      </text>
    </comment>
    <comment ref="M15" authorId="0" shapeId="0">
      <text>
        <t>Form 10-K (period ended 2022-12-31; acc. 0001770450-23-000011, xrx-20221231.htm), Xerox Holdings Condensed Consolidated Balance Sheets (XBRL R5.htm), as of December 31, 2022: Billed portion of finance receivables, net = 93. https://www.sec.gov/Archives/edgar/data/1770450/000177045023000011/xrx-20221231.htm</t>
      </text>
    </comment>
    <comment ref="N15" authorId="0" shapeId="0">
      <text>
        <t>Form 10-Q (period ended 2023-03-31; acc. 0001770450-23-000032, xrx-20230331.htm), Xerox Holdings Condensed Consolidated Balance Sheets (XBRL R4.htm), as of March 31, 2023: Billed portion of finance receivables, net = 94. https://www.sec.gov/Archives/edgar/data/1770450/000177045023000032/xrx-20230331.htm</t>
      </text>
    </comment>
    <comment ref="O15" authorId="0" shapeId="0">
      <text>
        <t>Form 10-Q (period ended 2023-06-30; acc. 0001770450-23-000042, xrx-20230630.htm), Xerox Holdings Condensed Consolidated Balance Sheets (XBRL R4.htm), as of June 30, 2023: Billed portion of finance receivables, net = 70. https://www.sec.gov/Archives/edgar/data/1770450/000177045023000042/xrx-20230630.htm</t>
      </text>
    </comment>
    <comment ref="P15" authorId="0" shapeId="0">
      <text>
        <t>Form 10-Q (period ended 2023-09-30; acc. 0001770450-23-000050, xrx-20230930.htm), Xerox Holdings Condensed Consolidated Balance Sheets (XBRL R4.htm), as of September 30, 2023: Billed portion of finance receivables, net = 80. https://www.sec.gov/Archives/edgar/data/1770450/000177045023000050/xrx-20230930.htm</t>
      </text>
    </comment>
    <comment ref="Q15" authorId="0" shapeId="0">
      <text>
        <t>Form 10-K (period ended 2023-12-31; acc. 0001770450-24-000012, xrx-20231231.htm), Xerox Holdings Condensed Consolidated Balance Sheets (XBRL R5.htm), as of December 31, 2023: Billed portion of finance receivables, net = 71. https://www.sec.gov/Archives/edgar/data/1770450/000177045024000012/xrx-20231231.htm</t>
      </text>
    </comment>
    <comment ref="R15" authorId="0" shapeId="0">
      <text>
        <t>Form 10-Q (period ended 2024-03-31; acc. 0001770450-24-000031, xrx-20240331.htm), Xerox Holdings Condensed Consolidated Balance Sheets (XBRL R4.htm), as of March 31, 2024: Billed portion of finance receivables, net = 67. https://www.sec.gov/Archives/edgar/data/1770450/000177045024000031/xrx-20240331.htm</t>
      </text>
    </comment>
    <comment ref="S15" authorId="0" shapeId="0">
      <text>
        <t>Form 10-Q (period ended 2024-06-30; acc. 0001770450-24-000042, xrx-20240630.htm), Xerox Holdings Condensed Consolidated Balance Sheets (XBRL R4.htm), as of June 30, 2024: Billed portion of finance receivables, net = 70. https://www.sec.gov/Archives/edgar/data/1770450/000177045024000042/xrx-20240630.htm</t>
      </text>
    </comment>
    <comment ref="T15" authorId="0" shapeId="0">
      <text>
        <t>Form 10-Q (period ended 2024-09-30; acc. 0001770450-24-000050, xrx-20240930.htm), Xerox Holdings Condensed Consolidated Balance Sheets (XBRL R4.htm), as of September 30, 2024: Billed portion of finance receivables, net = 50. https://www.sec.gov/Archives/edgar/data/1770450/000177045024000050/xrx-20240930.htm</t>
      </text>
    </comment>
    <comment ref="U15" authorId="0" shapeId="0">
      <text>
        <t>Form 10-K (period ended 2024-12-31; acc. 0001770450-25-000010, xrx-20241231.htm), Xerox Holdings Condensed Consolidated Balance Sheets (XBRL R5.htm), as of December 31, 2024: Billed portion of finance receivables, net = 48. https://www.sec.gov/Archives/edgar/data/1770450/000177045025000010/xrx-20241231.htm</t>
      </text>
    </comment>
    <comment ref="V15" authorId="0" shapeId="0">
      <text>
        <t>Form 10-Q (period ended 2025-03-31; acc. 0001770450-25-000026, xrx-20250331.htm), Xerox Holdings Condensed Consolidated Balance Sheets (XBRL R4.htm), as of March 31, 2025: Billed portion of finance receivables, net = 43. https://www.sec.gov/Archives/edgar/data/1770450/000177045025000026/xrx-20250331.htm</t>
      </text>
    </comment>
    <comment ref="W15" authorId="0" shapeId="0">
      <text>
        <t>Form 10-Q (period ended 2025-06-30; acc. 0001628280-25-038980, xrx-20250630.htm), Xerox Holdings Condensed Consolidated Balance Sheets (XBRL R4.htm), as of June 30, 2025: Billed portion of finance receivables, net = 46. https://www.sec.gov/Archives/edgar/data/1770450/000162828025038980/xrx-20250630.htm</t>
      </text>
    </comment>
    <comment ref="X15" authorId="0" shapeId="0">
      <text>
        <t>Form 10-Q (period ended 2025-09-30; acc. 0001770450-25-000037, xrx-20250930.htm), Xerox Holdings Condensed Consolidated Balance Sheets (XBRL R4.htm), as of September 30, 2025: Billed portion of finance receivables, net = 53. https://www.sec.gov/Archives/edgar/data/1770450/000177045025000037/xrx-20250930.htm</t>
      </text>
    </comment>
    <comment ref="Y15" authorId="0" shapeId="0">
      <text>
        <t>Form 10-K (period ended 2025-12-31; acc. 0001770450-26-000009, xrx-20251231.htm), Xerox Holdings Condensed Consolidated Balance Sheets (XBRL R5.htm), as of December 31, 2025: Billed portion of finance receivables, net = 46. https://www.sec.gov/Archives/edgar/data/1770450/000177045026000009/xrx-20251231.htm</t>
      </text>
    </comment>
    <comment ref="Z15" authorId="0" shapeId="0">
      <text>
        <t>Form 10-Q (period ended 2026-03-31; acc. 0001770450-26-000030, xrx-20260331.htm), Xerox Holdings Condensed Consolidated Balance Sheets (XBRL R4.htm), as of March 31, 2026: Billed portion of finance receivables, net = 43. https://www.sec.gov/Archives/edgar/data/1770450/000177045026000030/xrx-20260331.htm</t>
      </text>
    </comment>
    <comment ref="AA15" authorId="0" shapeId="0">
      <text>
        <t>Form 10-Q (period ended 2026-06-30; acc. 0001770450-26-000040, xrx-20260630.htm), Xerox Holdings Condensed Consolidated Balance Sheets (XBRL R4.htm), as of June 30, 2026: Billed portion of finance receivables, net = 40. https://www.sec.gov/Archives/edgar/data/1770450/000177045026000040/xrx-20260630.htm</t>
      </text>
    </comment>
    <comment ref="F16" authorId="0" shapeId="0">
      <text>
        <t>Form 10-Q (period ended 2021-03-31; acc. 0001770450-21-000025, xrx-20210331.htm), Xerox Holdings Condensed Consolidated Balance Sheets (XBRL R4.htm), as of March 31, 2021: Finance receivables, net = 1,065. https://www.sec.gov/Archives/edgar/data/1770450/000177045021000025/xrx-20210331.htm</t>
      </text>
    </comment>
    <comment ref="G16" authorId="0" shapeId="0">
      <text>
        <t>Form 10-Q (period ended 2021-06-30; acc. 0001770450-21-000036, xrx-20210630.htm), Xerox Holdings Condensed Consolidated Balance Sheets (XBRL R4.htm), as of June 30, 2021: Finance receivables, net = 1,057. https://www.sec.gov/Archives/edgar/data/1770450/000177045021000036/xrx-20210630.htm</t>
      </text>
    </comment>
    <comment ref="H16" authorId="0" shapeId="0">
      <text>
        <t>Form 10-Q (period ended 2021-09-30; acc. 0001770450-21-000050, xrx-20210930.htm), Xerox Holdings Condensed Consolidated Balance Sheets (XBRL R4.htm), as of September 30, 2021: Finance receivables, net = 1,039. https://www.sec.gov/Archives/edgar/data/1770450/000177045021000050/xrx-20210930.htm</t>
      </text>
    </comment>
    <comment ref="I16" authorId="0" shapeId="0">
      <text>
        <t>Form 10-K (period ended 2021-12-31; acc. 0001770450-22-000010, xrx-20211231.htm), Xerox Holdings Condensed Consolidated Balance Sheets (XBRL R5.htm), as of December 31, 2021: Finance receivables, net = 1,042. https://www.sec.gov/Archives/edgar/data/1770450/000177045022000010/xrx-20211231.htm</t>
      </text>
    </comment>
    <comment ref="J16" authorId="0" shapeId="0">
      <text>
        <t>Form 10-Q (period ended 2022-03-31; acc. 0001770450-22-000020, xrx-20220331.htm), Xerox Holdings Condensed Consolidated Balance Sheets (XBRL R4.htm), as of March 31, 2022: Finance receivables, net = 1,023. https://www.sec.gov/Archives/edgar/data/1770450/000177045022000020/xrx-20220331.htm</t>
      </text>
    </comment>
    <comment ref="K16" authorId="0" shapeId="0">
      <text>
        <t>Form 10-Q (period ended 2022-06-30; acc. 0001770450-22-000030, xrx-20220630.htm), Xerox Holdings Condensed Consolidated Balance Sheets (XBRL R4.htm), as of June 30, 2022: Finance receivables, net = 1,019. https://www.sec.gov/Archives/edgar/data/1770450/000177045022000030/xrx-20220630.htm</t>
      </text>
    </comment>
    <comment ref="L16" authorId="0" shapeId="0">
      <text>
        <t>Form 10-Q (period ended 2022-09-30; acc. 0001770450-22-000041, xrx-20220930.htm), Xerox Holdings Condensed Consolidated Balance Sheets (XBRL R4.htm), as of September 30, 2022: Finance receivables, net = 995. https://www.sec.gov/Archives/edgar/data/1770450/000177045022000041/xrx-20220930.htm</t>
      </text>
    </comment>
    <comment ref="M16" authorId="0" shapeId="0">
      <text>
        <t>Form 10-K (period ended 2022-12-31; acc. 0001770450-23-000011, xrx-20221231.htm), Xerox Holdings Condensed Consolidated Balance Sheets (XBRL R5.htm), as of December 31, 2022: Finance receivables, net = 1,061. https://www.sec.gov/Archives/edgar/data/1770450/000177045023000011/xrx-20221231.htm</t>
      </text>
    </comment>
    <comment ref="N16" authorId="0" shapeId="0">
      <text>
        <t>Form 10-Q (period ended 2023-03-31; acc. 0001770450-23-000032, xrx-20230331.htm), Xerox Holdings Condensed Consolidated Balance Sheets (XBRL R4.htm), as of March 31, 2023: Finance receivables, net = 1,022. https://www.sec.gov/Archives/edgar/data/1770450/000177045023000032/xrx-20230331.htm</t>
      </text>
    </comment>
    <comment ref="O16" authorId="0" shapeId="0">
      <text>
        <t>Form 10-Q (period ended 2023-06-30; acc. 0001770450-23-000042, xrx-20230630.htm), Xerox Holdings Condensed Consolidated Balance Sheets (XBRL R4.htm), as of June 30, 2023: Finance receivables, net = 940. https://www.sec.gov/Archives/edgar/data/1770450/000177045023000042/xrx-20230630.htm</t>
      </text>
    </comment>
    <comment ref="P16" authorId="0" shapeId="0">
      <text>
        <t>Form 10-Q (period ended 2023-09-30; acc. 0001770450-23-000050, xrx-20230930.htm), Xerox Holdings Condensed Consolidated Balance Sheets (XBRL R4.htm), as of September 30, 2023: Finance receivables, net = 906. https://www.sec.gov/Archives/edgar/data/1770450/000177045023000050/xrx-20230930.htm</t>
      </text>
    </comment>
    <comment ref="Q16" authorId="0" shapeId="0">
      <text>
        <t>Form 10-K (period ended 2023-12-31; acc. 0001770450-24-000012, xrx-20231231.htm), Xerox Holdings Condensed Consolidated Balance Sheets (XBRL R5.htm), as of December 31, 2023: Finance receivables, net = 842. https://www.sec.gov/Archives/edgar/data/1770450/000177045024000012/xrx-20231231.htm</t>
      </text>
    </comment>
    <comment ref="R16" authorId="0" shapeId="0">
      <text>
        <t>Form 10-Q (period ended 2024-03-31; acc. 0001770450-24-000031, xrx-20240331.htm), Xerox Holdings Condensed Consolidated Balance Sheets (XBRL R4.htm), as of March 31, 2024: Finance receivables, net = 783. https://www.sec.gov/Archives/edgar/data/1770450/000177045024000031/xrx-20240331.htm</t>
      </text>
    </comment>
    <comment ref="S16" authorId="0" shapeId="0">
      <text>
        <t>Form 10-Q (period ended 2024-06-30; acc. 0001770450-24-000042, xrx-20240630.htm), Xerox Holdings Condensed Consolidated Balance Sheets (XBRL R4.htm), as of June 30, 2024: Finance receivables, net = 713. https://www.sec.gov/Archives/edgar/data/1770450/000177045024000042/xrx-20240630.htm</t>
      </text>
    </comment>
    <comment ref="T16" authorId="0" shapeId="0">
      <text>
        <t>Form 10-Q (period ended 2024-09-30; acc. 0001770450-24-000050, xrx-20240930.htm), Xerox Holdings Condensed Consolidated Balance Sheets (XBRL R4.htm), as of September 30, 2024: Finance receivables, net = 664. https://www.sec.gov/Archives/edgar/data/1770450/000177045024000050/xrx-20240930.htm</t>
      </text>
    </comment>
    <comment ref="U16" authorId="0" shapeId="0">
      <text>
        <t>Form 10-K (period ended 2024-12-31; acc. 0001770450-25-000010, xrx-20241231.htm), Xerox Holdings Condensed Consolidated Balance Sheets (XBRL R5.htm), as of December 31, 2024: Finance receivables, net = 608. https://www.sec.gov/Archives/edgar/data/1770450/000177045025000010/xrx-20241231.htm</t>
      </text>
    </comment>
    <comment ref="V16" authorId="0" shapeId="0">
      <text>
        <t>Form 10-Q (period ended 2025-03-31; acc. 0001770450-25-000026, xrx-20250331.htm), Xerox Holdings Condensed Consolidated Balance Sheets (XBRL R4.htm), as of March 31, 2025: Finance receivables, net = 583. https://www.sec.gov/Archives/edgar/data/1770450/000177045025000026/xrx-20250331.htm</t>
      </text>
    </comment>
    <comment ref="W16" authorId="0" shapeId="0">
      <text>
        <t>Form 10-Q (period ended 2025-06-30; acc. 0001628280-25-038980, xrx-20250630.htm), Xerox Holdings Condensed Consolidated Balance Sheets (XBRL R4.htm), as of June 30, 2025: Finance receivables, net = 584. https://www.sec.gov/Archives/edgar/data/1770450/000162828025038980/xrx-20250630.htm</t>
      </text>
    </comment>
    <comment ref="X16" authorId="0" shapeId="0">
      <text>
        <t>Form 10-Q (period ended 2025-09-30; acc. 0001770450-25-000037, xrx-20250930.htm), Xerox Holdings Condensed Consolidated Balance Sheets (XBRL R4.htm), as of September 30, 2025: Finance receivables, net = 553. https://www.sec.gov/Archives/edgar/data/1770450/000177045025000037/xrx-20250930.htm</t>
      </text>
    </comment>
    <comment ref="Y16" authorId="0" shapeId="0">
      <text>
        <t>Form 10-K (period ended 2025-12-31; acc. 0001770450-26-000009, xrx-20251231.htm), Xerox Holdings Condensed Consolidated Balance Sheets (XBRL R5.htm), as of December 31, 2025: Finance receivables, net = 510. https://www.sec.gov/Archives/edgar/data/1770450/000177045026000009/xrx-20251231.htm</t>
      </text>
    </comment>
    <comment ref="Z16" authorId="0" shapeId="0">
      <text>
        <t>Form 10-Q (period ended 2026-03-31; acc. 0001770450-26-000030, xrx-20260331.htm), Xerox Holdings Condensed Consolidated Balance Sheets (XBRL R4.htm), as of March 31, 2026: Finance receivables, net = 476. https://www.sec.gov/Archives/edgar/data/1770450/000177045026000030/xrx-20260331.htm</t>
      </text>
    </comment>
    <comment ref="AA16" authorId="0" shapeId="0">
      <text>
        <t>Form 10-Q (period ended 2026-06-30; acc. 0001770450-26-000040, xrx-20260630.htm), Xerox Holdings Condensed Consolidated Balance Sheets (XBRL R4.htm), as of June 30, 2026: Finance receivables, net = 442. https://www.sec.gov/Archives/edgar/data/1770450/000177045026000040/xrx-20260630.htm</t>
      </text>
    </comment>
    <comment ref="F17" authorId="0" shapeId="0">
      <text>
        <t>Form 10-Q (period ended 2021-03-31; acc. 0001770450-21-000025, xrx-20210331.htm), Xerox Holdings Condensed Consolidated Balance Sheets (XBRL R4.htm), as of March 31, 2021: Inventories = 841. https://www.sec.gov/Archives/edgar/data/1770450/000177045021000025/xrx-20210331.htm</t>
      </text>
    </comment>
    <comment ref="G17" authorId="0" shapeId="0">
      <text>
        <t>Form 10-Q (period ended 2021-06-30; acc. 0001770450-21-000036, xrx-20210630.htm), Xerox Holdings Condensed Consolidated Balance Sheets (XBRL R4.htm), as of June 30, 2021: Inventories = 815. https://www.sec.gov/Archives/edgar/data/1770450/000177045021000036/xrx-20210630.htm</t>
      </text>
    </comment>
    <comment ref="H17" authorId="0" shapeId="0">
      <text>
        <t>Form 10-Q (period ended 2021-09-30; acc. 0001770450-21-000050, xrx-20210930.htm), Xerox Holdings Condensed Consolidated Balance Sheets (XBRL R4.htm), as of September 30, 2021: Inventories = 788. https://www.sec.gov/Archives/edgar/data/1770450/000177045021000050/xrx-20210930.htm</t>
      </text>
    </comment>
    <comment ref="I17" authorId="0" shapeId="0">
      <text>
        <t>Form 10-K (period ended 2021-12-31; acc. 0001770450-22-000010, xrx-20211231.htm), Xerox Holdings Condensed Consolidated Balance Sheets (XBRL R5.htm), as of December 31, 2021: Inventories = 696. https://www.sec.gov/Archives/edgar/data/1770450/000177045022000010/xrx-20211231.htm</t>
      </text>
    </comment>
    <comment ref="J17" authorId="0" shapeId="0">
      <text>
        <t>Form 10-Q (period ended 2022-03-31; acc. 0001770450-22-000020, xrx-20220331.htm), Xerox Holdings Condensed Consolidated Balance Sheets (XBRL R4.htm), as of March 31, 2022: Inventories = 732. https://www.sec.gov/Archives/edgar/data/1770450/000177045022000020/xrx-20220331.htm</t>
      </text>
    </comment>
    <comment ref="K17" authorId="0" shapeId="0">
      <text>
        <t>Form 10-Q (period ended 2022-06-30; acc. 0001770450-22-000030, xrx-20220630.htm), Xerox Holdings Condensed Consolidated Balance Sheets (XBRL R4.htm), as of June 30, 2022: Inventories = 765. https://www.sec.gov/Archives/edgar/data/1770450/000177045022000030/xrx-20220630.htm</t>
      </text>
    </comment>
    <comment ref="L17" authorId="0" shapeId="0">
      <text>
        <t>Form 10-Q (period ended 2022-09-30; acc. 0001770450-22-000041, xrx-20220930.htm), Xerox Holdings Condensed Consolidated Balance Sheets (XBRL R4.htm), as of September 30, 2022: Inventories = 777. https://www.sec.gov/Archives/edgar/data/1770450/000177045022000041/xrx-20220930.htm</t>
      </text>
    </comment>
    <comment ref="M17" authorId="0" shapeId="0">
      <text>
        <t>Form 10-K (period ended 2022-12-31; acc. 0001770450-23-000011, xrx-20221231.htm), Xerox Holdings Condensed Consolidated Balance Sheets (XBRL R5.htm), as of December 31, 2022: Inventories = 797. https://www.sec.gov/Archives/edgar/data/1770450/000177045023000011/xrx-20221231.htm</t>
      </text>
    </comment>
    <comment ref="N17" authorId="0" shapeId="0">
      <text>
        <t>Form 10-Q (period ended 2023-03-31; acc. 0001770450-23-000032, xrx-20230331.htm), Xerox Holdings Condensed Consolidated Balance Sheets (XBRL R4.htm), as of March 31, 2023: Inventories = 863. https://www.sec.gov/Archives/edgar/data/1770450/000177045023000032/xrx-20230331.htm</t>
      </text>
    </comment>
    <comment ref="O17" authorId="0" shapeId="0">
      <text>
        <t>Form 10-Q (period ended 2023-06-30; acc. 0001770450-23-000042, xrx-20230630.htm), Xerox Holdings Condensed Consolidated Balance Sheets (XBRL R4.htm), as of June 30, 2023: Inventories = 782. https://www.sec.gov/Archives/edgar/data/1770450/000177045023000042/xrx-20230630.htm</t>
      </text>
    </comment>
    <comment ref="P17" authorId="0" shapeId="0">
      <text>
        <t>Form 10-Q (period ended 2023-09-30; acc. 0001770450-23-000050, xrx-20230930.htm), Xerox Holdings Condensed Consolidated Balance Sheets (XBRL R4.htm), as of September 30, 2023: Inventories = 728. https://www.sec.gov/Archives/edgar/data/1770450/000177045023000050/xrx-20230930.htm</t>
      </text>
    </comment>
    <comment ref="Q17" authorId="0" shapeId="0">
      <text>
        <t>Form 10-K (period ended 2023-12-31; acc. 0001770450-24-000012, xrx-20231231.htm), Xerox Holdings Condensed Consolidated Balance Sheets (XBRL R5.htm), as of December 31, 2023: Inventories = 661. https://www.sec.gov/Archives/edgar/data/1770450/000177045024000012/xrx-20231231.htm</t>
      </text>
    </comment>
    <comment ref="R17" authorId="0" shapeId="0">
      <text>
        <t>Form 10-Q (period ended 2024-03-31; acc. 0001770450-24-000031, xrx-20240331.htm), Xerox Holdings Condensed Consolidated Balance Sheets (XBRL R4.htm), as of March 31, 2024: Inventories = 736. https://www.sec.gov/Archives/edgar/data/1770450/000177045024000031/xrx-20240331.htm</t>
      </text>
    </comment>
    <comment ref="S17" authorId="0" shapeId="0">
      <text>
        <t>Form 10-Q (period ended 2024-06-30; acc. 0001770450-24-000042, xrx-20240630.htm), Xerox Holdings Condensed Consolidated Balance Sheets (XBRL R4.htm), as of June 30, 2024: Inventories = 737. https://www.sec.gov/Archives/edgar/data/1770450/000177045024000042/xrx-20240630.htm</t>
      </text>
    </comment>
    <comment ref="T17" authorId="0" shapeId="0">
      <text>
        <t>Form 10-Q (period ended 2024-09-30; acc. 0001770450-24-000050, xrx-20240930.htm), Xerox Holdings Condensed Consolidated Balance Sheets (XBRL R4.htm), as of September 30, 2024: Inventories = 732. https://www.sec.gov/Archives/edgar/data/1770450/000177045024000050/xrx-20240930.htm</t>
      </text>
    </comment>
    <comment ref="U17" authorId="0" shapeId="0">
      <text>
        <t>Form 10-K (period ended 2024-12-31; acc. 0001770450-25-000010, xrx-20241231.htm), Xerox Holdings Condensed Consolidated Balance Sheets (XBRL R5.htm), as of December 31, 2024: Inventories = 695. https://www.sec.gov/Archives/edgar/data/1770450/000177045025000010/xrx-20241231.htm</t>
      </text>
    </comment>
    <comment ref="V17" authorId="0" shapeId="0">
      <text>
        <t>Form 10-Q (period ended 2025-03-31; acc. 0001770450-25-000026, xrx-20250331.htm), Xerox Holdings Condensed Consolidated Balance Sheets (XBRL R4.htm), as of March 31, 2025: Inventories = 836. https://www.sec.gov/Archives/edgar/data/1770450/000177045025000026/xrx-20250331.htm</t>
      </text>
    </comment>
    <comment ref="W17" authorId="0" shapeId="0">
      <text>
        <t>Form 10-Q (period ended 2025-06-30; acc. 0001628280-25-038980, xrx-20250630.htm), Xerox Holdings Condensed Consolidated Balance Sheets (XBRL R4.htm), as of June 30, 2025: Inventories = 871. https://www.sec.gov/Archives/edgar/data/1770450/000162828025038980/xrx-20250630.htm</t>
      </text>
    </comment>
    <comment ref="X17" authorId="0" shapeId="0">
      <text>
        <t>Form 10-Q (period ended 2025-09-30; acc. 0001770450-25-000037, xrx-20250930.htm), Xerox Holdings Condensed Consolidated Balance Sheets (XBRL R4.htm), as of September 30, 2025: Inventories = 1,143. https://www.sec.gov/Archives/edgar/data/1770450/000177045025000037/xrx-20250930.htm</t>
      </text>
    </comment>
    <comment ref="Y17" authorId="0" shapeId="0">
      <text>
        <t>Form 10-K (period ended 2025-12-31; acc. 0001770450-26-000009, xrx-20251231.htm), Xerox Holdings Condensed Consolidated Balance Sheets (XBRL R5.htm), as of December 31, 2025: Inventories = 1,016. https://www.sec.gov/Archives/edgar/data/1770450/000177045026000009/xrx-20251231.htm</t>
      </text>
    </comment>
    <comment ref="Z17" authorId="0" shapeId="0">
      <text>
        <t>Form 10-Q (period ended 2026-03-31; acc. 0001770450-26-000030, xrx-20260331.htm), Xerox Holdings Condensed Consolidated Balance Sheets (XBRL R4.htm), as of March 31, 2026: Inventories = 1,043. https://www.sec.gov/Archives/edgar/data/1770450/000177045026000030/xrx-20260331.htm</t>
      </text>
    </comment>
    <comment ref="AA17" authorId="0" shapeId="0">
      <text>
        <t>Form 10-Q (period ended 2026-06-30; acc. 0001770450-26-000040, xrx-20260630.htm), Xerox Holdings Condensed Consolidated Balance Sheets (XBRL R4.htm), as of June 30, 2026: Inventories = 1,043. https://www.sec.gov/Archives/edgar/data/1770450/000177045026000040/xrx-20260630.htm</t>
      </text>
    </comment>
    <comment ref="F18" authorId="0" shapeId="0">
      <text>
        <t>Form 10-Q (period ended 2021-03-31; acc. 0001770450-21-000025, xrx-20210331.htm), Xerox Holdings Condensed Consolidated Balance Sheets (XBRL R4.htm), as of March 31, 2021: Other current assets = 262. https://www.sec.gov/Archives/edgar/data/1770450/000177045021000025/xrx-20210331.htm</t>
      </text>
    </comment>
    <comment ref="G18" authorId="0" shapeId="0">
      <text>
        <t>Form 10-Q (period ended 2021-06-30; acc. 0001770450-21-000036, xrx-20210630.htm), Xerox Holdings Condensed Consolidated Balance Sheets (XBRL R4.htm), as of June 30, 2021: Other current assets = 244. https://www.sec.gov/Archives/edgar/data/1770450/000177045021000036/xrx-20210630.htm</t>
      </text>
    </comment>
    <comment ref="H18" authorId="0" shapeId="0">
      <text>
        <t>Form 10-Q (period ended 2021-09-30; acc. 0001770450-21-000050, xrx-20210930.htm), Xerox Holdings Condensed Consolidated Balance Sheets (XBRL R4.htm), as of September 30, 2021: Other current assets = 209. https://www.sec.gov/Archives/edgar/data/1770450/000177045021000050/xrx-20210930.htm</t>
      </text>
    </comment>
    <comment ref="I18" authorId="0" shapeId="0">
      <text>
        <t>Form 10-K (period ended 2021-12-31; acc. 0001770450-22-000010, xrx-20211231.htm), Xerox Holdings Condensed Consolidated Balance Sheets (XBRL R5.htm), as of December 31, 2021: Other current assets = 211. https://www.sec.gov/Archives/edgar/data/1770450/000177045022000010/xrx-20211231.htm</t>
      </text>
    </comment>
    <comment ref="J18" authorId="0" shapeId="0">
      <text>
        <t>Form 10-Q (period ended 2022-03-31; acc. 0001770450-22-000020, xrx-20220331.htm), Xerox Holdings Condensed Consolidated Balance Sheets (XBRL R4.htm), as of March 31, 2022: Other current assets = 234. https://www.sec.gov/Archives/edgar/data/1770450/000177045022000020/xrx-20220331.htm</t>
      </text>
    </comment>
    <comment ref="K18" authorId="0" shapeId="0">
      <text>
        <t>Form 10-Q (period ended 2022-06-30; acc. 0001770450-22-000030, xrx-20220630.htm), Xerox Holdings Condensed Consolidated Balance Sheets (XBRL R4.htm), as of June 30, 2022: Other current assets = 232. https://www.sec.gov/Archives/edgar/data/1770450/000177045022000030/xrx-20220630.htm</t>
      </text>
    </comment>
    <comment ref="L18" authorId="0" shapeId="0">
      <text>
        <t>Form 10-Q (period ended 2022-09-30; acc. 0001770450-22-000041, xrx-20220930.htm), Xerox Holdings Condensed Consolidated Balance Sheets (XBRL R4.htm), as of September 30, 2022: Other current assets = 265. https://www.sec.gov/Archives/edgar/data/1770450/000177045022000041/xrx-20220930.htm</t>
      </text>
    </comment>
    <comment ref="M18" authorId="0" shapeId="0">
      <text>
        <t>Form 10-K (period ended 2022-12-31; acc. 0001770450-23-000011, xrx-20221231.htm), Xerox Holdings Condensed Consolidated Balance Sheets (XBRL R5.htm), as of December 31, 2022: Other current assets = 254. https://www.sec.gov/Archives/edgar/data/1770450/000177045023000011/xrx-20221231.htm</t>
      </text>
    </comment>
    <comment ref="N18" authorId="0" shapeId="0">
      <text>
        <t>Form 10-Q (period ended 2023-03-31; acc. 0001770450-23-000032, xrx-20230331.htm), Xerox Holdings Condensed Consolidated Balance Sheets (XBRL R4.htm), as of March 31, 2023: Other current assets = 252. https://www.sec.gov/Archives/edgar/data/1770450/000177045023000032/xrx-20230331.htm</t>
      </text>
    </comment>
    <comment ref="O18" authorId="0" shapeId="0">
      <text>
        <t>Form 10-Q (period ended 2023-06-30; acc. 0001770450-23-000042, xrx-20230630.htm), Xerox Holdings Condensed Consolidated Balance Sheets (XBRL R4.htm), as of June 30, 2023: Other current assets = 218. https://www.sec.gov/Archives/edgar/data/1770450/000177045023000042/xrx-20230630.htm</t>
      </text>
    </comment>
    <comment ref="P18" authorId="0" shapeId="0">
      <text>
        <t>Form 10-Q (period ended 2023-09-30; acc. 0001770450-23-000050, xrx-20230930.htm), Xerox Holdings Condensed Consolidated Balance Sheets (XBRL R4.htm), as of September 30, 2023: Other current assets = 228. https://www.sec.gov/Archives/edgar/data/1770450/000177045023000050/xrx-20230930.htm</t>
      </text>
    </comment>
    <comment ref="Q18" authorId="0" shapeId="0">
      <text>
        <t>Form 10-K (period ended 2023-12-31; acc. 0001770450-24-000012, xrx-20231231.htm), Xerox Holdings Condensed Consolidated Balance Sheets (XBRL R5.htm), as of December 31, 2023: Other current assets = 234. https://www.sec.gov/Archives/edgar/data/1770450/000177045024000012/xrx-20231231.htm</t>
      </text>
    </comment>
    <comment ref="R18" authorId="0" shapeId="0">
      <text>
        <t>Form 10-Q (period ended 2024-03-31; acc. 0001770450-24-000031, xrx-20240331.htm), Xerox Holdings Condensed Consolidated Balance Sheets (XBRL R4.htm), as of March 31, 2024: Other current assets = 231. https://www.sec.gov/Archives/edgar/data/1770450/000177045024000031/xrx-20240331.htm</t>
      </text>
    </comment>
    <comment ref="S18" authorId="0" shapeId="0">
      <text>
        <t>Form 10-Q (period ended 2024-06-30; acc. 0001770450-24-000042, xrx-20240630.htm), Xerox Holdings Condensed Consolidated Balance Sheets (XBRL R4.htm), as of June 30, 2024: Other current assets = 199. https://www.sec.gov/Archives/edgar/data/1770450/000177045024000042/xrx-20240630.htm</t>
      </text>
    </comment>
    <comment ref="T18" authorId="0" shapeId="0">
      <text>
        <t>Form 10-Q (period ended 2024-09-30; acc. 0001770450-24-000050, xrx-20240930.htm), Xerox Holdings Condensed Consolidated Balance Sheets (XBRL R4.htm), as of September 30, 2024: Other current assets = 223. https://www.sec.gov/Archives/edgar/data/1770450/000177045024000050/xrx-20240930.htm</t>
      </text>
    </comment>
    <comment ref="U18" authorId="0" shapeId="0">
      <text>
        <t>Form 10-K (period ended 2024-12-31; acc. 0001770450-25-000010, xrx-20241231.htm), Xerox Holdings Condensed Consolidated Balance Sheets (XBRL R5.htm), as of December 31, 2024: Other current assets = 212. https://www.sec.gov/Archives/edgar/data/1770450/000177045025000010/xrx-20241231.htm</t>
      </text>
    </comment>
    <comment ref="V18" authorId="0" shapeId="0">
      <text>
        <t>Form 10-Q (period ended 2025-03-31; acc. 0001770450-25-000026, xrx-20250331.htm), Xerox Holdings Condensed Consolidated Balance Sheets (XBRL R4.htm), as of March 31, 2025: Other current assets = 250. https://www.sec.gov/Archives/edgar/data/1770450/000177045025000026/xrx-20250331.htm</t>
      </text>
    </comment>
    <comment ref="W18" authorId="0" shapeId="0">
      <text>
        <t>Form 10-Q (period ended 2025-06-30; acc. 0001628280-25-038980, xrx-20250630.htm), Xerox Holdings Condensed Consolidated Balance Sheets (XBRL R4.htm), as of June 30, 2025: Other current assets = 731. https://www.sec.gov/Archives/edgar/data/1770450/000162828025038980/xrx-20250630.htm</t>
      </text>
    </comment>
    <comment ref="X18" authorId="0" shapeId="0">
      <text>
        <t>Form 10-Q (period ended 2025-09-30; acc. 0001770450-25-000037, xrx-20250930.htm), Xerox Holdings Condensed Consolidated Balance Sheets (XBRL R4.htm), as of September 30, 2025: Other current assets = 329. https://www.sec.gov/Archives/edgar/data/1770450/000177045025000037/xrx-20250930.htm</t>
      </text>
    </comment>
    <comment ref="Y18" authorId="0" shapeId="0">
      <text>
        <t>Form 10-K (period ended 2025-12-31; acc. 0001770450-26-000009, xrx-20251231.htm), Xerox Holdings Condensed Consolidated Balance Sheets (XBRL R5.htm), as of December 31, 2025: Other current assets = 362. https://www.sec.gov/Archives/edgar/data/1770450/000177045026000009/xrx-20251231.htm</t>
      </text>
    </comment>
    <comment ref="Z18" authorId="0" shapeId="0">
      <text>
        <t>Form 10-Q (period ended 2026-03-31; acc. 0001770450-26-000030, xrx-20260331.htm), Xerox Holdings Condensed Consolidated Balance Sheets (XBRL R4.htm), as of March 31, 2026: Other current assets = 415. https://www.sec.gov/Archives/edgar/data/1770450/000177045026000030/xrx-20260331.htm</t>
      </text>
    </comment>
    <comment ref="AA18" authorId="0" shapeId="0">
      <text>
        <t>Form 10-Q (period ended 2026-06-30; acc. 0001770450-26-000040, xrx-20260630.htm), Xerox Holdings Condensed Consolidated Balance Sheets (XBRL R4.htm), as of June 30, 2026: Other current assets = 492. https://www.sec.gov/Archives/edgar/data/1770450/000177045026000040/xrx-20260630.htm</t>
      </text>
    </comment>
    <comment ref="F20" authorId="0" shapeId="0">
      <text>
        <t>Reported subtotal. Form 10-Q (period ended 2021-03-31; acc. 0001770450-21-000025, xrx-20210331.htm), Xerox Holdings Condensed Consolidated Balance Sheets (XBRL R4.htm), as of March 31, 2021: Total current assets = 5,420. https://www.sec.gov/Archives/edgar/data/1770450/000177045021000025/xrx-20210331.htm</t>
      </text>
    </comment>
    <comment ref="G20" authorId="0" shapeId="0">
      <text>
        <t>Reported subtotal. Form 10-Q (period ended 2021-06-30; acc. 0001770450-21-000036, xrx-20210630.htm), Xerox Holdings Condensed Consolidated Balance Sheets (XBRL R4.htm), as of June 30, 2021: Total current assets = 5,175. https://www.sec.gov/Archives/edgar/data/1770450/000177045021000036/xrx-20210630.htm</t>
      </text>
    </comment>
    <comment ref="H20" authorId="0" shapeId="0">
      <text>
        <t>Reported subtotal. Form 10-Q (period ended 2021-09-30; acc. 0001770450-21-000050, xrx-20210930.htm), Xerox Holdings Condensed Consolidated Balance Sheets (XBRL R4.htm), as of September 30, 2021: Total current assets = 5,236. https://www.sec.gov/Archives/edgar/data/1770450/000177045021000050/xrx-20210930.htm</t>
      </text>
    </comment>
    <comment ref="I20" authorId="0" shapeId="0">
      <text>
        <t>Reported subtotal. Form 10-K (period ended 2021-12-31; acc. 0001770450-22-000010, xrx-20211231.htm), Xerox Holdings Condensed Consolidated Balance Sheets (XBRL R5.htm), as of December 31, 2021: Total current assets = 4,701. https://www.sec.gov/Archives/edgar/data/1770450/000177045022000010/xrx-20211231.htm</t>
      </text>
    </comment>
    <comment ref="J20" authorId="0" shapeId="0">
      <text>
        <t>Reported subtotal. Form 10-Q (period ended 2022-03-31; acc. 0001770450-22-000020, xrx-20220331.htm), Xerox Holdings Condensed Consolidated Balance Sheets (XBRL R4.htm), as of March 31, 2022: Total current assets = 4,566. https://www.sec.gov/Archives/edgar/data/1770450/000177045022000020/xrx-20220331.htm</t>
      </text>
    </comment>
    <comment ref="K20" authorId="0" shapeId="0">
      <text>
        <t>Reported subtotal. Form 10-Q (period ended 2022-06-30; acc. 0001770450-22-000030, xrx-20220630.htm), Xerox Holdings Condensed Consolidated Balance Sheets (XBRL R4.htm), as of June 30, 2022: Total current assets = 4,102. https://www.sec.gov/Archives/edgar/data/1770450/000177045022000030/xrx-20220630.htm</t>
      </text>
    </comment>
    <comment ref="L20" authorId="0" shapeId="0">
      <text>
        <t>Reported subtotal. Form 10-Q (period ended 2022-09-30; acc. 0001770450-22-000041, xrx-20220930.htm), Xerox Holdings Condensed Consolidated Balance Sheets (XBRL R4.htm), as of September 30, 2022: Total current assets = 3,895. https://www.sec.gov/Archives/edgar/data/1770450/000177045022000041/xrx-20220930.htm</t>
      </text>
    </comment>
    <comment ref="M20" authorId="0" shapeId="0">
      <text>
        <t>Reported subtotal. Form 10-K (period ended 2022-12-31; acc. 0001770450-23-000011, xrx-20221231.htm), Xerox Holdings Condensed Consolidated Balance Sheets (XBRL R5.htm), as of December 31, 2022: Total current assets = 4,107. https://www.sec.gov/Archives/edgar/data/1770450/000177045023000011/xrx-20221231.htm</t>
      </text>
    </comment>
    <comment ref="N20" authorId="0" shapeId="0">
      <text>
        <t>Reported subtotal. Form 10-Q (period ended 2023-03-31; acc. 0001770450-23-000032, xrx-20230331.htm), Xerox Holdings Condensed Consolidated Balance Sheets (XBRL R4.htm), as of March 31, 2023: Total current assets = 3,640. https://www.sec.gov/Archives/edgar/data/1770450/000177045023000032/xrx-20230331.htm</t>
      </text>
    </comment>
    <comment ref="O20" authorId="0" shapeId="0">
      <text>
        <t>Reported subtotal. Form 10-Q (period ended 2023-06-30; acc. 0001770450-23-000042, xrx-20230630.htm), Xerox Holdings Condensed Consolidated Balance Sheets (XBRL R4.htm), as of June 30, 2023: Total current assets = 3,390. https://www.sec.gov/Archives/edgar/data/1770450/000177045023000042/xrx-20230630.htm</t>
      </text>
    </comment>
    <comment ref="P20" authorId="0" shapeId="0">
      <text>
        <t>Reported subtotal. Form 10-Q (period ended 2023-09-30; acc. 0001770450-23-000050, xrx-20230930.htm), Xerox Holdings Condensed Consolidated Balance Sheets (XBRL R4.htm), as of September 30, 2023: Total current assets = 3,354. https://www.sec.gov/Archives/edgar/data/1770450/000177045023000050/xrx-20230930.htm</t>
      </text>
    </comment>
    <comment ref="Q20" authorId="0" shapeId="0">
      <text>
        <t>Reported subtotal. Form 10-K (period ended 2023-12-31; acc. 0001770450-24-000012, xrx-20231231.htm), Xerox Holdings Condensed Consolidated Balance Sheets (XBRL R5.htm), as of December 31, 2023: Total current assets = 3,177. https://www.sec.gov/Archives/edgar/data/1770450/000177045024000012/xrx-20231231.htm</t>
      </text>
    </comment>
    <comment ref="R20" authorId="0" shapeId="0">
      <text>
        <t>Reported subtotal. Form 10-Q (period ended 2024-03-31; acc. 0001770450-24-000031, xrx-20240331.htm), Xerox Holdings Condensed Consolidated Balance Sheets (XBRL R4.htm), as of March 31, 2024: Total current assets = 3,348. https://www.sec.gov/Archives/edgar/data/1770450/000177045024000031/xrx-20240331.htm</t>
      </text>
    </comment>
    <comment ref="S20" authorId="0" shapeId="0">
      <text>
        <t>Reported subtotal. Form 10-Q (period ended 2024-06-30; acc. 0001770450-24-000042, xrx-20240630.htm), Xerox Holdings Condensed Consolidated Balance Sheets (XBRL R4.htm), as of June 30, 2024: Total current assets = 3,051. https://www.sec.gov/Archives/edgar/data/1770450/000177045024000042/xrx-20240630.htm</t>
      </text>
    </comment>
    <comment ref="T20" authorId="0" shapeId="0">
      <text>
        <t>Reported subtotal. Form 10-Q (period ended 2024-09-30; acc. 0001770450-24-000050, xrx-20240930.htm), Xerox Holdings Condensed Consolidated Balance Sheets (XBRL R4.htm), as of September 30, 2024: Total current assets = 3,011. https://www.sec.gov/Archives/edgar/data/1770450/000177045024000050/xrx-20240930.htm</t>
      </text>
    </comment>
    <comment ref="U20" authorId="0" shapeId="0">
      <text>
        <t>Reported subtotal. Form 10-K (period ended 2024-12-31; acc. 0001770450-25-000010, xrx-20241231.htm), Xerox Holdings Condensed Consolidated Balance Sheets (XBRL R5.htm), as of December 31, 2024: Total current assets = 2,935. https://www.sec.gov/Archives/edgar/data/1770450/000177045025000010/xrx-20241231.htm</t>
      </text>
    </comment>
    <comment ref="V20" authorId="0" shapeId="0">
      <text>
        <t>Reported subtotal. Form 10-Q (period ended 2025-03-31; acc. 0001770450-25-000026, xrx-20250331.htm), Xerox Holdings Condensed Consolidated Balance Sheets (XBRL R4.htm), as of March 31, 2025: Total current assets = 2,867. https://www.sec.gov/Archives/edgar/data/1770450/000177045025000026/xrx-20250331.htm</t>
      </text>
    </comment>
    <comment ref="W20" authorId="0" shapeId="0">
      <text>
        <t>Reported subtotal. Form 10-Q (period ended 2025-06-30; acc. 0001628280-25-038980, xrx-20250630.htm), Xerox Holdings Condensed Consolidated Balance Sheets (XBRL R4.htm), as of June 30, 2025: Total current assets = 3,543. https://www.sec.gov/Archives/edgar/data/1770450/000162828025038980/xrx-20250630.htm</t>
      </text>
    </comment>
    <comment ref="X20" authorId="0" shapeId="0">
      <text>
        <t>Reported subtotal. Form 10-Q (period ended 2025-09-30; acc. 0001770450-25-000037, xrx-20250930.htm), Xerox Holdings Condensed Consolidated Balance Sheets (XBRL R4.htm), as of September 30, 2025: Total current assets = 3,753. https://www.sec.gov/Archives/edgar/data/1770450/000177045025000037/xrx-20250930.htm</t>
      </text>
    </comment>
    <comment ref="Y20" authorId="0" shapeId="0">
      <text>
        <t>Reported subtotal. Form 10-K (period ended 2025-12-31; acc. 0001770450-26-000009, xrx-20251231.htm), Xerox Holdings Condensed Consolidated Balance Sheets (XBRL R5.htm), as of December 31, 2025: Total current assets = 3,568. https://www.sec.gov/Archives/edgar/data/1770450/000177045026000009/xrx-20251231.htm</t>
      </text>
    </comment>
    <comment ref="Z20" authorId="0" shapeId="0">
      <text>
        <t>Reported subtotal. Form 10-Q (period ended 2026-03-31; acc. 0001770450-26-000030, xrx-20260331.htm), Xerox Holdings Condensed Consolidated Balance Sheets (XBRL R4.htm), as of March 31, 2026: Total current assets = 3,780. https://www.sec.gov/Archives/edgar/data/1770450/000177045026000030/xrx-20260331.htm</t>
      </text>
    </comment>
    <comment ref="AA20" authorId="0" shapeId="0">
      <text>
        <t>Reported subtotal. Form 10-Q (period ended 2026-06-30; acc. 0001770450-26-000040, xrx-20260630.htm), Xerox Holdings Condensed Consolidated Balance Sheets (XBRL R4.htm), as of June 30, 2026: Total current assets = 3,697. https://www.sec.gov/Archives/edgar/data/1770450/000177045026000040/xrx-20260630.htm</t>
      </text>
    </comment>
    <comment ref="F22" authorId="0" shapeId="0">
      <text>
        <t>Form 10-Q (period ended 2021-03-31; acc. 0001770450-21-000025, xrx-20210331.htm), Xerox Holdings Condensed Consolidated Balance Sheets (XBRL R4.htm), as of March 31, 2021: Finance receivables due after one year, net = 1,920. https://www.sec.gov/Archives/edgar/data/1770450/000177045021000025/xrx-20210331.htm</t>
      </text>
    </comment>
    <comment ref="G22" authorId="0" shapeId="0">
      <text>
        <t>Form 10-Q (period ended 2021-06-30; acc. 0001770450-21-000036, xrx-20210630.htm), Xerox Holdings Condensed Consolidated Balance Sheets (XBRL R4.htm), as of June 30, 2021: Finance receivables due after one year, net = 1,971. https://www.sec.gov/Archives/edgar/data/1770450/000177045021000036/xrx-20210630.htm</t>
      </text>
    </comment>
    <comment ref="H22" authorId="0" shapeId="0">
      <text>
        <t>Form 10-Q (period ended 2021-09-30; acc. 0001770450-21-000050, xrx-20210930.htm), Xerox Holdings Condensed Consolidated Balance Sheets (XBRL R4.htm), as of September 30, 2021: Finance receivables due after one year, net = 1,936. https://www.sec.gov/Archives/edgar/data/1770450/000177045021000050/xrx-20210930.htm</t>
      </text>
    </comment>
    <comment ref="I22" authorId="0" shapeId="0">
      <text>
        <t>Form 10-K (period ended 2021-12-31; acc. 0001770450-22-000010, xrx-20211231.htm), Xerox Holdings Condensed Consolidated Balance Sheets (XBRL R5.htm), as of December 31, 2021: Finance receivables due after one year, net = 1,934. https://www.sec.gov/Archives/edgar/data/1770450/000177045022000010/xrx-20211231.htm</t>
      </text>
    </comment>
    <comment ref="J22" authorId="0" shapeId="0">
      <text>
        <t>Form 10-Q (period ended 2022-03-31; acc. 0001770450-22-000020, xrx-20220331.htm), Xerox Holdings Condensed Consolidated Balance Sheets (XBRL R4.htm), as of March 31, 2022: Finance receivables due after one year, net = 1,893. https://www.sec.gov/Archives/edgar/data/1770450/000177045022000020/xrx-20220331.htm</t>
      </text>
    </comment>
    <comment ref="K22" authorId="0" shapeId="0">
      <text>
        <t>Form 10-Q (period ended 2022-06-30; acc. 0001770450-22-000030, xrx-20220630.htm), Xerox Holdings Condensed Consolidated Balance Sheets (XBRL R4.htm), as of June 30, 2022: Finance receivables due after one year, net = 1,845. https://www.sec.gov/Archives/edgar/data/1770450/000177045022000030/xrx-20220630.htm</t>
      </text>
    </comment>
    <comment ref="L22" authorId="0" shapeId="0">
      <text>
        <t>Form 10-Q (period ended 2022-09-30; acc. 0001770450-22-000041, xrx-20220930.htm), Xerox Holdings Condensed Consolidated Balance Sheets (XBRL R4.htm), as of September 30, 2022: Finance receivables due after one year, net = 1,814. https://www.sec.gov/Archives/edgar/data/1770450/000177045022000041/xrx-20220930.htm</t>
      </text>
    </comment>
    <comment ref="M22" authorId="0" shapeId="0">
      <text>
        <t>Form 10-K (period ended 2022-12-31; acc. 0001770450-23-000011, xrx-20221231.htm), Xerox Holdings Condensed Consolidated Balance Sheets (XBRL R5.htm), as of December 31, 2022: Finance receivables due after one year, net = 1,948. https://www.sec.gov/Archives/edgar/data/1770450/000177045023000011/xrx-20221231.htm</t>
      </text>
    </comment>
    <comment ref="N22" authorId="0" shapeId="0">
      <text>
        <t>Form 10-Q (period ended 2023-03-31; acc. 0001770450-23-000032, xrx-20230331.htm), Xerox Holdings Condensed Consolidated Balance Sheets (XBRL R4.htm), as of March 31, 2023: Finance receivables due after one year, net = 1,864. https://www.sec.gov/Archives/edgar/data/1770450/000177045023000032/xrx-20230331.htm</t>
      </text>
    </comment>
    <comment ref="O22" authorId="0" shapeId="0">
      <text>
        <t>Form 10-Q (period ended 2023-06-30; acc. 0001770450-23-000042, xrx-20230630.htm), Xerox Holdings Condensed Consolidated Balance Sheets (XBRL R4.htm), as of June 30, 2023: Finance receivables due after one year, net = 1,697. https://www.sec.gov/Archives/edgar/data/1770450/000177045023000042/xrx-20230630.htm</t>
      </text>
    </comment>
    <comment ref="P22" authorId="0" shapeId="0">
      <text>
        <t>Form 10-Q (period ended 2023-09-30; acc. 0001770450-23-000050, xrx-20230930.htm), Xerox Holdings Condensed Consolidated Balance Sheets (XBRL R4.htm), as of September 30, 2023: Finance receivables due after one year, net = 1,605. https://www.sec.gov/Archives/edgar/data/1770450/000177045023000050/xrx-20230930.htm</t>
      </text>
    </comment>
    <comment ref="Q22" authorId="0" shapeId="0">
      <text>
        <t>Form 10-K (period ended 2023-12-31; acc. 0001770450-24-000012, xrx-20231231.htm), Xerox Holdings Condensed Consolidated Balance Sheets (XBRL R5.htm), as of December 31, 2023: Finance receivables due after one year, net = 1,597. https://www.sec.gov/Archives/edgar/data/1770450/000177045024000012/xrx-20231231.htm</t>
      </text>
    </comment>
    <comment ref="R22" authorId="0" shapeId="0">
      <text>
        <t>Form 10-Q (period ended 2024-03-31; acc. 0001770450-24-000031, xrx-20240331.htm), Xerox Holdings Condensed Consolidated Balance Sheets (XBRL R4.htm), as of March 31, 2024: Finance receivables due after one year, net = 1,408. https://www.sec.gov/Archives/edgar/data/1770450/000177045024000031/xrx-20240331.htm</t>
      </text>
    </comment>
    <comment ref="S22" authorId="0" shapeId="0">
      <text>
        <t>Form 10-Q (period ended 2024-06-30; acc. 0001770450-24-000042, xrx-20240630.htm), Xerox Holdings Condensed Consolidated Balance Sheets (XBRL R4.htm), as of June 30, 2024: Finance receivables due after one year, net = 1,277. https://www.sec.gov/Archives/edgar/data/1770450/000177045024000042/xrx-20240630.htm</t>
      </text>
    </comment>
    <comment ref="T22" authorId="0" shapeId="0">
      <text>
        <t>Form 10-Q (period ended 2024-09-30; acc. 0001770450-24-000050, xrx-20240930.htm), Xerox Holdings Condensed Consolidated Balance Sheets (XBRL R4.htm), as of September 30, 2024: Finance receivables due after one year, net = 1,275. https://www.sec.gov/Archives/edgar/data/1770450/000177045024000050/xrx-20240930.htm</t>
      </text>
    </comment>
    <comment ref="U22" authorId="0" shapeId="0">
      <text>
        <t>Form 10-K (period ended 2024-12-31; acc. 0001770450-25-000010, xrx-20241231.htm), Xerox Holdings Condensed Consolidated Balance Sheets (XBRL R5.htm), as of December 31, 2024: Finance receivables due after one year, net = 1,089. https://www.sec.gov/Archives/edgar/data/1770450/000177045025000010/xrx-20241231.htm</t>
      </text>
    </comment>
    <comment ref="V22" authorId="0" shapeId="0">
      <text>
        <t>Form 10-Q (period ended 2025-03-31; acc. 0001770450-25-000026, xrx-20250331.htm), Xerox Holdings Condensed Consolidated Balance Sheets (XBRL R4.htm), as of March 31, 2025: Finance receivables due after one year, net = 1,013. https://www.sec.gov/Archives/edgar/data/1770450/000177045025000026/xrx-20250331.htm</t>
      </text>
    </comment>
    <comment ref="W22" authorId="0" shapeId="0">
      <text>
        <t>Form 10-Q (period ended 2025-06-30; acc. 0001628280-25-038980, xrx-20250630.htm), Xerox Holdings Condensed Consolidated Balance Sheets (XBRL R4.htm), as of June 30, 2025: Finance receivables due after one year, net = 990. https://www.sec.gov/Archives/edgar/data/1770450/000162828025038980/xrx-20250630.htm</t>
      </text>
    </comment>
    <comment ref="X22" authorId="0" shapeId="0">
      <text>
        <t>Form 10-Q (period ended 2025-09-30; acc. 0001770450-25-000037, xrx-20250930.htm), Xerox Holdings Condensed Consolidated Balance Sheets (XBRL R4.htm), as of September 30, 2025: Finance receivables due after one year, net = 950. https://www.sec.gov/Archives/edgar/data/1770450/000177045025000037/xrx-20250930.htm</t>
      </text>
    </comment>
    <comment ref="Y22" authorId="0" shapeId="0">
      <text>
        <t>Form 10-K (period ended 2025-12-31; acc. 0001770450-26-000009, xrx-20251231.htm), Xerox Holdings Condensed Consolidated Balance Sheets (XBRL R5.htm), as of December 31, 2025: Finance receivables due after one year, net = 846. https://www.sec.gov/Archives/edgar/data/1770450/000177045026000009/xrx-20251231.htm</t>
      </text>
    </comment>
    <comment ref="Z22" authorId="0" shapeId="0">
      <text>
        <t>Form 10-Q (period ended 2026-03-31; acc. 0001770450-26-000030, xrx-20260331.htm), Xerox Holdings Condensed Consolidated Balance Sheets (XBRL R4.htm), as of March 31, 2026: Finance receivables due after one year, net = 797. https://www.sec.gov/Archives/edgar/data/1770450/000177045026000030/xrx-20260331.htm</t>
      </text>
    </comment>
    <comment ref="AA22" authorId="0" shapeId="0">
      <text>
        <t>Form 10-Q (period ended 2026-06-30; acc. 0001770450-26-000040, xrx-20260630.htm), Xerox Holdings Condensed Consolidated Balance Sheets (XBRL R4.htm), as of June 30, 2026: Finance receivables due after one year, net = 732. https://www.sec.gov/Archives/edgar/data/1770450/000177045026000040/xrx-20260630.htm</t>
      </text>
    </comment>
    <comment ref="F23" authorId="0" shapeId="0">
      <text>
        <t>Form 10-Q (period ended 2021-03-31; acc. 0001770450-21-000025, xrx-20210331.htm), Xerox Holdings Condensed Consolidated Balance Sheets (XBRL R4.htm), as of March 31, 2021: Equipment on operating leases, net = 277. https://www.sec.gov/Archives/edgar/data/1770450/000177045021000025/xrx-20210331.htm</t>
      </text>
    </comment>
    <comment ref="G23" authorId="0" shapeId="0">
      <text>
        <t>Form 10-Q (period ended 2021-06-30; acc. 0001770450-21-000036, xrx-20210630.htm), Xerox Holdings Condensed Consolidated Balance Sheets (XBRL R4.htm), as of June 30, 2021: Equipment on operating leases, net = 271. https://www.sec.gov/Archives/edgar/data/1770450/000177045021000036/xrx-20210630.htm</t>
      </text>
    </comment>
    <comment ref="H23" authorId="0" shapeId="0">
      <text>
        <t>Form 10-Q (period ended 2021-09-30; acc. 0001770450-21-000050, xrx-20210930.htm), Xerox Holdings Condensed Consolidated Balance Sheets (XBRL R4.htm), as of September 30, 2021: Equipment on operating leases, net = 254. https://www.sec.gov/Archives/edgar/data/1770450/000177045021000050/xrx-20210930.htm</t>
      </text>
    </comment>
    <comment ref="I23" authorId="0" shapeId="0">
      <text>
        <t>Form 10-K (period ended 2021-12-31; acc. 0001770450-22-000010, xrx-20211231.htm), Xerox Holdings Condensed Consolidated Balance Sheets (XBRL R5.htm), as of December 31, 2021: Equipment on operating leases, net = 253. https://www.sec.gov/Archives/edgar/data/1770450/000177045022000010/xrx-20211231.htm</t>
      </text>
    </comment>
    <comment ref="J23" authorId="0" shapeId="0">
      <text>
        <t>Form 10-Q (period ended 2022-03-31; acc. 0001770450-22-000020, xrx-20220331.htm), Xerox Holdings Condensed Consolidated Balance Sheets (XBRL R4.htm), as of March 31, 2022: Equipment on operating leases, net = 254. https://www.sec.gov/Archives/edgar/data/1770450/000177045022000020/xrx-20220331.htm</t>
      </text>
    </comment>
    <comment ref="K23" authorId="0" shapeId="0">
      <text>
        <t>Form 10-Q (period ended 2022-06-30; acc. 0001770450-22-000030, xrx-20220630.htm), Xerox Holdings Condensed Consolidated Balance Sheets (XBRL R4.htm), as of June 30, 2022: Equipment on operating leases, net = 226. https://www.sec.gov/Archives/edgar/data/1770450/000177045022000030/xrx-20220630.htm</t>
      </text>
    </comment>
    <comment ref="L23" authorId="0" shapeId="0">
      <text>
        <t>Form 10-Q (period ended 2022-09-30; acc. 0001770450-22-000041, xrx-20220930.htm), Xerox Holdings Condensed Consolidated Balance Sheets (XBRL R4.htm), as of September 30, 2022: Equipment on operating leases, net = 216. https://www.sec.gov/Archives/edgar/data/1770450/000177045022000041/xrx-20220930.htm</t>
      </text>
    </comment>
    <comment ref="M23" authorId="0" shapeId="0">
      <text>
        <t>Form 10-K (period ended 2022-12-31; acc. 0001770450-23-000011, xrx-20221231.htm), Xerox Holdings Condensed Consolidated Balance Sheets (XBRL R5.htm), as of December 31, 2022: Equipment on operating leases, net = 235. https://www.sec.gov/Archives/edgar/data/1770450/000177045023000011/xrx-20221231.htm</t>
      </text>
    </comment>
    <comment ref="N23" authorId="0" shapeId="0">
      <text>
        <t>Form 10-Q (period ended 2023-03-31; acc. 0001770450-23-000032, xrx-20230331.htm), Xerox Holdings Condensed Consolidated Balance Sheets (XBRL R4.htm), as of March 31, 2023: Equipment on operating leases, net = 250. https://www.sec.gov/Archives/edgar/data/1770450/000177045023000032/xrx-20230331.htm</t>
      </text>
    </comment>
    <comment ref="O23" authorId="0" shapeId="0">
      <text>
        <t>Form 10-Q (period ended 2023-06-30; acc. 0001770450-23-000042, xrx-20230630.htm), Xerox Holdings Condensed Consolidated Balance Sheets (XBRL R4.htm), as of June 30, 2023: Equipment on operating leases, net = 259. https://www.sec.gov/Archives/edgar/data/1770450/000177045023000042/xrx-20230630.htm</t>
      </text>
    </comment>
    <comment ref="P23" authorId="0" shapeId="0">
      <text>
        <t>Form 10-Q (period ended 2023-09-30; acc. 0001770450-23-000050, xrx-20230930.htm), Xerox Holdings Condensed Consolidated Balance Sheets (XBRL R4.htm), as of September 30, 2023: Equipment on operating leases, net = 257. https://www.sec.gov/Archives/edgar/data/1770450/000177045023000050/xrx-20230930.htm</t>
      </text>
    </comment>
    <comment ref="Q23" authorId="0" shapeId="0">
      <text>
        <t>Form 10-K (period ended 2023-12-31; acc. 0001770450-24-000012, xrx-20231231.htm), Xerox Holdings Condensed Consolidated Balance Sheets (XBRL R5.htm), as of December 31, 2023: Equipment on operating leases, net = 265. https://www.sec.gov/Archives/edgar/data/1770450/000177045024000012/xrx-20231231.htm</t>
      </text>
    </comment>
    <comment ref="R23" authorId="0" shapeId="0">
      <text>
        <t>Form 10-Q (period ended 2024-03-31; acc. 0001770450-24-000031, xrx-20240331.htm), Xerox Holdings Condensed Consolidated Balance Sheets (XBRL R4.htm), as of March 31, 2024: Equipment on operating leases, net = 257. https://www.sec.gov/Archives/edgar/data/1770450/000177045024000031/xrx-20240331.htm</t>
      </text>
    </comment>
    <comment ref="S23" authorId="0" shapeId="0">
      <text>
        <t>Form 10-Q (period ended 2024-06-30; acc. 0001770450-24-000042, xrx-20240630.htm), Xerox Holdings Condensed Consolidated Balance Sheets (XBRL R4.htm), as of June 30, 2024: Equipment on operating leases, net = 253. https://www.sec.gov/Archives/edgar/data/1770450/000177045024000042/xrx-20240630.htm</t>
      </text>
    </comment>
    <comment ref="T23" authorId="0" shapeId="0">
      <text>
        <t>Form 10-Q (period ended 2024-09-30; acc. 0001770450-24-000050, xrx-20240930.htm), Xerox Holdings Condensed Consolidated Balance Sheets (XBRL R4.htm), as of September 30, 2024: Equipment on operating leases, net = 255. https://www.sec.gov/Archives/edgar/data/1770450/000177045024000050/xrx-20240930.htm</t>
      </text>
    </comment>
    <comment ref="U23" authorId="0" shapeId="0">
      <text>
        <t>Form 10-K (period ended 2024-12-31; acc. 0001770450-25-000010, xrx-20241231.htm), Xerox Holdings Condensed Consolidated Balance Sheets (XBRL R5.htm), as of December 31, 2024: Equipment on operating leases, net = 245. https://www.sec.gov/Archives/edgar/data/1770450/000177045025000010/xrx-20241231.htm</t>
      </text>
    </comment>
    <comment ref="V23" authorId="0" shapeId="0">
      <text>
        <t>Form 10-Q (period ended 2025-03-31; acc. 0001770450-25-000026, xrx-20250331.htm), Xerox Holdings Condensed Consolidated Balance Sheets (XBRL R4.htm), as of March 31, 2025: Equipment on operating leases, net = 248. https://www.sec.gov/Archives/edgar/data/1770450/000177045025000026/xrx-20250331.htm</t>
      </text>
    </comment>
    <comment ref="W23" authorId="0" shapeId="0">
      <text>
        <t>Form 10-Q (period ended 2025-06-30; acc. 0001628280-25-038980, xrx-20250630.htm), Xerox Holdings Condensed Consolidated Balance Sheets (XBRL R4.htm), as of June 30, 2025: Equipment on operating leases, net = 249. https://www.sec.gov/Archives/edgar/data/1770450/000162828025038980/xrx-20250630.htm</t>
      </text>
    </comment>
    <comment ref="X23" authorId="0" shapeId="0">
      <text>
        <t>Form 10-Q (period ended 2025-09-30; acc. 0001770450-25-000037, xrx-20250930.htm), Xerox Holdings Condensed Consolidated Balance Sheets (XBRL R4.htm), as of September 30, 2025: Equipment on operating leases, net = 300. https://www.sec.gov/Archives/edgar/data/1770450/000177045025000037/xrx-20250930.htm</t>
      </text>
    </comment>
    <comment ref="Y23" authorId="0" shapeId="0">
      <text>
        <t>Form 10-K (period ended 2025-12-31; acc. 0001770450-26-000009, xrx-20251231.htm), Xerox Holdings Condensed Consolidated Balance Sheets (XBRL R5.htm), as of December 31, 2025: Equipment on operating leases, net = 299. https://www.sec.gov/Archives/edgar/data/1770450/000177045026000009/xrx-20251231.htm</t>
      </text>
    </comment>
    <comment ref="Z23" authorId="0" shapeId="0">
      <text>
        <t>Form 10-Q (period ended 2026-03-31; acc. 0001770450-26-000030, xrx-20260331.htm), Xerox Holdings Condensed Consolidated Balance Sheets (XBRL R4.htm), as of March 31, 2026: Equipment on operating leases, net = 292. https://www.sec.gov/Archives/edgar/data/1770450/000177045026000030/xrx-20260331.htm</t>
      </text>
    </comment>
    <comment ref="AA23" authorId="0" shapeId="0">
      <text>
        <t>Form 10-Q (period ended 2026-06-30; acc. 0001770450-26-000040, xrx-20260630.htm), Xerox Holdings Condensed Consolidated Balance Sheets (XBRL R4.htm), as of June 30, 2026: Equipment on operating leases, net = 283. https://www.sec.gov/Archives/edgar/data/1770450/000177045026000040/xrx-20260630.htm</t>
      </text>
    </comment>
    <comment ref="F24" authorId="0" shapeId="0">
      <text>
        <t>Form 10-Q (period ended 2021-03-31; acc. 0001770450-21-000025, xrx-20210331.htm), Xerox Holdings Condensed Consolidated Balance Sheets (XBRL R4.htm), as of March 31, 2021: Land, buildings and equipment, net = 393. https://www.sec.gov/Archives/edgar/data/1770450/000177045021000025/xrx-20210331.htm</t>
      </text>
    </comment>
    <comment ref="G24" authorId="0" shapeId="0">
      <text>
        <t>Form 10-Q (period ended 2021-06-30; acc. 0001770450-21-000036, xrx-20210630.htm), Xerox Holdings Condensed Consolidated Balance Sheets (XBRL R4.htm), as of June 30, 2021: Land, buildings and equipment, net = 372. https://www.sec.gov/Archives/edgar/data/1770450/000177045021000036/xrx-20210630.htm</t>
      </text>
    </comment>
    <comment ref="H24" authorId="0" shapeId="0">
      <text>
        <t>Form 10-Q (period ended 2021-09-30; acc. 0001770450-21-000050, xrx-20210930.htm), Xerox Holdings Condensed Consolidated Balance Sheets (XBRL R4.htm), as of September 30, 2021: Land, buildings and equipment, net = 370. https://www.sec.gov/Archives/edgar/data/1770450/000177045021000050/xrx-20210930.htm</t>
      </text>
    </comment>
    <comment ref="I24" authorId="0" shapeId="0">
      <text>
        <t>Form 10-K (period ended 2021-12-31; acc. 0001770450-22-000010, xrx-20211231.htm), Xerox Holdings Condensed Consolidated Balance Sheets (XBRL R5.htm), as of December 31, 2021: Land, buildings and equipment, net = 358. https://www.sec.gov/Archives/edgar/data/1770450/000177045022000010/xrx-20211231.htm</t>
      </text>
    </comment>
    <comment ref="J24" authorId="0" shapeId="0">
      <text>
        <t>Form 10-Q (period ended 2022-03-31; acc. 0001770450-22-000020, xrx-20220331.htm), Xerox Holdings Condensed Consolidated Balance Sheets (XBRL R4.htm), as of March 31, 2022: Land, buildings and equipment, net = 350. https://www.sec.gov/Archives/edgar/data/1770450/000177045022000020/xrx-20220331.htm</t>
      </text>
    </comment>
    <comment ref="K24" authorId="0" shapeId="0">
      <text>
        <t>Form 10-Q (period ended 2022-06-30; acc. 0001770450-22-000030, xrx-20220630.htm), Xerox Holdings Condensed Consolidated Balance Sheets (XBRL R4.htm), as of June 30, 2022: Land, buildings and equipment, net = 334. https://www.sec.gov/Archives/edgar/data/1770450/000177045022000030/xrx-20220630.htm</t>
      </text>
    </comment>
    <comment ref="L24" authorId="0" shapeId="0">
      <text>
        <t>Form 10-Q (period ended 2022-09-30; acc. 0001770450-22-000041, xrx-20220930.htm), Xerox Holdings Condensed Consolidated Balance Sheets (XBRL R4.htm), as of September 30, 2022: Land, buildings and equipment, net = 315. https://www.sec.gov/Archives/edgar/data/1770450/000177045022000041/xrx-20220930.htm</t>
      </text>
    </comment>
    <comment ref="M24" authorId="0" shapeId="0">
      <text>
        <t>Form 10-K (period ended 2022-12-31; acc. 0001770450-23-000011, xrx-20221231.htm), Xerox Holdings Condensed Consolidated Balance Sheets (XBRL R5.htm), as of December 31, 2022: Land, buildings and equipment, net = 320. https://www.sec.gov/Archives/edgar/data/1770450/000177045023000011/xrx-20221231.htm</t>
      </text>
    </comment>
    <comment ref="N24" authorId="0" shapeId="0">
      <text>
        <t>Form 10-Q (period ended 2023-03-31; acc. 0001770450-23-000032, xrx-20230331.htm), Xerox Holdings Condensed Consolidated Balance Sheets (XBRL R4.htm), as of March 31, 2023: Land, buildings and equipment, net = 311. https://www.sec.gov/Archives/edgar/data/1770450/000177045023000032/xrx-20230331.htm</t>
      </text>
    </comment>
    <comment ref="O24" authorId="0" shapeId="0">
      <text>
        <t>Form 10-Q (period ended 2023-06-30; acc. 0001770450-23-000042, xrx-20230630.htm), Xerox Holdings Condensed Consolidated Balance Sheets (XBRL R4.htm), as of June 30, 2023: Land, buildings and equipment, net = 281. https://www.sec.gov/Archives/edgar/data/1770450/000177045023000042/xrx-20230630.htm</t>
      </text>
    </comment>
    <comment ref="P24" authorId="0" shapeId="0">
      <text>
        <t>Form 10-Q (period ended 2023-09-30; acc. 0001770450-23-000050, xrx-20230930.htm), Xerox Holdings Condensed Consolidated Balance Sheets (XBRL R4.htm), as of September 30, 2023: Land, buildings and equipment, net = 273. https://www.sec.gov/Archives/edgar/data/1770450/000177045023000050/xrx-20230930.htm</t>
      </text>
    </comment>
    <comment ref="Q24" authorId="0" shapeId="0">
      <text>
        <t>Form 10-K (period ended 2023-12-31; acc. 0001770450-24-000012, xrx-20231231.htm), Xerox Holdings Condensed Consolidated Balance Sheets (XBRL R5.htm), as of December 31, 2023: Land, buildings and equipment, net = 266. https://www.sec.gov/Archives/edgar/data/1770450/000177045024000012/xrx-20231231.htm</t>
      </text>
    </comment>
    <comment ref="R24" authorId="0" shapeId="0">
      <text>
        <t>Form 10-Q (period ended 2024-03-31; acc. 0001770450-24-000031, xrx-20240331.htm), Xerox Holdings Condensed Consolidated Balance Sheets (XBRL R4.htm), as of March 31, 2024: Land, buildings and equipment, net = 245. https://www.sec.gov/Archives/edgar/data/1770450/000177045024000031/xrx-20240331.htm</t>
      </text>
    </comment>
    <comment ref="S24" authorId="0" shapeId="0">
      <text>
        <t>Form 10-Q (period ended 2024-06-30; acc. 0001770450-24-000042, xrx-20240630.htm), Xerox Holdings Condensed Consolidated Balance Sheets (XBRL R4.htm), as of June 30, 2024: Land, buildings and equipment, net = 227. https://www.sec.gov/Archives/edgar/data/1770450/000177045024000042/xrx-20240630.htm</t>
      </text>
    </comment>
    <comment ref="T24" authorId="0" shapeId="0">
      <text>
        <t>Form 10-Q (period ended 2024-09-30; acc. 0001770450-24-000050, xrx-20240930.htm), Xerox Holdings Condensed Consolidated Balance Sheets (XBRL R4.htm), as of September 30, 2024: Land, buildings and equipment, net = 225. https://www.sec.gov/Archives/edgar/data/1770450/000177045024000050/xrx-20240930.htm</t>
      </text>
    </comment>
    <comment ref="U24" authorId="0" shapeId="0">
      <text>
        <t>Form 10-K (period ended 2024-12-31; acc. 0001770450-25-000010, xrx-20241231.htm), Xerox Holdings Condensed Consolidated Balance Sheets (XBRL R5.htm), as of December 31, 2024: Land, buildings and equipment, net = 251. https://www.sec.gov/Archives/edgar/data/1770450/000177045025000010/xrx-20241231.htm</t>
      </text>
    </comment>
    <comment ref="V24" authorId="0" shapeId="0">
      <text>
        <t>Form 10-Q (period ended 2025-03-31; acc. 0001770450-25-000026, xrx-20250331.htm), Xerox Holdings Condensed Consolidated Balance Sheets (XBRL R4.htm), as of March 31, 2025: Land, buildings and equipment, net = 195. https://www.sec.gov/Archives/edgar/data/1770450/000177045025000026/xrx-20250331.htm</t>
      </text>
    </comment>
    <comment ref="W24" authorId="0" shapeId="0">
      <text>
        <t>Form 10-Q (period ended 2025-06-30; acc. 0001628280-25-038980, xrx-20250630.htm), Xerox Holdings Condensed Consolidated Balance Sheets (XBRL R4.htm), as of June 30, 2025: Land, buildings and equipment, net = 187. https://www.sec.gov/Archives/edgar/data/1770450/000162828025038980/xrx-20250630.htm</t>
      </text>
    </comment>
    <comment ref="X24" authorId="0" shapeId="0">
      <text>
        <t>Form 10-Q (period ended 2025-09-30; acc. 0001770450-25-000037, xrx-20250930.htm), Xerox Holdings Condensed Consolidated Balance Sheets (XBRL R4.htm), as of September 30, 2025: Land, buildings and equipment, net = 427. https://www.sec.gov/Archives/edgar/data/1770450/000177045025000037/xrx-20250930.htm</t>
      </text>
    </comment>
    <comment ref="Y24" authorId="0" shapeId="0">
      <text>
        <t>Form 10-K (period ended 2025-12-31; acc. 0001770450-26-000009, xrx-20251231.htm), Xerox Holdings Condensed Consolidated Balance Sheets (XBRL R5.htm), as of December 31, 2025: Land, buildings and equipment, net = 390. https://www.sec.gov/Archives/edgar/data/1770450/000177045026000009/xrx-20251231.htm</t>
      </text>
    </comment>
    <comment ref="Z24" authorId="0" shapeId="0">
      <text>
        <t>Form 10-Q (period ended 2026-03-31; acc. 0001770450-26-000030, xrx-20260331.htm), Xerox Holdings Condensed Consolidated Balance Sheets (XBRL R4.htm), as of March 31, 2026: Land, buildings and equipment, net = 378. https://www.sec.gov/Archives/edgar/data/1770450/000177045026000030/xrx-20260331.htm</t>
      </text>
    </comment>
    <comment ref="AA24" authorId="0" shapeId="0">
      <text>
        <t>Form 10-Q (period ended 2026-06-30; acc. 0001770450-26-000040, xrx-20260630.htm), Xerox Holdings Condensed Consolidated Balance Sheets (XBRL R4.htm), as of June 30, 2026: Land, buildings and equipment, net = 378. https://www.sec.gov/Archives/edgar/data/1770450/000177045026000040/xrx-20260630.htm</t>
      </text>
    </comment>
    <comment ref="F25" authorId="0" shapeId="0">
      <text>
        <t>Form 10-Q (period ended 2021-03-31; acc. 0001770450-21-000025, xrx-20210331.htm), Xerox Holdings Condensed Consolidated Balance Sheets (XBRL R4.htm), as of March 31, 2021: Intangible assets, net = 223. https://www.sec.gov/Archives/edgar/data/1770450/000177045021000025/xrx-20210331.htm</t>
      </text>
    </comment>
    <comment ref="G25" authorId="0" shapeId="0">
      <text>
        <t>Form 10-Q (period ended 2021-06-30; acc. 0001770450-21-000036, xrx-20210630.htm), Xerox Holdings Condensed Consolidated Balance Sheets (XBRL R4.htm), as of June 30, 2021: Intangible assets, net = 230. https://www.sec.gov/Archives/edgar/data/1770450/000177045021000036/xrx-20210630.htm</t>
      </text>
    </comment>
    <comment ref="H25" authorId="0" shapeId="0">
      <text>
        <t>Form 10-Q (period ended 2021-09-30; acc. 0001770450-21-000050, xrx-20210930.htm), Xerox Holdings Condensed Consolidated Balance Sheets (XBRL R4.htm), as of September 30, 2021: Intangible assets, net = 216. https://www.sec.gov/Archives/edgar/data/1770450/000177045021000050/xrx-20210930.htm</t>
      </text>
    </comment>
    <comment ref="I25" authorId="0" shapeId="0">
      <text>
        <t>Form 10-K (period ended 2021-12-31; acc. 0001770450-22-000010, xrx-20211231.htm), Xerox Holdings Condensed Consolidated Balance Sheets (XBRL R5.htm), as of December 31, 2021: Intangible assets, net = 211. https://www.sec.gov/Archives/edgar/data/1770450/000177045022000010/xrx-20211231.htm</t>
      </text>
    </comment>
    <comment ref="J25" authorId="0" shapeId="0">
      <text>
        <t>Form 10-Q (period ended 2022-03-31; acc. 0001770450-22-000020, xrx-20220331.htm), Xerox Holdings Condensed Consolidated Balance Sheets (XBRL R4.htm), as of March 31, 2022: Intangible assets, net = 240. https://www.sec.gov/Archives/edgar/data/1770450/000177045022000020/xrx-20220331.htm</t>
      </text>
    </comment>
    <comment ref="K25" authorId="0" shapeId="0">
      <text>
        <t>Form 10-Q (period ended 2022-06-30; acc. 0001770450-22-000030, xrx-20220630.htm), Xerox Holdings Condensed Consolidated Balance Sheets (XBRL R4.htm), as of June 30, 2022: Intangible assets, net = 223. https://www.sec.gov/Archives/edgar/data/1770450/000177045022000030/xrx-20220630.htm</t>
      </text>
    </comment>
    <comment ref="L25" authorId="0" shapeId="0">
      <text>
        <t>Form 10-Q (period ended 2022-09-30; acc. 0001770450-22-000041, xrx-20220930.htm), Xerox Holdings Condensed Consolidated Balance Sheets (XBRL R4.htm), as of September 30, 2022: Intangible assets, net = 216. https://www.sec.gov/Archives/edgar/data/1770450/000177045022000041/xrx-20220930.htm</t>
      </text>
    </comment>
    <comment ref="M25" authorId="0" shapeId="0">
      <text>
        <t>Form 10-K (period ended 2022-12-31; acc. 0001770450-23-000011, xrx-20221231.htm), Xerox Holdings Condensed Consolidated Balance Sheets (XBRL R5.htm), as of December 31, 2022: Intangible assets, net = 208. https://www.sec.gov/Archives/edgar/data/1770450/000177045023000011/xrx-20221231.htm</t>
      </text>
    </comment>
    <comment ref="N25" authorId="0" shapeId="0">
      <text>
        <t>Form 10-Q (period ended 2023-03-31; acc. 0001770450-23-000032, xrx-20230331.htm), Xerox Holdings Condensed Consolidated Balance Sheets (XBRL R4.htm), as of March 31, 2023: Intangible assets, net = 202. https://www.sec.gov/Archives/edgar/data/1770450/000177045023000032/xrx-20230331.htm</t>
      </text>
    </comment>
    <comment ref="O25" authorId="0" shapeId="0">
      <text>
        <t>Form 10-Q (period ended 2023-06-30; acc. 0001770450-23-000042, xrx-20230630.htm), Xerox Holdings Condensed Consolidated Balance Sheets (XBRL R4.htm), as of June 30, 2023: Intangible assets, net = 194. https://www.sec.gov/Archives/edgar/data/1770450/000177045023000042/xrx-20230630.htm</t>
      </text>
    </comment>
    <comment ref="P25" authorId="0" shapeId="0">
      <text>
        <t>Form 10-Q (period ended 2023-09-30; acc. 0001770450-23-000050, xrx-20230930.htm), Xerox Holdings Condensed Consolidated Balance Sheets (XBRL R4.htm), as of September 30, 2023: Intangible assets, net = 183. https://www.sec.gov/Archives/edgar/data/1770450/000177045023000050/xrx-20230930.htm</t>
      </text>
    </comment>
    <comment ref="Q25" authorId="0" shapeId="0">
      <text>
        <t>Form 10-K (period ended 2023-12-31; acc. 0001770450-24-000012, xrx-20231231.htm), Xerox Holdings Condensed Consolidated Balance Sheets (XBRL R5.htm), as of December 31, 2023: Intangible assets, net = 177. https://www.sec.gov/Archives/edgar/data/1770450/000177045024000012/xrx-20231231.htm</t>
      </text>
    </comment>
    <comment ref="R25" authorId="0" shapeId="0">
      <text>
        <t>Form 10-Q (period ended 2024-03-31; acc. 0001770450-24-000031, xrx-20240331.htm), Xerox Holdings Condensed Consolidated Balance Sheets (XBRL R4.htm), as of March 31, 2024: Intangible assets, net = 165. https://www.sec.gov/Archives/edgar/data/1770450/000177045024000031/xrx-20240331.htm</t>
      </text>
    </comment>
    <comment ref="S25" authorId="0" shapeId="0">
      <text>
        <t>Form 10-Q (period ended 2024-06-30; acc. 0001770450-24-000042, xrx-20240630.htm), Xerox Holdings Condensed Consolidated Balance Sheets (XBRL R4.htm), as of June 30, 2024: Intangible assets, net = 155. https://www.sec.gov/Archives/edgar/data/1770450/000177045024000042/xrx-20240630.htm</t>
      </text>
    </comment>
    <comment ref="T25" authorId="0" shapeId="0">
      <text>
        <t>Form 10-Q (period ended 2024-09-30; acc. 0001770450-24-000050, xrx-20240930.htm), Xerox Holdings Condensed Consolidated Balance Sheets (XBRL R4.htm), as of September 30, 2024: Intangible assets, net = 149. https://www.sec.gov/Archives/edgar/data/1770450/000177045024000050/xrx-20240930.htm</t>
      </text>
    </comment>
    <comment ref="U25" authorId="0" shapeId="0">
      <text>
        <t>Form 10-K (period ended 2024-12-31; acc. 0001770450-25-000010, xrx-20241231.htm), Xerox Holdings Condensed Consolidated Balance Sheets (XBRL R5.htm), as of December 31, 2024: Intangible assets, net = 236. https://www.sec.gov/Archives/edgar/data/1770450/000177045025000010/xrx-20241231.htm</t>
      </text>
    </comment>
    <comment ref="V25" authorId="0" shapeId="0">
      <text>
        <t>Form 10-Q (period ended 2025-03-31; acc. 0001770450-25-000026, xrx-20250331.htm), Xerox Holdings Condensed Consolidated Balance Sheets (XBRL R4.htm), as of March 31, 2025: Intangible assets, net = 228. https://www.sec.gov/Archives/edgar/data/1770450/000177045025000026/xrx-20250331.htm</t>
      </text>
    </comment>
    <comment ref="W25" authorId="0" shapeId="0">
      <text>
        <t>Form 10-Q (period ended 2025-06-30; acc. 0001628280-25-038980, xrx-20250630.htm), Xerox Holdings Condensed Consolidated Balance Sheets (XBRL R4.htm), as of June 30, 2025: Intangible assets, net = 222. https://www.sec.gov/Archives/edgar/data/1770450/000162828025038980/xrx-20250630.htm</t>
      </text>
    </comment>
    <comment ref="X25" authorId="0" shapeId="0">
      <text>
        <t>Form 10-Q (period ended 2025-09-30; acc. 0001770450-25-000037, xrx-20250930.htm), Xerox Holdings Condensed Consolidated Balance Sheets (XBRL R4.htm), as of September 30, 2025: Intangible assets, net = 954. https://www.sec.gov/Archives/edgar/data/1770450/000177045025000037/xrx-20250930.htm</t>
      </text>
    </comment>
    <comment ref="Y25" authorId="0" shapeId="0">
      <text>
        <t>Form 10-K (period ended 2025-12-31; acc. 0001770450-26-000009, xrx-20251231.htm), Xerox Holdings Condensed Consolidated Balance Sheets (XBRL R5.htm), as of December 31, 2025: Intangible assets, net = 921. https://www.sec.gov/Archives/edgar/data/1770450/000177045026000009/xrx-20251231.htm</t>
      </text>
    </comment>
    <comment ref="Z25" authorId="0" shapeId="0">
      <text>
        <t>Form 10-Q (period ended 2026-03-31; acc. 0001770450-26-000030, xrx-20260331.htm), Xerox Holdings Condensed Consolidated Balance Sheets (XBRL R4.htm), as of March 31, 2026: Intangible assets, net = 891. https://www.sec.gov/Archives/edgar/data/1770450/000177045026000030/xrx-20260331.htm</t>
      </text>
    </comment>
    <comment ref="AA25" authorId="0" shapeId="0">
      <text>
        <t>Form 10-Q (period ended 2026-06-30; acc. 0001770450-26-000040, xrx-20260630.htm), Xerox Holdings Condensed Consolidated Balance Sheets (XBRL R4.htm), as of June 30, 2026: Intangible assets, net = 857. https://www.sec.gov/Archives/edgar/data/1770450/000177045026000040/xrx-20260630.htm</t>
      </text>
    </comment>
    <comment ref="F26" authorId="0" shapeId="0">
      <text>
        <t>Form 10-Q (period ended 2021-03-31; acc. 0001770450-21-000025, xrx-20210331.htm), Xerox Holdings Condensed Consolidated Balance Sheets (XBRL R4.htm), as of March 31, 2021: Goodwill, net = 4,075. https://www.sec.gov/Archives/edgar/data/1770450/000177045021000025/xrx-20210331.htm</t>
      </text>
    </comment>
    <comment ref="G26" authorId="0" shapeId="0">
      <text>
        <t>Form 10-Q (period ended 2021-06-30; acc. 0001770450-21-000036, xrx-20210630.htm), Xerox Holdings Condensed Consolidated Balance Sheets (XBRL R4.htm), as of June 30, 2021: Goodwill, net = 4,104. https://www.sec.gov/Archives/edgar/data/1770450/000177045021000036/xrx-20210630.htm</t>
      </text>
    </comment>
    <comment ref="H26" authorId="0" shapeId="0">
      <text>
        <t>Form 10-Q (period ended 2021-09-30; acc. 0001770450-21-000050, xrx-20210930.htm), Xerox Holdings Condensed Consolidated Balance Sheets (XBRL R4.htm), as of September 30, 2021: Goodwill, net = 4,066. https://www.sec.gov/Archives/edgar/data/1770450/000177045021000050/xrx-20210930.htm</t>
      </text>
    </comment>
    <comment ref="I26" authorId="0" shapeId="0">
      <text>
        <t>Form 10-K (period ended 2021-12-31; acc. 0001770450-22-000010, xrx-20211231.htm), Xerox Holdings Condensed Consolidated Balance Sheets (XBRL R5.htm), as of December 31, 2021: Goodwill, net = 3,287. https://www.sec.gov/Archives/edgar/data/1770450/000177045022000010/xrx-20211231.htm</t>
      </text>
    </comment>
    <comment ref="J26" authorId="0" shapeId="0">
      <text>
        <t>Form 10-Q (period ended 2022-03-31; acc. 0001770450-22-000020, xrx-20220331.htm), Xerox Holdings Condensed Consolidated Balance Sheets (XBRL R4.htm), as of March 31, 2022: Goodwill, net = 3,300. https://www.sec.gov/Archives/edgar/data/1770450/000177045022000020/xrx-20220331.htm</t>
      </text>
    </comment>
    <comment ref="K26" authorId="0" shapeId="0">
      <text>
        <t>Form 10-Q (period ended 2022-06-30; acc. 0001770450-22-000030, xrx-20220630.htm), Xerox Holdings Condensed Consolidated Balance Sheets (XBRL R4.htm), as of June 30, 2022: Goodwill, net = 3,217. https://www.sec.gov/Archives/edgar/data/1770450/000177045022000030/xrx-20220630.htm</t>
      </text>
    </comment>
    <comment ref="L26" authorId="0" shapeId="0">
      <text>
        <t>Form 10-Q (period ended 2022-09-30; acc. 0001770450-22-000041, xrx-20220930.htm), Xerox Holdings Condensed Consolidated Balance Sheets (XBRL R4.htm), as of September 30, 2022: Goodwill, net = 2,753. https://www.sec.gov/Archives/edgar/data/1770450/000177045022000041/xrx-20220930.htm</t>
      </text>
    </comment>
    <comment ref="M26" authorId="0" shapeId="0">
      <text>
        <t>Form 10-K (period ended 2022-12-31; acc. 0001770450-23-000011, xrx-20221231.htm), Xerox Holdings Condensed Consolidated Balance Sheets (XBRL R5.htm), as of December 31, 2022: Goodwill, net = 2,820. https://www.sec.gov/Archives/edgar/data/1770450/000177045023000011/xrx-20221231.htm</t>
      </text>
    </comment>
    <comment ref="N26" authorId="0" shapeId="0">
      <text>
        <t>Form 10-Q (period ended 2023-03-31; acc. 0001770450-23-000032, xrx-20230331.htm), Xerox Holdings Condensed Consolidated Balance Sheets (XBRL R4.htm), as of March 31, 2023: Goodwill, net = 2,850. https://www.sec.gov/Archives/edgar/data/1770450/000177045023000032/xrx-20230331.htm</t>
      </text>
    </comment>
    <comment ref="O26" authorId="0" shapeId="0">
      <text>
        <t>Form 10-Q (period ended 2023-06-30; acc. 0001770450-23-000042, xrx-20230630.htm), Xerox Holdings Condensed Consolidated Balance Sheets (XBRL R4.htm), as of June 30, 2023: Goodwill, net = 2,751. https://www.sec.gov/Archives/edgar/data/1770450/000177045023000042/xrx-20230630.htm</t>
      </text>
    </comment>
    <comment ref="P26" authorId="0" shapeId="0">
      <text>
        <t>Form 10-Q (period ended 2023-09-30; acc. 0001770450-23-000050, xrx-20230930.htm), Xerox Holdings Condensed Consolidated Balance Sheets (XBRL R4.htm), as of September 30, 2023: Goodwill, net = 2,716. https://www.sec.gov/Archives/edgar/data/1770450/000177045023000050/xrx-20230930.htm</t>
      </text>
    </comment>
    <comment ref="Q26" authorId="0" shapeId="0">
      <text>
        <t>Form 10-K (period ended 2023-12-31; acc. 0001770450-24-000012, xrx-20231231.htm), Xerox Holdings Condensed Consolidated Balance Sheets (XBRL R5.htm), as of December 31, 2023: Goodwill, net = 2,747. https://www.sec.gov/Archives/edgar/data/1770450/000177045024000012/xrx-20231231.htm</t>
      </text>
    </comment>
    <comment ref="R26" authorId="0" shapeId="0">
      <text>
        <t>Form 10-Q (period ended 2024-03-31; acc. 0001770450-24-000031, xrx-20240331.htm), Xerox Holdings Condensed Consolidated Balance Sheets (XBRL R4.htm), as of March 31, 2024: Goodwill, net = 2,720. https://www.sec.gov/Archives/edgar/data/1770450/000177045024000031/xrx-20240331.htm</t>
      </text>
    </comment>
    <comment ref="S26" authorId="0" shapeId="0">
      <text>
        <t>Form 10-Q (period ended 2024-06-30; acc. 0001770450-24-000042, xrx-20240630.htm), Xerox Holdings Condensed Consolidated Balance Sheets (XBRL R4.htm), as of June 30, 2024: Goodwill, net = 2,719. https://www.sec.gov/Archives/edgar/data/1770450/000177045024000042/xrx-20240630.htm</t>
      </text>
    </comment>
    <comment ref="T26" authorId="0" shapeId="0">
      <text>
        <t>Form 10-Q (period ended 2024-09-30; acc. 0001770450-24-000050, xrx-20240930.htm), Xerox Holdings Condensed Consolidated Balance Sheets (XBRL R4.htm), as of September 30, 2024: Goodwill, net = 1,709. https://www.sec.gov/Archives/edgar/data/1770450/000177045024000050/xrx-20240930.htm</t>
      </text>
    </comment>
    <comment ref="U26" authorId="0" shapeId="0">
      <text>
        <t>Form 10-K (period ended 2024-12-31; acc. 0001770450-25-000010, xrx-20241231.htm), Xerox Holdings Condensed Consolidated Balance Sheets (XBRL R5.htm), as of December 31, 2024: Goodwill, net = 1,937. https://www.sec.gov/Archives/edgar/data/1770450/000177045025000010/xrx-20241231.htm</t>
      </text>
    </comment>
    <comment ref="V26" authorId="0" shapeId="0">
      <text>
        <t>Form 10-Q (period ended 2025-03-31; acc. 0001770450-25-000026, xrx-20250331.htm), Xerox Holdings Condensed Consolidated Balance Sheets (XBRL R4.htm), as of March 31, 2025: Goodwill, net = 1,954. https://www.sec.gov/Archives/edgar/data/1770450/000177045025000026/xrx-20250331.htm</t>
      </text>
    </comment>
    <comment ref="W26" authorId="0" shapeId="0">
      <text>
        <t>Form 10-Q (period ended 2025-06-30; acc. 0001628280-25-038980, xrx-20250630.htm), Xerox Holdings Condensed Consolidated Balance Sheets (XBRL R4.htm), as of June 30, 2025: Goodwill, net = 1,984. https://www.sec.gov/Archives/edgar/data/1770450/000162828025038980/xrx-20250630.htm</t>
      </text>
    </comment>
    <comment ref="X26" authorId="0" shapeId="0">
      <text>
        <t>Form 10-Q (period ended 2025-09-30; acc. 0001770450-25-000037, xrx-20250930.htm), Xerox Holdings Condensed Consolidated Balance Sheets (XBRL R4.htm), as of September 30, 2025: Goodwill, net = 2,182. https://www.sec.gov/Archives/edgar/data/1770450/000177045025000037/xrx-20250930.htm</t>
      </text>
    </comment>
    <comment ref="Y26" authorId="0" shapeId="0">
      <text>
        <t>Form 10-K (period ended 2025-12-31; acc. 0001770450-26-000009, xrx-20251231.htm), Xerox Holdings Condensed Consolidated Balance Sheets (XBRL R5.htm), as of December 31, 2025: Goodwill, net = 2,222. https://www.sec.gov/Archives/edgar/data/1770450/000177045026000009/xrx-20251231.htm</t>
      </text>
    </comment>
    <comment ref="Z26" authorId="0" shapeId="0">
      <text>
        <t>Form 10-Q (period ended 2026-03-31; acc. 0001770450-26-000030, xrx-20260331.htm), Xerox Holdings Condensed Consolidated Balance Sheets (XBRL R4.htm), as of March 31, 2026: Goodwill, net = 2,201. https://www.sec.gov/Archives/edgar/data/1770450/000177045026000030/xrx-20260331.htm</t>
      </text>
    </comment>
    <comment ref="AA26" authorId="0" shapeId="0">
      <text>
        <t>Form 10-Q (period ended 2026-06-30; acc. 0001770450-26-000040, xrx-20260630.htm), Xerox Holdings Condensed Consolidated Balance Sheets (XBRL R4.htm), as of June 30, 2026: Goodwill, net = 2,234. https://www.sec.gov/Archives/edgar/data/1770450/000177045026000040/xrx-20260630.htm</t>
      </text>
    </comment>
    <comment ref="F27" authorId="0" shapeId="0">
      <text>
        <t>Form 10-Q (period ended 2021-03-31; acc. 0001770450-21-000025, xrx-20210331.htm), Xerox Holdings Condensed Consolidated Balance Sheets (XBRL R4.htm), as of March 31, 2021: Deferred tax assets = 510. https://www.sec.gov/Archives/edgar/data/1770450/000177045021000025/xrx-20210331.htm</t>
      </text>
    </comment>
    <comment ref="G27" authorId="0" shapeId="0">
      <text>
        <t>Form 10-Q (period ended 2021-06-30; acc. 0001770450-21-000036, xrx-20210630.htm), Xerox Holdings Condensed Consolidated Balance Sheets (XBRL R4.htm), as of June 30, 2021: Deferred tax assets = 491. https://www.sec.gov/Archives/edgar/data/1770450/000177045021000036/xrx-20210630.htm</t>
      </text>
    </comment>
    <comment ref="H27" authorId="0" shapeId="0">
      <text>
        <t>Form 10-Q (period ended 2021-09-30; acc. 0001770450-21-000050, xrx-20210930.htm), Xerox Holdings Condensed Consolidated Balance Sheets (XBRL R4.htm), as of September 30, 2021: Deferred tax assets = 511. https://www.sec.gov/Archives/edgar/data/1770450/000177045021000050/xrx-20210930.htm</t>
      </text>
    </comment>
    <comment ref="I27" authorId="0" shapeId="0">
      <text>
        <t>Form 10-K (period ended 2021-12-31; acc. 0001770450-22-000010, xrx-20211231.htm), Xerox Holdings Condensed Consolidated Balance Sheets (XBRL R5.htm), as of December 31, 2021: Deferred tax assets = 519. https://www.sec.gov/Archives/edgar/data/1770450/000177045022000010/xrx-20211231.htm</t>
      </text>
    </comment>
    <comment ref="J27" authorId="0" shapeId="0">
      <text>
        <t>Form 10-Q (period ended 2022-03-31; acc. 0001770450-22-000020, xrx-20220331.htm), Xerox Holdings Condensed Consolidated Balance Sheets (XBRL R4.htm), as of March 31, 2022: Deferred tax assets = 528. https://www.sec.gov/Archives/edgar/data/1770450/000177045022000020/xrx-20220331.htm</t>
      </text>
    </comment>
    <comment ref="K27" authorId="0" shapeId="0">
      <text>
        <t>Form 10-Q (period ended 2022-06-30; acc. 0001770450-22-000030, xrx-20220630.htm), Xerox Holdings Condensed Consolidated Balance Sheets (XBRL R4.htm), as of June 30, 2022: Deferred tax assets = 539. https://www.sec.gov/Archives/edgar/data/1770450/000177045022000030/xrx-20220630.htm</t>
      </text>
    </comment>
    <comment ref="L27" authorId="0" shapeId="0">
      <text>
        <t>Form 10-Q (period ended 2022-09-30; acc. 0001770450-22-000041, xrx-20220930.htm), Xerox Holdings Condensed Consolidated Balance Sheets (XBRL R4.htm), as of September 30, 2022: Deferred tax assets = 496. https://www.sec.gov/Archives/edgar/data/1770450/000177045022000041/xrx-20220930.htm</t>
      </text>
    </comment>
    <comment ref="M27" authorId="0" shapeId="0">
      <text>
        <t>Form 10-K (period ended 2022-12-31; acc. 0001770450-23-000011, xrx-20221231.htm), Xerox Holdings Condensed Consolidated Balance Sheets (XBRL R5.htm), as of December 31, 2022: Deferred tax assets = 582. https://www.sec.gov/Archives/edgar/data/1770450/000177045023000011/xrx-20221231.htm</t>
      </text>
    </comment>
    <comment ref="N27" authorId="0" shapeId="0">
      <text>
        <t>Form 10-Q (period ended 2023-03-31; acc. 0001770450-23-000032, xrx-20230331.htm), Xerox Holdings Condensed Consolidated Balance Sheets (XBRL R4.htm), as of March 31, 2023: Deferred tax assets = 598. https://www.sec.gov/Archives/edgar/data/1770450/000177045023000032/xrx-20230331.htm</t>
      </text>
    </comment>
    <comment ref="O27" authorId="0" shapeId="0">
      <text>
        <t>Form 10-Q (period ended 2023-06-30; acc. 0001770450-23-000042, xrx-20230630.htm), Xerox Holdings Condensed Consolidated Balance Sheets (XBRL R4.htm), as of June 30, 2023: Deferred tax assets = 620. https://www.sec.gov/Archives/edgar/data/1770450/000177045023000042/xrx-20230630.htm</t>
      </text>
    </comment>
    <comment ref="P27" authorId="0" shapeId="0">
      <text>
        <t>Form 10-Q (period ended 2023-09-30; acc. 0001770450-23-000050, xrx-20230930.htm), Xerox Holdings Condensed Consolidated Balance Sheets (XBRL R4.htm), as of September 30, 2023: Deferred tax assets = 701. https://www.sec.gov/Archives/edgar/data/1770450/000177045023000050/xrx-20230930.htm</t>
      </text>
    </comment>
    <comment ref="Q27" authorId="0" shapeId="0">
      <text>
        <t>Form 10-K (period ended 2023-12-31; acc. 0001770450-24-000012, xrx-20231231.htm), Xerox Holdings Condensed Consolidated Balance Sheets (XBRL R5.htm), as of December 31, 2023: Deferred tax assets = 745. https://www.sec.gov/Archives/edgar/data/1770450/000177045024000012/xrx-20231231.htm</t>
      </text>
    </comment>
    <comment ref="R27" authorId="0" shapeId="0">
      <text>
        <t>Form 10-Q (period ended 2024-03-31; acc. 0001770450-24-000031, xrx-20240331.htm), Xerox Holdings Condensed Consolidated Balance Sheets (XBRL R4.htm), as of March 31, 2024: Deferred tax assets = 749. https://www.sec.gov/Archives/edgar/data/1770450/000177045024000031/xrx-20240331.htm</t>
      </text>
    </comment>
    <comment ref="S27" authorId="0" shapeId="0">
      <text>
        <t>Form 10-Q (period ended 2024-06-30; acc. 0001770450-24-000042, xrx-20240630.htm), Xerox Holdings Condensed Consolidated Balance Sheets (XBRL R4.htm), as of June 30, 2024: Deferred tax assets = 760. https://www.sec.gov/Archives/edgar/data/1770450/000177045024000042/xrx-20240630.htm</t>
      </text>
    </comment>
    <comment ref="T27" authorId="0" shapeId="0">
      <text>
        <t>Form 10-Q (period ended 2024-09-30; acc. 0001770450-24-000050, xrx-20240930.htm), Xerox Holdings Condensed Consolidated Balance Sheets (XBRL R4.htm), as of September 30, 2024: Deferred tax assets = 635. https://www.sec.gov/Archives/edgar/data/1770450/000177045024000050/xrx-20240930.htm</t>
      </text>
    </comment>
    <comment ref="U27" authorId="0" shapeId="0">
      <text>
        <t>Form 10-K (period ended 2024-12-31; acc. 0001770450-25-000010, xrx-20241231.htm), Xerox Holdings Condensed Consolidated Balance Sheets (XBRL R5.htm), as of December 31, 2024: Deferred tax assets = 615. https://www.sec.gov/Archives/edgar/data/1770450/000177045025000010/xrx-20241231.htm</t>
      </text>
    </comment>
    <comment ref="V27" authorId="0" shapeId="0">
      <text>
        <t>Form 10-Q (period ended 2025-03-31; acc. 0001770450-25-000026, xrx-20250331.htm), Xerox Holdings Condensed Consolidated Balance Sheets (XBRL R4.htm), as of March 31, 2025: Deferred tax assets = 607. https://www.sec.gov/Archives/edgar/data/1770450/000177045025000026/xrx-20250331.htm</t>
      </text>
    </comment>
    <comment ref="W27" authorId="0" shapeId="0">
      <text>
        <t>Form 10-Q (period ended 2025-06-30; acc. 0001628280-25-038980, xrx-20250630.htm), Xerox Holdings Condensed Consolidated Balance Sheets (XBRL R4.htm), as of June 30, 2025: Deferred tax assets = 551. https://www.sec.gov/Archives/edgar/data/1770450/000162828025038980/xrx-20250630.htm</t>
      </text>
    </comment>
    <comment ref="X27" authorId="0" shapeId="0">
      <text>
        <t>Form 10-Q (period ended 2025-09-30; acc. 0001770450-25-000037, xrx-20250930.htm), Xerox Holdings Condensed Consolidated Balance Sheets (XBRL R4.htm), as of September 30, 2025: Deferred tax assets = 101. https://www.sec.gov/Archives/edgar/data/1770450/000177045025000037/xrx-20250930.htm</t>
      </text>
    </comment>
    <comment ref="Y27" authorId="0" shapeId="0">
      <text>
        <t>Form 10-K (period ended 2025-12-31; acc. 0001770450-26-000009, xrx-20251231.htm), Xerox Holdings Condensed Consolidated Balance Sheets (XBRL R5.htm), as of December 31, 2025: Deferred tax assets = 98. https://www.sec.gov/Archives/edgar/data/1770450/000177045026000009/xrx-20251231.htm</t>
      </text>
    </comment>
    <comment ref="Z27" authorId="0" shapeId="0">
      <text>
        <t>Form 10-Q (period ended 2026-03-31; acc. 0001770450-26-000030, xrx-20260331.htm), Xerox Holdings Condensed Consolidated Balance Sheets (XBRL R4.htm), as of March 31, 2026: Deferred tax assets = 96. https://www.sec.gov/Archives/edgar/data/1770450/000177045026000030/xrx-20260331.htm</t>
      </text>
    </comment>
    <comment ref="AA27" authorId="0" shapeId="0">
      <text>
        <t>Form 10-Q (period ended 2026-06-30; acc. 0001770450-26-000040, xrx-20260630.htm), Xerox Holdings Condensed Consolidated Balance Sheets (XBRL R4.htm), as of June 30, 2026: Deferred tax assets = 86. https://www.sec.gov/Archives/edgar/data/1770450/000177045026000040/xrx-20260630.htm</t>
      </text>
    </comment>
    <comment ref="F28" authorId="0" shapeId="0">
      <text>
        <t>Form 10-Q (period ended 2021-03-31; acc. 0001770450-21-000025, xrx-20210331.htm), Xerox Holdings Condensed Consolidated Balance Sheets (XBRL R4.htm), as of March 31, 2021: Other long-term assets = 1,454. https://www.sec.gov/Archives/edgar/data/1770450/000177045021000025/xrx-20210331.htm</t>
      </text>
    </comment>
    <comment ref="G28" authorId="0" shapeId="0">
      <text>
        <t>Form 10-Q (period ended 2021-06-30; acc. 0001770450-21-000036, xrx-20210630.htm), Xerox Holdings Condensed Consolidated Balance Sheets (XBRL R4.htm), as of June 30, 2021: Other long-term assets = 1,496. https://www.sec.gov/Archives/edgar/data/1770450/000177045021000036/xrx-20210630.htm</t>
      </text>
    </comment>
    <comment ref="H28" authorId="0" shapeId="0">
      <text>
        <t>Form 10-Q (period ended 2021-09-30; acc. 0001770450-21-000050, xrx-20210930.htm), Xerox Holdings Condensed Consolidated Balance Sheets (XBRL R4.htm), as of September 30, 2021: Other long-term assets = 1,492. https://www.sec.gov/Archives/edgar/data/1770450/000177045021000050/xrx-20210930.htm</t>
      </text>
    </comment>
    <comment ref="I28" authorId="0" shapeId="0">
      <text>
        <t>Form 10-K (period ended 2021-12-31; acc. 0001770450-22-000010, xrx-20211231.htm), Xerox Holdings Condensed Consolidated Balance Sheets (XBRL R5.htm), as of December 31, 2021: Other long-term assets = 1,960. https://www.sec.gov/Archives/edgar/data/1770450/000177045022000010/xrx-20211231.htm</t>
      </text>
    </comment>
    <comment ref="J28" authorId="0" shapeId="0">
      <text>
        <t>Form 10-Q (period ended 2022-03-31; acc. 0001770450-22-000020, xrx-20220331.htm), Xerox Holdings Condensed Consolidated Balance Sheets (XBRL R4.htm), as of March 31, 2022: Other long-term assets = 1,951. https://www.sec.gov/Archives/edgar/data/1770450/000177045022000020/xrx-20220331.htm</t>
      </text>
    </comment>
    <comment ref="K28" authorId="0" shapeId="0">
      <text>
        <t>Form 10-Q (period ended 2022-06-30; acc. 0001770450-22-000030, xrx-20220630.htm), Xerox Holdings Condensed Consolidated Balance Sheets (XBRL R4.htm), as of June 30, 2022: Other long-term assets = 1,784. https://www.sec.gov/Archives/edgar/data/1770450/000177045022000030/xrx-20220630.htm</t>
      </text>
    </comment>
    <comment ref="L28" authorId="0" shapeId="0">
      <text>
        <t>Form 10-Q (period ended 2022-09-30; acc. 0001770450-22-000041, xrx-20220930.htm), Xerox Holdings Condensed Consolidated Balance Sheets (XBRL R4.htm), as of September 30, 2022: Other long-term assets = 1,715. https://www.sec.gov/Archives/edgar/data/1770450/000177045022000041/xrx-20220930.htm</t>
      </text>
    </comment>
    <comment ref="M28" authorId="0" shapeId="0">
      <text>
        <t>Form 10-K (period ended 2022-12-31; acc. 0001770450-23-000011, xrx-20221231.htm), Xerox Holdings Condensed Consolidated Balance Sheets (XBRL R5.htm), as of December 31, 2022: Other long-term assets = 1,323. https://www.sec.gov/Archives/edgar/data/1770450/000177045023000011/xrx-20221231.htm</t>
      </text>
    </comment>
    <comment ref="N28" authorId="0" shapeId="0">
      <text>
        <t>Form 10-Q (period ended 2023-03-31; acc. 0001770450-23-000032, xrx-20230331.htm), Xerox Holdings Condensed Consolidated Balance Sheets (XBRL R4.htm), as of March 31, 2023: Other long-term assets = 1,331. https://www.sec.gov/Archives/edgar/data/1770450/000177045023000032/xrx-20230331.htm</t>
      </text>
    </comment>
    <comment ref="O28" authorId="0" shapeId="0">
      <text>
        <t>Form 10-Q (period ended 2023-06-30; acc. 0001770450-23-000042, xrx-20230630.htm), Xerox Holdings Condensed Consolidated Balance Sheets (XBRL R4.htm), as of June 30, 2023: Other long-term assets = 1,377. https://www.sec.gov/Archives/edgar/data/1770450/000177045023000042/xrx-20230630.htm</t>
      </text>
    </comment>
    <comment ref="P28" authorId="0" shapeId="0">
      <text>
        <t>Form 10-Q (period ended 2023-09-30; acc. 0001770450-23-000050, xrx-20230930.htm), Xerox Holdings Condensed Consolidated Balance Sheets (XBRL R4.htm), as of September 30, 2023: Other long-term assets = 1,355. https://www.sec.gov/Archives/edgar/data/1770450/000177045023000050/xrx-20230930.htm</t>
      </text>
    </comment>
    <comment ref="Q28" authorId="0" shapeId="0">
      <text>
        <t>Form 10-K (period ended 2023-12-31; acc. 0001770450-24-000012, xrx-20231231.htm), Xerox Holdings Condensed Consolidated Balance Sheets (XBRL R5.htm), as of December 31, 2023: Other long-term assets = 1,034. https://www.sec.gov/Archives/edgar/data/1770450/000177045024000012/xrx-20231231.htm</t>
      </text>
    </comment>
    <comment ref="R28" authorId="0" shapeId="0">
      <text>
        <t>Form 10-Q (period ended 2024-03-31; acc. 0001770450-24-000031, xrx-20240331.htm), Xerox Holdings Condensed Consolidated Balance Sheets (XBRL R4.htm), as of March 31, 2024: Other long-term assets = 1,052. https://www.sec.gov/Archives/edgar/data/1770450/000177045024000031/xrx-20240331.htm</t>
      </text>
    </comment>
    <comment ref="S28" authorId="0" shapeId="0">
      <text>
        <t>Form 10-Q (period ended 2024-06-30; acc. 0001770450-24-000042, xrx-20240630.htm), Xerox Holdings Condensed Consolidated Balance Sheets (XBRL R4.htm), as of June 30, 2024: Other long-term assets = 1,049. https://www.sec.gov/Archives/edgar/data/1770450/000177045024000042/xrx-20240630.htm</t>
      </text>
    </comment>
    <comment ref="T28" authorId="0" shapeId="0">
      <text>
        <t>Form 10-Q (period ended 2024-09-30; acc. 0001770450-24-000050, xrx-20240930.htm), Xerox Holdings Condensed Consolidated Balance Sheets (XBRL R4.htm), as of September 30, 2024: Other long-term assets = 1,063. https://www.sec.gov/Archives/edgar/data/1770450/000177045024000050/xrx-20240930.htm</t>
      </text>
    </comment>
    <comment ref="U28" authorId="0" shapeId="0">
      <text>
        <t>Form 10-K (period ended 2024-12-31; acc. 0001770450-25-000010, xrx-20241231.htm), Xerox Holdings Condensed Consolidated Balance Sheets (XBRL R5.htm), as of December 31, 2024: Other long-term assets = 1,057. https://www.sec.gov/Archives/edgar/data/1770450/000177045025000010/xrx-20241231.htm</t>
      </text>
    </comment>
    <comment ref="V28" authorId="0" shapeId="0">
      <text>
        <t>Form 10-Q (period ended 2025-03-31; acc. 0001770450-25-000026, xrx-20250331.htm), Xerox Holdings Condensed Consolidated Balance Sheets (XBRL R4.htm), as of March 31, 2025: Other long-term assets = 1,099. https://www.sec.gov/Archives/edgar/data/1770450/000177045025000026/xrx-20250331.htm</t>
      </text>
    </comment>
    <comment ref="W28" authorId="0" shapeId="0">
      <text>
        <t>Form 10-Q (period ended 2025-06-30; acc. 0001628280-25-038980, xrx-20250630.htm), Xerox Holdings Condensed Consolidated Balance Sheets (XBRL R4.htm), as of June 30, 2025: Other long-term assets = 1,148. https://www.sec.gov/Archives/edgar/data/1770450/000162828025038980/xrx-20250630.htm</t>
      </text>
    </comment>
    <comment ref="X28" authorId="0" shapeId="0">
      <text>
        <t>Form 10-Q (period ended 2025-09-30; acc. 0001770450-25-000037, xrx-20250930.htm), Xerox Holdings Condensed Consolidated Balance Sheets (XBRL R4.htm), as of September 30, 2025: Other long-term assets = 1,401. https://www.sec.gov/Archives/edgar/data/1770450/000177045025000037/xrx-20250930.htm</t>
      </text>
    </comment>
    <comment ref="Y28" authorId="0" shapeId="0">
      <text>
        <t>Form 10-K (period ended 2025-12-31; acc. 0001770450-26-000009, xrx-20251231.htm), Xerox Holdings Condensed Consolidated Balance Sheets (XBRL R5.htm), as of December 31, 2025: Other long-term assets = 1,479. https://www.sec.gov/Archives/edgar/data/1770450/000177045026000009/xrx-20251231.htm</t>
      </text>
    </comment>
    <comment ref="Z28" authorId="0" shapeId="0">
      <text>
        <t>Form 10-Q (period ended 2026-03-31; acc. 0001770450-26-000030, xrx-20260331.htm), Xerox Holdings Condensed Consolidated Balance Sheets (XBRL R4.htm), as of March 31, 2026: Other long-term assets = 1,467. https://www.sec.gov/Archives/edgar/data/1770450/000177045026000030/xrx-20260331.htm</t>
      </text>
    </comment>
    <comment ref="AA28" authorId="0" shapeId="0">
      <text>
        <t>Form 10-Q (period ended 2026-06-30; acc. 0001770450-26-000040, xrx-20260630.htm), Xerox Holdings Condensed Consolidated Balance Sheets (XBRL R4.htm), as of June 30, 2026: Other long-term assets = 1,457. https://www.sec.gov/Archives/edgar/data/1770450/000177045026000040/xrx-20260630.htm</t>
      </text>
    </comment>
    <comment ref="F30" authorId="0" shapeId="0">
      <text>
        <t>Reported subtotal. Form 10-Q (period ended 2021-03-31; acc. 0001770450-21-000025, xrx-20210331.htm), Xerox Holdings Condensed Consolidated Balance Sheets (XBRL R4.htm), as of March 31, 2021: Total assets = 14,272. https://www.sec.gov/Archives/edgar/data/1770450/000177045021000025/xrx-20210331.htm</t>
      </text>
    </comment>
    <comment ref="G30" authorId="0" shapeId="0">
      <text>
        <t>Reported subtotal. Form 10-Q (period ended 2021-06-30; acc. 0001770450-21-000036, xrx-20210630.htm), Xerox Holdings Condensed Consolidated Balance Sheets (XBRL R4.htm), as of June 30, 2021: Total assets = 14,110. https://www.sec.gov/Archives/edgar/data/1770450/000177045021000036/xrx-20210630.htm</t>
      </text>
    </comment>
    <comment ref="H30" authorId="0" shapeId="0">
      <text>
        <t>Reported subtotal. Form 10-Q (period ended 2021-09-30; acc. 0001770450-21-000050, xrx-20210930.htm), Xerox Holdings Condensed Consolidated Balance Sheets (XBRL R4.htm), as of September 30, 2021: Total assets = 14,081. https://www.sec.gov/Archives/edgar/data/1770450/000177045021000050/xrx-20210930.htm</t>
      </text>
    </comment>
    <comment ref="I30" authorId="0" shapeId="0">
      <text>
        <t>Reported subtotal. Form 10-K (period ended 2021-12-31; acc. 0001770450-22-000010, xrx-20211231.htm), Xerox Holdings Condensed Consolidated Balance Sheets (XBRL R5.htm), as of December 31, 2021: Total assets = 13,223. https://www.sec.gov/Archives/edgar/data/1770450/000177045022000010/xrx-20211231.htm</t>
      </text>
    </comment>
    <comment ref="J30" authorId="0" shapeId="0">
      <text>
        <t>Reported subtotal. Form 10-Q (period ended 2022-03-31; acc. 0001770450-22-000020, xrx-20220331.htm), Xerox Holdings Condensed Consolidated Balance Sheets (XBRL R4.htm), as of March 31, 2022: Total assets = 13,082. https://www.sec.gov/Archives/edgar/data/1770450/000177045022000020/xrx-20220331.htm</t>
      </text>
    </comment>
    <comment ref="K30" authorId="0" shapeId="0">
      <text>
        <t>Reported subtotal. Form 10-Q (period ended 2022-06-30; acc. 0001770450-22-000030, xrx-20220630.htm), Xerox Holdings Condensed Consolidated Balance Sheets (XBRL R4.htm), as of June 30, 2022: Total assets = 12,270. https://www.sec.gov/Archives/edgar/data/1770450/000177045022000030/xrx-20220630.htm</t>
      </text>
    </comment>
    <comment ref="L30" authorId="0" shapeId="0">
      <text>
        <t>Reported subtotal. Form 10-Q (period ended 2022-09-30; acc. 0001770450-22-000041, xrx-20220930.htm), Xerox Holdings Condensed Consolidated Balance Sheets (XBRL R4.htm), as of September 30, 2022: Total assets = 11,420. https://www.sec.gov/Archives/edgar/data/1770450/000177045022000041/xrx-20220930.htm</t>
      </text>
    </comment>
    <comment ref="M30" authorId="0" shapeId="0">
      <text>
        <t>Reported subtotal. Form 10-K (period ended 2022-12-31; acc. 0001770450-23-000011, xrx-20221231.htm), Xerox Holdings Condensed Consolidated Balance Sheets (XBRL R5.htm), as of December 31, 2022: Total assets = 11,543. https://www.sec.gov/Archives/edgar/data/1770450/000177045023000011/xrx-20221231.htm</t>
      </text>
    </comment>
    <comment ref="N30" authorId="0" shapeId="0">
      <text>
        <t>Reported subtotal. Form 10-Q (period ended 2023-03-31; acc. 0001770450-23-000032, xrx-20230331.htm), Xerox Holdings Condensed Consolidated Balance Sheets (XBRL R4.htm), as of March 31, 2023: Total assets = 11,046. https://www.sec.gov/Archives/edgar/data/1770450/000177045023000032/xrx-20230331.htm</t>
      </text>
    </comment>
    <comment ref="O30" authorId="0" shapeId="0">
      <text>
        <t>Reported subtotal. Form 10-Q (period ended 2023-06-30; acc. 0001770450-23-000042, xrx-20230630.htm), Xerox Holdings Condensed Consolidated Balance Sheets (XBRL R4.htm), as of June 30, 2023: Total assets = 10,569. https://www.sec.gov/Archives/edgar/data/1770450/000177045023000042/xrx-20230630.htm</t>
      </text>
    </comment>
    <comment ref="P30" authorId="0" shapeId="0">
      <text>
        <t>Reported subtotal. Form 10-Q (period ended 2023-09-30; acc. 0001770450-23-000050, xrx-20230930.htm), Xerox Holdings Condensed Consolidated Balance Sheets (XBRL R4.htm), as of September 30, 2023: Total assets = 10,444. https://www.sec.gov/Archives/edgar/data/1770450/000177045023000050/xrx-20230930.htm</t>
      </text>
    </comment>
    <comment ref="Q30" authorId="0" shapeId="0">
      <text>
        <t>Reported subtotal. Form 10-K (period ended 2023-12-31; acc. 0001770450-24-000012, xrx-20231231.htm), Xerox Holdings Condensed Consolidated Balance Sheets (XBRL R5.htm), as of December 31, 2023: Total assets = 10,008. https://www.sec.gov/Archives/edgar/data/1770450/000177045024000012/xrx-20231231.htm</t>
      </text>
    </comment>
    <comment ref="R30" authorId="0" shapeId="0">
      <text>
        <t>Reported subtotal. Form 10-Q (period ended 2024-03-31; acc. 0001770450-24-000031, xrx-20240331.htm), Xerox Holdings Condensed Consolidated Balance Sheets (XBRL R4.htm), as of March 31, 2024: Total assets = 9,944. https://www.sec.gov/Archives/edgar/data/1770450/000177045024000031/xrx-20240331.htm</t>
      </text>
    </comment>
    <comment ref="S30" authorId="0" shapeId="0">
      <text>
        <t>Reported subtotal. Form 10-Q (period ended 2024-06-30; acc. 0001770450-24-000042, xrx-20240630.htm), Xerox Holdings Condensed Consolidated Balance Sheets (XBRL R4.htm), as of June 30, 2024: Total assets = 9,491. https://www.sec.gov/Archives/edgar/data/1770450/000177045024000042/xrx-20240630.htm</t>
      </text>
    </comment>
    <comment ref="T30" authorId="0" shapeId="0">
      <text>
        <t>Reported subtotal. Form 10-Q (period ended 2024-09-30; acc. 0001770450-24-000050, xrx-20240930.htm), Xerox Holdings Condensed Consolidated Balance Sheets (XBRL R4.htm), as of September 30, 2024: Total assets = 8,322. https://www.sec.gov/Archives/edgar/data/1770450/000177045024000050/xrx-20240930.htm</t>
      </text>
    </comment>
    <comment ref="U30" authorId="0" shapeId="0">
      <text>
        <t>Reported subtotal. Form 10-K (period ended 2024-12-31; acc. 0001770450-25-000010, xrx-20241231.htm), Xerox Holdings Condensed Consolidated Balance Sheets (XBRL R5.htm), as of December 31, 2024: Total assets = 8,365. https://www.sec.gov/Archives/edgar/data/1770450/000177045025000010/xrx-20241231.htm</t>
      </text>
    </comment>
    <comment ref="V30" authorId="0" shapeId="0">
      <text>
        <t>Reported subtotal. Form 10-Q (period ended 2025-03-31; acc. 0001770450-25-000026, xrx-20250331.htm), Xerox Holdings Condensed Consolidated Balance Sheets (XBRL R4.htm), as of March 31, 2025: Total assets = 8,211. https://www.sec.gov/Archives/edgar/data/1770450/000177045025000026/xrx-20250331.htm</t>
      </text>
    </comment>
    <comment ref="W30" authorId="0" shapeId="0">
      <text>
        <t>Reported subtotal. Form 10-Q (period ended 2025-06-30; acc. 0001628280-25-038980, xrx-20250630.htm), Xerox Holdings Condensed Consolidated Balance Sheets (XBRL R4.htm), as of June 30, 2025: Total assets = 8,874. https://www.sec.gov/Archives/edgar/data/1770450/000162828025038980/xrx-20250630.htm</t>
      </text>
    </comment>
    <comment ref="X30" authorId="0" shapeId="0">
      <text>
        <t>Reported subtotal. Form 10-Q (period ended 2025-09-30; acc. 0001770450-25-000037, xrx-20250930.htm), Xerox Holdings Condensed Consolidated Balance Sheets (XBRL R4.htm), as of September 30, 2025: Total assets = 10,068. https://www.sec.gov/Archives/edgar/data/1770450/000177045025000037/xrx-20250930.htm</t>
      </text>
    </comment>
    <comment ref="Y30" authorId="0" shapeId="0">
      <text>
        <t>Reported subtotal. Form 10-K (period ended 2025-12-31; acc. 0001770450-26-000009, xrx-20251231.htm), Xerox Holdings Condensed Consolidated Balance Sheets (XBRL R5.htm), as of December 31, 2025: Total assets = 9,823. https://www.sec.gov/Archives/edgar/data/1770450/000177045026000009/xrx-20251231.htm</t>
      </text>
    </comment>
    <comment ref="Z30" authorId="0" shapeId="0">
      <text>
        <t>Reported subtotal. Form 10-Q (period ended 2026-03-31; acc. 0001770450-26-000030, xrx-20260331.htm), Xerox Holdings Condensed Consolidated Balance Sheets (XBRL R4.htm), as of March 31, 2026: Total assets = 9,902. https://www.sec.gov/Archives/edgar/data/1770450/000177045026000030/xrx-20260331.htm</t>
      </text>
    </comment>
    <comment ref="AA30" authorId="0" shapeId="0">
      <text>
        <t>Reported subtotal. Form 10-Q (period ended 2026-06-30; acc. 0001770450-26-000040, xrx-20260630.htm), Xerox Holdings Condensed Consolidated Balance Sheets (XBRL R4.htm), as of June 30, 2026: Total assets = 9,724. https://www.sec.gov/Archives/edgar/data/1770450/000177045026000040/xrx-20260630.htm</t>
      </text>
    </comment>
    <comment ref="F35" authorId="0" shapeId="0">
      <text>
        <t>Form 10-Q (period ended 2021-03-31; acc. 0001770450-21-000025, xrx-20210331.htm), Xerox Holdings Condensed Consolidated Balance Sheets (XBRL R4.htm), as of March 31, 2021: Short-term debt and current portion of long-term debt = 678. https://www.sec.gov/Archives/edgar/data/1770450/000177045021000025/xrx-20210331.htm</t>
      </text>
    </comment>
    <comment ref="G35" authorId="0" shapeId="0">
      <text>
        <t>Form 10-Q (period ended 2021-06-30; acc. 0001770450-21-000036, xrx-20210630.htm), Xerox Holdings Condensed Consolidated Balance Sheets (XBRL R4.htm), as of June 30, 2021: Short-term debt and current portion of long-term debt = 642. https://www.sec.gov/Archives/edgar/data/1770450/000177045021000036/xrx-20210630.htm</t>
      </text>
    </comment>
    <comment ref="H35" authorId="0" shapeId="0">
      <text>
        <t>Form 10-Q (period ended 2021-09-30; acc. 0001770450-21-000050, xrx-20210930.htm), Xerox Holdings Condensed Consolidated Balance Sheets (XBRL R4.htm), as of September 30, 2021: Short-term debt and current portion of long-term debt = 646. https://www.sec.gov/Archives/edgar/data/1770450/000177045021000050/xrx-20210930.htm</t>
      </text>
    </comment>
    <comment ref="I35" authorId="0" shapeId="0">
      <text>
        <t>Form 10-K (period ended 2021-12-31; acc. 0001770450-22-000010, xrx-20211231.htm), Xerox Holdings Condensed Consolidated Balance Sheets (XBRL R5.htm), as of December 31, 2021: Short-term debt and current portion of long-term debt = 650. https://www.sec.gov/Archives/edgar/data/1770450/000177045022000010/xrx-20211231.htm</t>
      </text>
    </comment>
    <comment ref="J35" authorId="0" shapeId="0">
      <text>
        <t>Form 10-Q (period ended 2022-03-31; acc. 0001770450-22-000020, xrx-20220331.htm), Xerox Holdings Condensed Consolidated Balance Sheets (XBRL R4.htm), as of March 31, 2022: Short-term debt and current portion of long-term debt = 1,450. https://www.sec.gov/Archives/edgar/data/1770450/000177045022000020/xrx-20220331.htm</t>
      </text>
    </comment>
    <comment ref="K35" authorId="0" shapeId="0">
      <text>
        <t>Form 10-Q (period ended 2022-06-30; acc. 0001770450-22-000030, xrx-20220630.htm), Xerox Holdings Condensed Consolidated Balance Sheets (XBRL R4.htm), as of June 30, 2022: Short-term debt and current portion of long-term debt = 1,108. https://www.sec.gov/Archives/edgar/data/1770450/000177045022000030/xrx-20220630.htm</t>
      </text>
    </comment>
    <comment ref="L35" authorId="0" shapeId="0">
      <text>
        <t>Form 10-Q (period ended 2022-09-30; acc. 0001770450-22-000041, xrx-20220930.htm), Xerox Holdings Condensed Consolidated Balance Sheets (XBRL R4.htm), as of September 30, 2022: Short-term debt and current portion of long-term debt = 1,070. https://www.sec.gov/Archives/edgar/data/1770450/000177045022000041/xrx-20220930.htm</t>
      </text>
    </comment>
    <comment ref="M35" authorId="0" shapeId="0">
      <text>
        <t>Form 10-K (period ended 2022-12-31; acc. 0001770450-23-000011, xrx-20221231.htm), Xerox Holdings Condensed Consolidated Balance Sheets (XBRL R5.htm), as of December 31, 2022: Short-term debt and current portion of long-term debt = 860. https://www.sec.gov/Archives/edgar/data/1770450/000177045023000011/xrx-20221231.htm</t>
      </text>
    </comment>
    <comment ref="N35" authorId="0" shapeId="0">
      <text>
        <t>Form 10-Q (period ended 2023-03-31; acc. 0001770450-23-000032, xrx-20230331.htm), Xerox Holdings Condensed Consolidated Balance Sheets (XBRL R4.htm), as of March 31, 2023: Short-term debt and current portion of long-term debt = 553. https://www.sec.gov/Archives/edgar/data/1770450/000177045023000032/xrx-20230331.htm</t>
      </text>
    </comment>
    <comment ref="O35" authorId="0" shapeId="0">
      <text>
        <t>Form 10-Q (period ended 2023-06-30; acc. 0001770450-23-000042, xrx-20230630.htm), Xerox Holdings Condensed Consolidated Balance Sheets (XBRL R4.htm), as of June 30, 2023: Short-term debt and current portion of long-term debt = 891. https://www.sec.gov/Archives/edgar/data/1770450/000177045023000042/xrx-20230630.htm</t>
      </text>
    </comment>
    <comment ref="P35" authorId="0" shapeId="0">
      <text>
        <t>Form 10-Q (period ended 2023-09-30; acc. 0001770450-23-000050, xrx-20230930.htm), Xerox Holdings Condensed Consolidated Balance Sheets (XBRL R4.htm), as of September 30, 2023: Short-term debt and current portion of long-term debt = 870. https://www.sec.gov/Archives/edgar/data/1770450/000177045023000050/xrx-20230930.htm</t>
      </text>
    </comment>
    <comment ref="Q35" authorId="0" shapeId="0">
      <text>
        <t>Form 10-K (period ended 2023-12-31; acc. 0001770450-24-000012, xrx-20231231.htm), Xerox Holdings Condensed Consolidated Balance Sheets (XBRL R5.htm), as of December 31, 2023: Short-term debt and current portion of long-term debt = 567. https://www.sec.gov/Archives/edgar/data/1770450/000177045024000012/xrx-20231231.htm</t>
      </text>
    </comment>
    <comment ref="R35" authorId="0" shapeId="0">
      <text>
        <t>Form 10-Q (period ended 2024-03-31; acc. 0001770450-24-000031, xrx-20240331.htm), Xerox Holdings Condensed Consolidated Balance Sheets (XBRL R4.htm), as of March 31, 2024: Short-term debt and current portion of long-term debt = 405. https://www.sec.gov/Archives/edgar/data/1770450/000177045024000031/xrx-20240331.htm</t>
      </text>
    </comment>
    <comment ref="S35" authorId="0" shapeId="0">
      <text>
        <t>Form 10-Q (period ended 2024-06-30; acc. 0001770450-24-000042, xrx-20240630.htm), Xerox Holdings Condensed Consolidated Balance Sheets (XBRL R4.htm), as of June 30, 2024: Short-term debt and current portion of long-term debt = 129. https://www.sec.gov/Archives/edgar/data/1770450/000177045024000042/xrx-20240630.htm</t>
      </text>
    </comment>
    <comment ref="T35" authorId="0" shapeId="0">
      <text>
        <t>Form 10-Q (period ended 2024-09-30; acc. 0001770450-24-000050, xrx-20240930.htm), Xerox Holdings Condensed Consolidated Balance Sheets (XBRL R4.htm), as of September 30, 2024: Short-term debt and current portion of long-term debt = 519. https://www.sec.gov/Archives/edgar/data/1770450/000177045024000050/xrx-20240930.htm</t>
      </text>
    </comment>
    <comment ref="U35" authorId="0" shapeId="0">
      <text>
        <t>Form 10-K (period ended 2024-12-31; acc. 0001770450-25-000010, xrx-20241231.htm), Xerox Holdings Condensed Consolidated Balance Sheets (XBRL R5.htm), as of December 31, 2024: Short-term debt and current portion of long-term debt = 585. https://www.sec.gov/Archives/edgar/data/1770450/000177045025000010/xrx-20241231.htm</t>
      </text>
    </comment>
    <comment ref="V35" authorId="0" shapeId="0">
      <text>
        <t>Form 10-Q (period ended 2025-03-31; acc. 0001770450-25-000026, xrx-20250331.htm), Xerox Holdings Condensed Consolidated Balance Sheets (XBRL R4.htm), as of March 31, 2025: Short-term debt and current portion of long-term debt = 599. https://www.sec.gov/Archives/edgar/data/1770450/000177045025000026/xrx-20250331.htm</t>
      </text>
    </comment>
    <comment ref="W35" authorId="0" shapeId="0">
      <text>
        <t>Form 10-Q (period ended 2025-06-30; acc. 0001628280-25-038980, xrx-20250630.htm), Xerox Holdings Condensed Consolidated Balance Sheets (XBRL R4.htm), as of June 30, 2025: Short-term debt and current portion of long-term debt = 458. https://www.sec.gov/Archives/edgar/data/1770450/000162828025038980/xrx-20250630.htm</t>
      </text>
    </comment>
    <comment ref="X35" authorId="0" shapeId="0">
      <text>
        <t>Form 10-Q (period ended 2025-09-30; acc. 0001770450-25-000037, xrx-20250930.htm), Xerox Holdings Condensed Consolidated Balance Sheets (XBRL R4.htm), as of September 30, 2025: Short-term debt and current portion of long-term debt = 354. https://www.sec.gov/Archives/edgar/data/1770450/000177045025000037/xrx-20250930.htm</t>
      </text>
    </comment>
    <comment ref="Y35" authorId="0" shapeId="0">
      <text>
        <t>Form 10-K (period ended 2025-12-31; acc. 0001770450-26-000009, xrx-20251231.htm), Xerox Holdings Condensed Consolidated Balance Sheets (XBRL R5.htm), as of December 31, 2025: Short-term debt and current portion of long-term debt = 231. https://www.sec.gov/Archives/edgar/data/1770450/000177045026000009/xrx-20251231.htm</t>
      </text>
    </comment>
    <comment ref="Z35" authorId="0" shapeId="0">
      <text>
        <t>Form 10-Q (period ended 2026-03-31; acc. 0001770450-26-000030, xrx-20260331.htm), Xerox Holdings Condensed Consolidated Balance Sheets (XBRL R4.htm), as of March 31, 2026: Short-term debt and current portion of long-term debt = 165. https://www.sec.gov/Archives/edgar/data/1770450/000177045026000030/xrx-20260331.htm</t>
      </text>
    </comment>
    <comment ref="AA35" authorId="0" shapeId="0">
      <text>
        <t>Form 10-Q (period ended 2026-06-30; acc. 0001770450-26-000040, xrx-20260630.htm), Xerox Holdings Condensed Consolidated Balance Sheets (XBRL R4.htm), as of June 30, 2026: Short-term debt and current portion of long-term debt = 70. https://www.sec.gov/Archives/edgar/data/1770450/000177045026000040/xrx-20260630.htm</t>
      </text>
    </comment>
    <comment ref="F36" authorId="0" shapeId="0">
      <text>
        <t>Form 10-Q (period ended 2021-03-31; acc. 0001770450-21-000025, xrx-20210331.htm), Xerox Holdings Condensed Consolidated Balance Sheets (XBRL R4.htm), as of March 31, 2021: Financing liability, tariff receivables monetization = 0. https://www.sec.gov/Archives/edgar/data/1770450/000177045021000025/xrx-20210331.htm Line not presented in this filing; zero.</t>
      </text>
    </comment>
    <comment ref="G36" authorId="0" shapeId="0">
      <text>
        <t>Form 10-Q (period ended 2021-06-30; acc. 0001770450-21-000036, xrx-20210630.htm), Xerox Holdings Condensed Consolidated Balance Sheets (XBRL R4.htm), as of June 30, 2021: Financing liability, tariff receivables monetization = 0. https://www.sec.gov/Archives/edgar/data/1770450/000177045021000036/xrx-20210630.htm Line not presented in this filing; zero.</t>
      </text>
    </comment>
    <comment ref="H36" authorId="0" shapeId="0">
      <text>
        <t>Form 10-Q (period ended 2021-09-30; acc. 0001770450-21-000050, xrx-20210930.htm), Xerox Holdings Condensed Consolidated Balance Sheets (XBRL R4.htm), as of September 30, 2021: Financing liability, tariff receivables monetization = 0. https://www.sec.gov/Archives/edgar/data/1770450/000177045021000050/xrx-20210930.htm Line not presented in this filing; zero.</t>
      </text>
    </comment>
    <comment ref="I36" authorId="0" shapeId="0">
      <text>
        <t>Form 10-K (period ended 2021-12-31; acc. 0001770450-22-000010, xrx-20211231.htm), Xerox Holdings Condensed Consolidated Balance Sheets (XBRL R5.htm), as of December 31, 2021: Financing liability, tariff receivables monetization = 0. https://www.sec.gov/Archives/edgar/data/1770450/000177045022000010/xrx-20211231.htm Line not presented in this filing; zero.</t>
      </text>
    </comment>
    <comment ref="J36" authorId="0" shapeId="0">
      <text>
        <t>Form 10-Q (period ended 2022-03-31; acc. 0001770450-22-000020, xrx-20220331.htm), Xerox Holdings Condensed Consolidated Balance Sheets (XBRL R4.htm), as of March 31, 2022: Financing liability, tariff receivables monetization = 0. https://www.sec.gov/Archives/edgar/data/1770450/000177045022000020/xrx-20220331.htm Line not presented in this filing; zero.</t>
      </text>
    </comment>
    <comment ref="K36" authorId="0" shapeId="0">
      <text>
        <t>Form 10-Q (period ended 2022-06-30; acc. 0001770450-22-000030, xrx-20220630.htm), Xerox Holdings Condensed Consolidated Balance Sheets (XBRL R4.htm), as of June 30, 2022: Financing liability, tariff receivables monetization = 0. https://www.sec.gov/Archives/edgar/data/1770450/000177045022000030/xrx-20220630.htm Line not presented in this filing; zero.</t>
      </text>
    </comment>
    <comment ref="L36" authorId="0" shapeId="0">
      <text>
        <t>Form 10-Q (period ended 2022-09-30; acc. 0001770450-22-000041, xrx-20220930.htm), Xerox Holdings Condensed Consolidated Balance Sheets (XBRL R4.htm), as of September 30, 2022: Financing liability, tariff receivables monetization = 0. https://www.sec.gov/Archives/edgar/data/1770450/000177045022000041/xrx-20220930.htm Line not presented in this filing; zero.</t>
      </text>
    </comment>
    <comment ref="M36" authorId="0" shapeId="0">
      <text>
        <t>Form 10-K (period ended 2022-12-31; acc. 0001770450-23-000011, xrx-20221231.htm), Xerox Holdings Condensed Consolidated Balance Sheets (XBRL R5.htm), as of December 31, 2022: Financing liability, tariff receivables monetization = 0. https://www.sec.gov/Archives/edgar/data/1770450/000177045023000011/xrx-20221231.htm Line not presented in this filing; zero.</t>
      </text>
    </comment>
    <comment ref="N36" authorId="0" shapeId="0">
      <text>
        <t>Form 10-Q (period ended 2023-03-31; acc. 0001770450-23-000032, xrx-20230331.htm), Xerox Holdings Condensed Consolidated Balance Sheets (XBRL R4.htm), as of March 31, 2023: Financing liability, tariff receivables monetization = 0. https://www.sec.gov/Archives/edgar/data/1770450/000177045023000032/xrx-20230331.htm Line not presented in this filing; zero.</t>
      </text>
    </comment>
    <comment ref="O36" authorId="0" shapeId="0">
      <text>
        <t>Form 10-Q (period ended 2023-06-30; acc. 0001770450-23-000042, xrx-20230630.htm), Xerox Holdings Condensed Consolidated Balance Sheets (XBRL R4.htm), as of June 30, 2023: Financing liability, tariff receivables monetization = 0. https://www.sec.gov/Archives/edgar/data/1770450/000177045023000042/xrx-20230630.htm Line not presented in this filing; zero.</t>
      </text>
    </comment>
    <comment ref="P36" authorId="0" shapeId="0">
      <text>
        <t>Form 10-Q (period ended 2023-09-30; acc. 0001770450-23-000050, xrx-20230930.htm), Xerox Holdings Condensed Consolidated Balance Sheets (XBRL R4.htm), as of September 30, 2023: Financing liability, tariff receivables monetization = 0. https://www.sec.gov/Archives/edgar/data/1770450/000177045023000050/xrx-20230930.htm Line not presented in this filing; zero.</t>
      </text>
    </comment>
    <comment ref="Q36" authorId="0" shapeId="0">
      <text>
        <t>Form 10-K (period ended 2023-12-31; acc. 0001770450-24-000012, xrx-20231231.htm), Xerox Holdings Condensed Consolidated Balance Sheets (XBRL R5.htm), as of December 31, 2023: Financing liability, tariff receivables monetization = 0. https://www.sec.gov/Archives/edgar/data/1770450/000177045024000012/xrx-20231231.htm Line not presented in this filing; zero.</t>
      </text>
    </comment>
    <comment ref="R36" authorId="0" shapeId="0">
      <text>
        <t>Form 10-Q (period ended 2024-03-31; acc. 0001770450-24-000031, xrx-20240331.htm), Xerox Holdings Condensed Consolidated Balance Sheets (XBRL R4.htm), as of March 31, 2024: Financing liability, tariff receivables monetization = 0. https://www.sec.gov/Archives/edgar/data/1770450/000177045024000031/xrx-20240331.htm Line not presented in this filing; zero.</t>
      </text>
    </comment>
    <comment ref="S36" authorId="0" shapeId="0">
      <text>
        <t>Form 10-Q (period ended 2024-06-30; acc. 0001770450-24-000042, xrx-20240630.htm), Xerox Holdings Condensed Consolidated Balance Sheets (XBRL R4.htm), as of June 30, 2024: Financing liability, tariff receivables monetization = 0. https://www.sec.gov/Archives/edgar/data/1770450/000177045024000042/xrx-20240630.htm Line not presented in this filing; zero.</t>
      </text>
    </comment>
    <comment ref="T36" authorId="0" shapeId="0">
      <text>
        <t>Form 10-Q (period ended 2024-09-30; acc. 0001770450-24-000050, xrx-20240930.htm), Xerox Holdings Condensed Consolidated Balance Sheets (XBRL R4.htm), as of September 30, 2024: Financing liability, tariff receivables monetization = 0. https://www.sec.gov/Archives/edgar/data/1770450/000177045024000050/xrx-20240930.htm Line not presented in this filing; zero.</t>
      </text>
    </comment>
    <comment ref="U36" authorId="0" shapeId="0">
      <text>
        <t>Form 10-K (period ended 2024-12-31; acc. 0001770450-25-000010, xrx-20241231.htm), Xerox Holdings Condensed Consolidated Balance Sheets (XBRL R5.htm), as of December 31, 2024: Financing liability, tariff receivables monetization = 0. https://www.sec.gov/Archives/edgar/data/1770450/000177045025000010/xrx-20241231.htm Line not presented in this filing; zero.</t>
      </text>
    </comment>
    <comment ref="V36" authorId="0" shapeId="0">
      <text>
        <t>Form 10-Q (period ended 2025-03-31; acc. 0001770450-25-000026, xrx-20250331.htm), Xerox Holdings Condensed Consolidated Balance Sheets (XBRL R4.htm), as of March 31, 2025: Financing liability, tariff receivables monetization = 0. https://www.sec.gov/Archives/edgar/data/1770450/000177045025000026/xrx-20250331.htm Line not presented in this filing; zero.</t>
      </text>
    </comment>
    <comment ref="W36" authorId="0" shapeId="0">
      <text>
        <t>Form 10-Q (period ended 2025-06-30; acc. 0001628280-25-038980, xrx-20250630.htm), Xerox Holdings Condensed Consolidated Balance Sheets (XBRL R4.htm), as of June 30, 2025: Financing liability, tariff receivables monetization = 0. https://www.sec.gov/Archives/edgar/data/1770450/000162828025038980/xrx-20250630.htm Line not presented in this filing; zero.</t>
      </text>
    </comment>
    <comment ref="X36" authorId="0" shapeId="0">
      <text>
        <t>Form 10-Q (period ended 2025-09-30; acc. 0001770450-25-000037, xrx-20250930.htm), Xerox Holdings Condensed Consolidated Balance Sheets (XBRL R4.htm), as of September 30, 2025: Financing liability, tariff receivables monetization = 0. https://www.sec.gov/Archives/edgar/data/1770450/000177045025000037/xrx-20250930.htm Line not presented in this filing; zero.</t>
      </text>
    </comment>
    <comment ref="Y36" authorId="0" shapeId="0">
      <text>
        <t>Form 10-K (period ended 2025-12-31; acc. 0001770450-26-000009, xrx-20251231.htm), Xerox Holdings Condensed Consolidated Balance Sheets (XBRL R5.htm), as of December 31, 2025: Financing liability, tariff receivables monetization = 0. https://www.sec.gov/Archives/edgar/data/1770450/000177045026000009/xrx-20251231.htm Line not presented in this filing; zero.</t>
      </text>
    </comment>
    <comment ref="Z36" authorId="0" shapeId="0">
      <text>
        <t>Form 10-Q (period ended 2026-03-31; acc. 0001770450-26-000030, xrx-20260331.htm), Xerox Holdings Condensed Consolidated Balance Sheets (XBRL R4.htm), as of March 31, 2026: Financing liability, tariff receivables monetization = 0. https://www.sec.gov/Archives/edgar/data/1770450/000177045026000030/xrx-20260331.htm Line not presented in this filing; zero.</t>
      </text>
    </comment>
    <comment ref="AA36" authorId="0" shapeId="0">
      <text>
        <t>Form 10-Q (period ended 2026-06-30; acc. 0001770450-26-000040, xrx-20260630.htm), Xerox Holdings Condensed Consolidated Balance Sheets (XBRL R4.htm), as of June 30, 2026: Financing liability, tariff receivables monetization = 90. https://www.sec.gov/Archives/edgar/data/1770450/000177045026000040/xrx-20260630.htm</t>
      </text>
    </comment>
    <comment ref="F37" authorId="0" shapeId="0">
      <text>
        <t>Form 10-Q (period ended 2021-03-31; acc. 0001770450-21-000025, xrx-20210331.htm), Xerox Holdings Condensed Consolidated Balance Sheets (XBRL R4.htm), as of March 31, 2021: Accounts payable = 932. https://www.sec.gov/Archives/edgar/data/1770450/000177045021000025/xrx-20210331.htm</t>
      </text>
    </comment>
    <comment ref="G37" authorId="0" shapeId="0">
      <text>
        <t>Form 10-Q (period ended 2021-06-30; acc. 0001770450-21-000036, xrx-20210630.htm), Xerox Holdings Condensed Consolidated Balance Sheets (XBRL R4.htm), as of June 30, 2021: Accounts payable = 935. https://www.sec.gov/Archives/edgar/data/1770450/000177045021000036/xrx-20210630.htm</t>
      </text>
    </comment>
    <comment ref="H37" authorId="0" shapeId="0">
      <text>
        <t>Form 10-Q (period ended 2021-09-30; acc. 0001770450-21-000050, xrx-20210930.htm), Xerox Holdings Condensed Consolidated Balance Sheets (XBRL R4.htm), as of September 30, 2021: Accounts payable = 1,032. https://www.sec.gov/Archives/edgar/data/1770450/000177045021000050/xrx-20210930.htm</t>
      </text>
    </comment>
    <comment ref="I37" authorId="0" shapeId="0">
      <text>
        <t>Form 10-K (period ended 2021-12-31; acc. 0001770450-22-000010, xrx-20211231.htm), Xerox Holdings Condensed Consolidated Balance Sheets (XBRL R5.htm), as of December 31, 2021: Accounts payable = 1,069. https://www.sec.gov/Archives/edgar/data/1770450/000177045022000010/xrx-20211231.htm</t>
      </text>
    </comment>
    <comment ref="J37" authorId="0" shapeId="0">
      <text>
        <t>Form 10-Q (period ended 2022-03-31; acc. 0001770450-22-000020, xrx-20220331.htm), Xerox Holdings Condensed Consolidated Balance Sheets (XBRL R4.htm), as of March 31, 2022: Accounts payable = 1,183. https://www.sec.gov/Archives/edgar/data/1770450/000177045022000020/xrx-20220331.htm</t>
      </text>
    </comment>
    <comment ref="K37" authorId="0" shapeId="0">
      <text>
        <t>Form 10-Q (period ended 2022-06-30; acc. 0001770450-22-000030, xrx-20220630.htm), Xerox Holdings Condensed Consolidated Balance Sheets (XBRL R4.htm), as of June 30, 2022: Accounts payable = 1,207. https://www.sec.gov/Archives/edgar/data/1770450/000177045022000030/xrx-20220630.htm</t>
      </text>
    </comment>
    <comment ref="L37" authorId="0" shapeId="0">
      <text>
        <t>Form 10-Q (period ended 2022-09-30; acc. 0001770450-22-000041, xrx-20220930.htm), Xerox Holdings Condensed Consolidated Balance Sheets (XBRL R4.htm), as of September 30, 2022: Accounts payable = 1,213. https://www.sec.gov/Archives/edgar/data/1770450/000177045022000041/xrx-20220930.htm</t>
      </text>
    </comment>
    <comment ref="M37" authorId="0" shapeId="0">
      <text>
        <t>Form 10-K (period ended 2022-12-31; acc. 0001770450-23-000011, xrx-20221231.htm), Xerox Holdings Condensed Consolidated Balance Sheets (XBRL R5.htm), as of December 31, 2022: Accounts payable = 1,331. https://www.sec.gov/Archives/edgar/data/1770450/000177045023000011/xrx-20221231.htm</t>
      </text>
    </comment>
    <comment ref="N37" authorId="0" shapeId="0">
      <text>
        <t>Form 10-Q (period ended 2023-03-31; acc. 0001770450-23-000032, xrx-20230331.htm), Xerox Holdings Condensed Consolidated Balance Sheets (XBRL R4.htm), as of March 31, 2023: Accounts payable = 1,301. https://www.sec.gov/Archives/edgar/data/1770450/000177045023000032/xrx-20230331.htm</t>
      </text>
    </comment>
    <comment ref="O37" authorId="0" shapeId="0">
      <text>
        <t>Form 10-Q (period ended 2023-06-30; acc. 0001770450-23-000042, xrx-20230630.htm), Xerox Holdings Condensed Consolidated Balance Sheets (XBRL R4.htm), as of June 30, 2023: Accounts payable = 1,041. https://www.sec.gov/Archives/edgar/data/1770450/000177045023000042/xrx-20230630.htm</t>
      </text>
    </comment>
    <comment ref="P37" authorId="0" shapeId="0">
      <text>
        <t>Form 10-Q (period ended 2023-09-30; acc. 0001770450-23-000050, xrx-20230930.htm), Xerox Holdings Condensed Consolidated Balance Sheets (XBRL R4.htm), as of September 30, 2023: Accounts payable = 1,031. https://www.sec.gov/Archives/edgar/data/1770450/000177045023000050/xrx-20230930.htm</t>
      </text>
    </comment>
    <comment ref="Q37" authorId="0" shapeId="0">
      <text>
        <t>Form 10-K (period ended 2023-12-31; acc. 0001770450-24-000012, xrx-20231231.htm), Xerox Holdings Condensed Consolidated Balance Sheets (XBRL R5.htm), as of December 31, 2023: Accounts payable = 1,044. https://www.sec.gov/Archives/edgar/data/1770450/000177045024000012/xrx-20231231.htm</t>
      </text>
    </comment>
    <comment ref="R37" authorId="0" shapeId="0">
      <text>
        <t>Form 10-Q (period ended 2024-03-31; acc. 0001770450-24-000031, xrx-20240331.htm), Xerox Holdings Condensed Consolidated Balance Sheets (XBRL R4.htm), as of March 31, 2024: Accounts payable = 1,046. https://www.sec.gov/Archives/edgar/data/1770450/000177045024000031/xrx-20240331.htm</t>
      </text>
    </comment>
    <comment ref="S37" authorId="0" shapeId="0">
      <text>
        <t>Form 10-Q (period ended 2024-06-30; acc. 0001770450-24-000042, xrx-20240630.htm), Xerox Holdings Condensed Consolidated Balance Sheets (XBRL R4.htm), as of June 30, 2024: Accounts payable = 936. https://www.sec.gov/Archives/edgar/data/1770450/000177045024000042/xrx-20240630.htm</t>
      </text>
    </comment>
    <comment ref="T37" authorId="0" shapeId="0">
      <text>
        <t>Form 10-Q (period ended 2024-09-30; acc. 0001770450-24-000050, xrx-20240930.htm), Xerox Holdings Condensed Consolidated Balance Sheets (XBRL R4.htm), as of September 30, 2024: Accounts payable = 895. https://www.sec.gov/Archives/edgar/data/1770450/000177045024000050/xrx-20240930.htm</t>
      </text>
    </comment>
    <comment ref="U37" authorId="0" shapeId="0">
      <text>
        <t>Form 10-K (period ended 2024-12-31; acc. 0001770450-25-000010, xrx-20241231.htm), Xerox Holdings Condensed Consolidated Balance Sheets (XBRL R5.htm), as of December 31, 2024: Accounts payable = 1,023. https://www.sec.gov/Archives/edgar/data/1770450/000177045025000010/xrx-20241231.htm</t>
      </text>
    </comment>
    <comment ref="V37" authorId="0" shapeId="0">
      <text>
        <t>Form 10-Q (period ended 2025-03-31; acc. 0001770450-25-000026, xrx-20250331.htm), Xerox Holdings Condensed Consolidated Balance Sheets (XBRL R4.htm), as of March 31, 2025: Accounts payable = 1,120. https://www.sec.gov/Archives/edgar/data/1770450/000177045025000026/xrx-20250331.htm</t>
      </text>
    </comment>
    <comment ref="W37" authorId="0" shapeId="0">
      <text>
        <t>Form 10-Q (period ended 2025-06-30; acc. 0001628280-25-038980, xrx-20250630.htm), Xerox Holdings Condensed Consolidated Balance Sheets (XBRL R4.htm), as of June 30, 2025: Accounts payable = 1,080. https://www.sec.gov/Archives/edgar/data/1770450/000162828025038980/xrx-20250630.htm</t>
      </text>
    </comment>
    <comment ref="X37" authorId="0" shapeId="0">
      <text>
        <t>Form 10-Q (period ended 2025-09-30; acc. 0001770450-25-000037, xrx-20250930.htm), Xerox Holdings Condensed Consolidated Balance Sheets (XBRL R4.htm), as of September 30, 2025: Accounts payable = 1,481. https://www.sec.gov/Archives/edgar/data/1770450/000177045025000037/xrx-20250930.htm</t>
      </text>
    </comment>
    <comment ref="Y37" authorId="0" shapeId="0">
      <text>
        <t>Form 10-K (period ended 2025-12-31; acc. 0001770450-26-000009, xrx-20251231.htm), Xerox Holdings Condensed Consolidated Balance Sheets (XBRL R5.htm), as of December 31, 2025: Accounts payable = 1,498. https://www.sec.gov/Archives/edgar/data/1770450/000177045026000009/xrx-20251231.htm</t>
      </text>
    </comment>
    <comment ref="Z37" authorId="0" shapeId="0">
      <text>
        <t>Form 10-Q (period ended 2026-03-31; acc. 0001770450-26-000030, xrx-20260331.htm), Xerox Holdings Condensed Consolidated Balance Sheets (XBRL R4.htm), as of March 31, 2026: Accounts payable = 1,548. https://www.sec.gov/Archives/edgar/data/1770450/000177045026000030/xrx-20260331.htm</t>
      </text>
    </comment>
    <comment ref="AA37" authorId="0" shapeId="0">
      <text>
        <t>Form 10-Q (period ended 2026-06-30; acc. 0001770450-26-000040, xrx-20260630.htm), Xerox Holdings Condensed Consolidated Balance Sheets (XBRL R4.htm), as of June 30, 2026: Accounts payable = 1,456. https://www.sec.gov/Archives/edgar/data/1770450/000177045026000040/xrx-20260630.htm</t>
      </text>
    </comment>
    <comment ref="F38" authorId="0" shapeId="0">
      <text>
        <t>Form 10-Q (period ended 2021-03-31; acc. 0001770450-21-000025, xrx-20210331.htm), Xerox Holdings Condensed Consolidated Balance Sheets (XBRL R4.htm), as of March 31, 2021: Accrued compensation and benefits costs = 241. https://www.sec.gov/Archives/edgar/data/1770450/000177045021000025/xrx-20210331.htm</t>
      </text>
    </comment>
    <comment ref="G38" authorId="0" shapeId="0">
      <text>
        <t>Form 10-Q (period ended 2021-06-30; acc. 0001770450-21-000036, xrx-20210630.htm), Xerox Holdings Condensed Consolidated Balance Sheets (XBRL R4.htm), as of June 30, 2021: Accrued compensation and benefits costs = 263. https://www.sec.gov/Archives/edgar/data/1770450/000177045021000036/xrx-20210630.htm</t>
      </text>
    </comment>
    <comment ref="H38" authorId="0" shapeId="0">
      <text>
        <t>Form 10-Q (period ended 2021-09-30; acc. 0001770450-21-000050, xrx-20210930.htm), Xerox Holdings Condensed Consolidated Balance Sheets (XBRL R4.htm), as of September 30, 2021: Accrued compensation and benefits costs = 262. https://www.sec.gov/Archives/edgar/data/1770450/000177045021000050/xrx-20210930.htm</t>
      </text>
    </comment>
    <comment ref="I38" authorId="0" shapeId="0">
      <text>
        <t>Form 10-K (period ended 2021-12-31; acc. 0001770450-22-000010, xrx-20211231.htm), Xerox Holdings Condensed Consolidated Balance Sheets (XBRL R5.htm), as of December 31, 2021: Accrued compensation and benefits costs = 239. https://www.sec.gov/Archives/edgar/data/1770450/000177045022000010/xrx-20211231.htm</t>
      </text>
    </comment>
    <comment ref="J38" authorId="0" shapeId="0">
      <text>
        <t>Form 10-Q (period ended 2022-03-31; acc. 0001770450-22-000020, xrx-20220331.htm), Xerox Holdings Condensed Consolidated Balance Sheets (XBRL R4.htm), as of March 31, 2022: Accrued compensation and benefits costs = 258. https://www.sec.gov/Archives/edgar/data/1770450/000177045022000020/xrx-20220331.htm</t>
      </text>
    </comment>
    <comment ref="K38" authorId="0" shapeId="0">
      <text>
        <t>Form 10-Q (period ended 2022-06-30; acc. 0001770450-22-000030, xrx-20220630.htm), Xerox Holdings Condensed Consolidated Balance Sheets (XBRL R4.htm), as of June 30, 2022: Accrued compensation and benefits costs = 233. https://www.sec.gov/Archives/edgar/data/1770450/000177045022000030/xrx-20220630.htm</t>
      </text>
    </comment>
    <comment ref="L38" authorId="0" shapeId="0">
      <text>
        <t>Form 10-Q (period ended 2022-09-30; acc. 0001770450-22-000041, xrx-20220930.htm), Xerox Holdings Condensed Consolidated Balance Sheets (XBRL R4.htm), as of September 30, 2022: Accrued compensation and benefits costs = 250. https://www.sec.gov/Archives/edgar/data/1770450/000177045022000041/xrx-20220930.htm</t>
      </text>
    </comment>
    <comment ref="M38" authorId="0" shapeId="0">
      <text>
        <t>Form 10-K (period ended 2022-12-31; acc. 0001770450-23-000011, xrx-20221231.htm), Xerox Holdings Condensed Consolidated Balance Sheets (XBRL R5.htm), as of December 31, 2022: Accrued compensation and benefits costs = 258. https://www.sec.gov/Archives/edgar/data/1770450/000177045023000011/xrx-20221231.htm</t>
      </text>
    </comment>
    <comment ref="N38" authorId="0" shapeId="0">
      <text>
        <t>Form 10-Q (period ended 2023-03-31; acc. 0001770450-23-000032, xrx-20230331.htm), Xerox Holdings Condensed Consolidated Balance Sheets (XBRL R4.htm), as of March 31, 2023: Accrued compensation and benefits costs = 243. https://www.sec.gov/Archives/edgar/data/1770450/000177045023000032/xrx-20230331.htm</t>
      </text>
    </comment>
    <comment ref="O38" authorId="0" shapeId="0">
      <text>
        <t>Form 10-Q (period ended 2023-06-30; acc. 0001770450-23-000042, xrx-20230630.htm), Xerox Holdings Condensed Consolidated Balance Sheets (XBRL R4.htm), as of June 30, 2023: Accrued compensation and benefits costs = 251. https://www.sec.gov/Archives/edgar/data/1770450/000177045023000042/xrx-20230630.htm</t>
      </text>
    </comment>
    <comment ref="P38" authorId="0" shapeId="0">
      <text>
        <t>Form 10-Q (period ended 2023-09-30; acc. 0001770450-23-000050, xrx-20230930.htm), Xerox Holdings Condensed Consolidated Balance Sheets (XBRL R4.htm), as of September 30, 2023: Accrued compensation and benefits costs = 276. https://www.sec.gov/Archives/edgar/data/1770450/000177045023000050/xrx-20230930.htm</t>
      </text>
    </comment>
    <comment ref="Q38" authorId="0" shapeId="0">
      <text>
        <t>Form 10-K (period ended 2023-12-31; acc. 0001770450-24-000012, xrx-20231231.htm), Xerox Holdings Condensed Consolidated Balance Sheets (XBRL R5.htm), as of December 31, 2023: Accrued compensation and benefits costs = 306. https://www.sec.gov/Archives/edgar/data/1770450/000177045024000012/xrx-20231231.htm</t>
      </text>
    </comment>
    <comment ref="R38" authorId="0" shapeId="0">
      <text>
        <t>Form 10-Q (period ended 2024-03-31; acc. 0001770450-24-000031, xrx-20240331.htm), Xerox Holdings Condensed Consolidated Balance Sheets (XBRL R4.htm), as of March 31, 2024: Accrued compensation and benefits costs = 213. https://www.sec.gov/Archives/edgar/data/1770450/000177045024000031/xrx-20240331.htm</t>
      </text>
    </comment>
    <comment ref="S38" authorId="0" shapeId="0">
      <text>
        <t>Form 10-Q (period ended 2024-06-30; acc. 0001770450-24-000042, xrx-20240630.htm), Xerox Holdings Condensed Consolidated Balance Sheets (XBRL R4.htm), as of June 30, 2024: Accrued compensation and benefits costs = 205. https://www.sec.gov/Archives/edgar/data/1770450/000177045024000042/xrx-20240630.htm</t>
      </text>
    </comment>
    <comment ref="T38" authorId="0" shapeId="0">
      <text>
        <t>Form 10-Q (period ended 2024-09-30; acc. 0001770450-24-000050, xrx-20240930.htm), Xerox Holdings Condensed Consolidated Balance Sheets (XBRL R4.htm), as of September 30, 2024: Accrued compensation and benefits costs = 227. https://www.sec.gov/Archives/edgar/data/1770450/000177045024000050/xrx-20240930.htm</t>
      </text>
    </comment>
    <comment ref="U38" authorId="0" shapeId="0">
      <text>
        <t>Form 10-K (period ended 2024-12-31; acc. 0001770450-25-000010, xrx-20241231.htm), Xerox Holdings Condensed Consolidated Balance Sheets (XBRL R5.htm), as of December 31, 2024: Accrued compensation and benefits costs = 227. https://www.sec.gov/Archives/edgar/data/1770450/000177045025000010/xrx-20241231.htm</t>
      </text>
    </comment>
    <comment ref="V38" authorId="0" shapeId="0">
      <text>
        <t>Form 10-Q (period ended 2025-03-31; acc. 0001770450-25-000026, xrx-20250331.htm), Xerox Holdings Condensed Consolidated Balance Sheets (XBRL R4.htm), as of March 31, 2025: Accrued compensation and benefits costs = 199. https://www.sec.gov/Archives/edgar/data/1770450/000177045025000026/xrx-20250331.htm</t>
      </text>
    </comment>
    <comment ref="W38" authorId="0" shapeId="0">
      <text>
        <t>Form 10-Q (period ended 2025-06-30; acc. 0001628280-25-038980, xrx-20250630.htm), Xerox Holdings Condensed Consolidated Balance Sheets (XBRL R4.htm), as of June 30, 2025: Accrued compensation and benefits costs = 182. https://www.sec.gov/Archives/edgar/data/1770450/000162828025038980/xrx-20250630.htm</t>
      </text>
    </comment>
    <comment ref="X38" authorId="0" shapeId="0">
      <text>
        <t>Form 10-Q (period ended 2025-09-30; acc. 0001770450-25-000037, xrx-20250930.htm), Xerox Holdings Condensed Consolidated Balance Sheets (XBRL R4.htm), as of September 30, 2025: Accrued compensation and benefits costs = 247. https://www.sec.gov/Archives/edgar/data/1770450/000177045025000037/xrx-20250930.htm</t>
      </text>
    </comment>
    <comment ref="Y38" authorId="0" shapeId="0">
      <text>
        <t>Form 10-K (period ended 2025-12-31; acc. 0001770450-26-000009, xrx-20251231.htm), Xerox Holdings Condensed Consolidated Balance Sheets (XBRL R5.htm), as of December 31, 2025: Accrued compensation and benefits costs = 235. https://www.sec.gov/Archives/edgar/data/1770450/000177045026000009/xrx-20251231.htm</t>
      </text>
    </comment>
    <comment ref="Z38" authorId="0" shapeId="0">
      <text>
        <t>Form 10-Q (period ended 2026-03-31; acc. 0001770450-26-000030, xrx-20260331.htm), Xerox Holdings Condensed Consolidated Balance Sheets (XBRL R4.htm), as of March 31, 2026: Accrued compensation and benefits costs = 223. https://www.sec.gov/Archives/edgar/data/1770450/000177045026000030/xrx-20260331.htm</t>
      </text>
    </comment>
    <comment ref="AA38" authorId="0" shapeId="0">
      <text>
        <t>Form 10-Q (period ended 2026-06-30; acc. 0001770450-26-000040, xrx-20260630.htm), Xerox Holdings Condensed Consolidated Balance Sheets (XBRL R4.htm), as of June 30, 2026: Accrued compensation and benefits costs = 246. https://www.sec.gov/Archives/edgar/data/1770450/000177045026000040/xrx-20260630.htm</t>
      </text>
    </comment>
    <comment ref="F39" authorId="0" shapeId="0">
      <text>
        <t>Form 10-Q (period ended 2021-03-31; acc. 0001770450-21-000025, xrx-20210331.htm), Xerox Holdings Condensed Consolidated Balance Sheets (XBRL R4.htm), as of March 31, 2021: Accrued expenses and other current liabilities = 794. https://www.sec.gov/Archives/edgar/data/1770450/000177045021000025/xrx-20210331.htm</t>
      </text>
    </comment>
    <comment ref="G39" authorId="0" shapeId="0">
      <text>
        <t>Form 10-Q (period ended 2021-06-30; acc. 0001770450-21-000036, xrx-20210630.htm), Xerox Holdings Condensed Consolidated Balance Sheets (XBRL R4.htm), as of June 30, 2021: Accrued expenses and other current liabilities = 851. https://www.sec.gov/Archives/edgar/data/1770450/000177045021000036/xrx-20210630.htm</t>
      </text>
    </comment>
    <comment ref="H39" authorId="0" shapeId="0">
      <text>
        <t>Form 10-Q (period ended 2021-09-30; acc. 0001770450-21-000050, xrx-20210930.htm), Xerox Holdings Condensed Consolidated Balance Sheets (XBRL R4.htm), as of September 30, 2021: Accrued expenses and other current liabilities = 844. https://www.sec.gov/Archives/edgar/data/1770450/000177045021000050/xrx-20210930.htm</t>
      </text>
    </comment>
    <comment ref="I39" authorId="0" shapeId="0">
      <text>
        <t>Form 10-K (period ended 2021-12-31; acc. 0001770450-22-000010, xrx-20211231.htm), Xerox Holdings Condensed Consolidated Balance Sheets (XBRL R5.htm), as of December 31, 2021: Accrued expenses and other current liabilities = 871. https://www.sec.gov/Archives/edgar/data/1770450/000177045022000010/xrx-20211231.htm</t>
      </text>
    </comment>
    <comment ref="J39" authorId="0" shapeId="0">
      <text>
        <t>Form 10-Q (period ended 2022-03-31; acc. 0001770450-22-000020, xrx-20220331.htm), Xerox Holdings Condensed Consolidated Balance Sheets (XBRL R4.htm), as of March 31, 2022: Accrued expenses and other current liabilities = 878. https://www.sec.gov/Archives/edgar/data/1770450/000177045022000020/xrx-20220331.htm</t>
      </text>
    </comment>
    <comment ref="K39" authorId="0" shapeId="0">
      <text>
        <t>Form 10-Q (period ended 2022-06-30; acc. 0001770450-22-000030, xrx-20220630.htm), Xerox Holdings Condensed Consolidated Balance Sheets (XBRL R4.htm), as of June 30, 2022: Accrued expenses and other current liabilities = 867. https://www.sec.gov/Archives/edgar/data/1770450/000177045022000030/xrx-20220630.htm</t>
      </text>
    </comment>
    <comment ref="L39" authorId="0" shapeId="0">
      <text>
        <t>Form 10-Q (period ended 2022-09-30; acc. 0001770450-22-000041, xrx-20220930.htm), Xerox Holdings Condensed Consolidated Balance Sheets (XBRL R4.htm), as of September 30, 2022: Accrued expenses and other current liabilities = 810. https://www.sec.gov/Archives/edgar/data/1770450/000177045022000041/xrx-20220930.htm</t>
      </text>
    </comment>
    <comment ref="M39" authorId="0" shapeId="0">
      <text>
        <t>Form 10-K (period ended 2022-12-31; acc. 0001770450-23-000011, xrx-20221231.htm), Xerox Holdings Condensed Consolidated Balance Sheets (XBRL R5.htm), as of December 31, 2022: Accrued expenses and other current liabilities = 881. https://www.sec.gov/Archives/edgar/data/1770450/000177045023000011/xrx-20221231.htm</t>
      </text>
    </comment>
    <comment ref="N39" authorId="0" shapeId="0">
      <text>
        <t>Form 10-Q (period ended 2023-03-31; acc. 0001770450-23-000032, xrx-20230331.htm), Xerox Holdings Condensed Consolidated Balance Sheets (XBRL R4.htm), as of March 31, 2023: Accrued expenses and other current liabilities = 782. https://www.sec.gov/Archives/edgar/data/1770450/000177045023000032/xrx-20230331.htm</t>
      </text>
    </comment>
    <comment ref="O39" authorId="0" shapeId="0">
      <text>
        <t>Form 10-Q (period ended 2023-06-30; acc. 0001770450-23-000042, xrx-20230630.htm), Xerox Holdings Condensed Consolidated Balance Sheets (XBRL R4.htm), as of June 30, 2023: Accrued expenses and other current liabilities = 766. https://www.sec.gov/Archives/edgar/data/1770450/000177045023000042/xrx-20230630.htm</t>
      </text>
    </comment>
    <comment ref="P39" authorId="0" shapeId="0">
      <text>
        <t>Form 10-Q (period ended 2023-09-30; acc. 0001770450-23-000050, xrx-20230930.htm), Xerox Holdings Condensed Consolidated Balance Sheets (XBRL R4.htm), as of September 30, 2023: Accrued expenses and other current liabilities = 829. https://www.sec.gov/Archives/edgar/data/1770450/000177045023000050/xrx-20230930.htm</t>
      </text>
    </comment>
    <comment ref="Q39" authorId="0" shapeId="0">
      <text>
        <t>Form 10-K (period ended 2023-12-31; acc. 0001770450-24-000012, xrx-20231231.htm), Xerox Holdings Condensed Consolidated Balance Sheets (XBRL R5.htm), as of December 31, 2023: Accrued expenses and other current liabilities = 862. https://www.sec.gov/Archives/edgar/data/1770450/000177045024000012/xrx-20231231.htm</t>
      </text>
    </comment>
    <comment ref="R39" authorId="0" shapeId="0">
      <text>
        <t>Form 10-Q (period ended 2024-03-31; acc. 0001770450-24-000031, xrx-20240331.htm), Xerox Holdings Condensed Consolidated Balance Sheets (XBRL R4.htm), as of March 31, 2024: Accrued expenses and other current liabilities = 774. https://www.sec.gov/Archives/edgar/data/1770450/000177045024000031/xrx-20240331.htm</t>
      </text>
    </comment>
    <comment ref="S39" authorId="0" shapeId="0">
      <text>
        <t>Form 10-Q (period ended 2024-06-30; acc. 0001770450-24-000042, xrx-20240630.htm), Xerox Holdings Condensed Consolidated Balance Sheets (XBRL R4.htm), as of June 30, 2024: Accrued expenses and other current liabilities = 776. https://www.sec.gov/Archives/edgar/data/1770450/000177045024000042/xrx-20240630.htm</t>
      </text>
    </comment>
    <comment ref="T39" authorId="0" shapeId="0">
      <text>
        <t>Form 10-Q (period ended 2024-09-30; acc. 0001770450-24-000050, xrx-20240930.htm), Xerox Holdings Condensed Consolidated Balance Sheets (XBRL R4.htm), as of September 30, 2024: Accrued expenses and other current liabilities = 752. https://www.sec.gov/Archives/edgar/data/1770450/000177045024000050/xrx-20240930.htm</t>
      </text>
    </comment>
    <comment ref="U39" authorId="0" shapeId="0">
      <text>
        <t>Form 10-K (period ended 2024-12-31; acc. 0001770450-25-000010, xrx-20241231.htm), Xerox Holdings Condensed Consolidated Balance Sheets (XBRL R5.htm), as of December 31, 2024: Accrued expenses and other current liabilities = 784. https://www.sec.gov/Archives/edgar/data/1770450/000177045025000010/xrx-20241231.htm</t>
      </text>
    </comment>
    <comment ref="V39" authorId="0" shapeId="0">
      <text>
        <t>Form 10-Q (period ended 2025-03-31; acc. 0001770450-25-000026, xrx-20250331.htm), Xerox Holdings Condensed Consolidated Balance Sheets (XBRL R4.htm), as of March 31, 2025: Accrued expenses and other current liabilities = 721. https://www.sec.gov/Archives/edgar/data/1770450/000177045025000026/xrx-20250331.htm</t>
      </text>
    </comment>
    <comment ref="W39" authorId="0" shapeId="0">
      <text>
        <t>Form 10-Q (period ended 2025-06-30; acc. 0001628280-25-038980, xrx-20250630.htm), Xerox Holdings Condensed Consolidated Balance Sheets (XBRL R4.htm), as of June 30, 2025: Accrued expenses and other current liabilities = 706. https://www.sec.gov/Archives/edgar/data/1770450/000162828025038980/xrx-20250630.htm</t>
      </text>
    </comment>
    <comment ref="X39" authorId="0" shapeId="0">
      <text>
        <t>Form 10-Q (period ended 2025-09-30; acc. 0001770450-25-000037, xrx-20250930.htm), Xerox Holdings Condensed Consolidated Balance Sheets (XBRL R4.htm), as of September 30, 2025: Accrued expenses and other current liabilities = 1,317. https://www.sec.gov/Archives/edgar/data/1770450/000177045025000037/xrx-20250930.htm</t>
      </text>
    </comment>
    <comment ref="Y39" authorId="0" shapeId="0">
      <text>
        <t>Form 10-K (period ended 2025-12-31; acc. 0001770450-26-000009, xrx-20251231.htm), Xerox Holdings Condensed Consolidated Balance Sheets (XBRL R5.htm), as of December 31, 2025: Accrued expenses and other current liabilities = 1,258. https://www.sec.gov/Archives/edgar/data/1770450/000177045026000009/xrx-20251231.htm</t>
      </text>
    </comment>
    <comment ref="Z39" authorId="0" shapeId="0">
      <text>
        <t>Form 10-Q (period ended 2026-03-31; acc. 0001770450-26-000030, xrx-20260331.htm), Xerox Holdings Condensed Consolidated Balance Sheets (XBRL R4.htm), as of March 31, 2026: Accrued expenses and other current liabilities = 1,266. https://www.sec.gov/Archives/edgar/data/1770450/000177045026000030/xrx-20260331.htm</t>
      </text>
    </comment>
    <comment ref="AA39" authorId="0" shapeId="0">
      <text>
        <t>Form 10-Q (period ended 2026-06-30; acc. 0001770450-26-000040, xrx-20260630.htm), Xerox Holdings Condensed Consolidated Balance Sheets (XBRL R4.htm), as of June 30, 2026: Accrued expenses and other current liabilities = 1,264. https://www.sec.gov/Archives/edgar/data/1770450/000177045026000040/xrx-20260630.htm</t>
      </text>
    </comment>
    <comment ref="F41" authorId="0" shapeId="0">
      <text>
        <t>Reported subtotal. Form 10-Q (period ended 2021-03-31; acc. 0001770450-21-000025, xrx-20210331.htm), Xerox Holdings Condensed Consolidated Balance Sheets (XBRL R4.htm), as of March 31, 2021: Total current liabilities = 2,645. https://www.sec.gov/Archives/edgar/data/1770450/000177045021000025/xrx-20210331.htm</t>
      </text>
    </comment>
    <comment ref="G41" authorId="0" shapeId="0">
      <text>
        <t>Reported subtotal. Form 10-Q (period ended 2021-06-30; acc. 0001770450-21-000036, xrx-20210630.htm), Xerox Holdings Condensed Consolidated Balance Sheets (XBRL R4.htm), as of June 30, 2021: Total current liabilities = 2,691. https://www.sec.gov/Archives/edgar/data/1770450/000177045021000036/xrx-20210630.htm</t>
      </text>
    </comment>
    <comment ref="H41" authorId="0" shapeId="0">
      <text>
        <t>Reported subtotal. Form 10-Q (period ended 2021-09-30; acc. 0001770450-21-000050, xrx-20210930.htm), Xerox Holdings Condensed Consolidated Balance Sheets (XBRL R4.htm), as of September 30, 2021: Total current liabilities = 2,784. https://www.sec.gov/Archives/edgar/data/1770450/000177045021000050/xrx-20210930.htm</t>
      </text>
    </comment>
    <comment ref="I41" authorId="0" shapeId="0">
      <text>
        <t>Reported subtotal. Form 10-K (period ended 2021-12-31; acc. 0001770450-22-000010, xrx-20211231.htm), Xerox Holdings Condensed Consolidated Balance Sheets (XBRL R5.htm), as of December 31, 2021: Total current liabilities = 2,829. https://www.sec.gov/Archives/edgar/data/1770450/000177045022000010/xrx-20211231.htm</t>
      </text>
    </comment>
    <comment ref="J41" authorId="0" shapeId="0">
      <text>
        <t>Reported subtotal. Form 10-Q (period ended 2022-03-31; acc. 0001770450-22-000020, xrx-20220331.htm), Xerox Holdings Condensed Consolidated Balance Sheets (XBRL R4.htm), as of March 31, 2022: Total current liabilities = 3,769. https://www.sec.gov/Archives/edgar/data/1770450/000177045022000020/xrx-20220331.htm</t>
      </text>
    </comment>
    <comment ref="K41" authorId="0" shapeId="0">
      <text>
        <t>Reported subtotal. Form 10-Q (period ended 2022-06-30; acc. 0001770450-22-000030, xrx-20220630.htm), Xerox Holdings Condensed Consolidated Balance Sheets (XBRL R4.htm), as of June 30, 2022: Total current liabilities = 3,415. https://www.sec.gov/Archives/edgar/data/1770450/000177045022000030/xrx-20220630.htm</t>
      </text>
    </comment>
    <comment ref="L41" authorId="0" shapeId="0">
      <text>
        <t>Reported subtotal. Form 10-Q (period ended 2022-09-30; acc. 0001770450-22-000041, xrx-20220930.htm), Xerox Holdings Condensed Consolidated Balance Sheets (XBRL R4.htm), as of September 30, 2022: Total current liabilities = 3,343. https://www.sec.gov/Archives/edgar/data/1770450/000177045022000041/xrx-20220930.htm</t>
      </text>
    </comment>
    <comment ref="M41" authorId="0" shapeId="0">
      <text>
        <t>Reported subtotal. Form 10-K (period ended 2022-12-31; acc. 0001770450-23-000011, xrx-20221231.htm), Xerox Holdings Condensed Consolidated Balance Sheets (XBRL R5.htm), as of December 31, 2022: Total current liabilities = 3,330. https://www.sec.gov/Archives/edgar/data/1770450/000177045023000011/xrx-20221231.htm</t>
      </text>
    </comment>
    <comment ref="N41" authorId="0" shapeId="0">
      <text>
        <t>Reported subtotal. Form 10-Q (period ended 2023-03-31; acc. 0001770450-23-000032, xrx-20230331.htm), Xerox Holdings Condensed Consolidated Balance Sheets (XBRL R4.htm), as of March 31, 2023: Total current liabilities = 2,879. https://www.sec.gov/Archives/edgar/data/1770450/000177045023000032/xrx-20230331.htm</t>
      </text>
    </comment>
    <comment ref="O41" authorId="0" shapeId="0">
      <text>
        <t>Reported subtotal. Form 10-Q (period ended 2023-06-30; acc. 0001770450-23-000042, xrx-20230630.htm), Xerox Holdings Condensed Consolidated Balance Sheets (XBRL R4.htm), as of June 30, 2023: Total current liabilities = 2,949. https://www.sec.gov/Archives/edgar/data/1770450/000177045023000042/xrx-20230630.htm</t>
      </text>
    </comment>
    <comment ref="P41" authorId="0" shapeId="0">
      <text>
        <t>Reported subtotal. Form 10-Q (period ended 2023-09-30; acc. 0001770450-23-000050, xrx-20230930.htm), Xerox Holdings Condensed Consolidated Balance Sheets (XBRL R4.htm), as of September 30, 2023: Total current liabilities = 3,006. https://www.sec.gov/Archives/edgar/data/1770450/000177045023000050/xrx-20230930.htm</t>
      </text>
    </comment>
    <comment ref="Q41" authorId="0" shapeId="0">
      <text>
        <t>Reported subtotal. Form 10-K (period ended 2023-12-31; acc. 0001770450-24-000012, xrx-20231231.htm), Xerox Holdings Condensed Consolidated Balance Sheets (XBRL R5.htm), as of December 31, 2023: Total current liabilities = 2,779. https://www.sec.gov/Archives/edgar/data/1770450/000177045024000012/xrx-20231231.htm</t>
      </text>
    </comment>
    <comment ref="R41" authorId="0" shapeId="0">
      <text>
        <t>Reported subtotal. Form 10-Q (period ended 2024-03-31; acc. 0001770450-24-000031, xrx-20240331.htm), Xerox Holdings Condensed Consolidated Balance Sheets (XBRL R4.htm), as of March 31, 2024: Total current liabilities = 2,438. https://www.sec.gov/Archives/edgar/data/1770450/000177045024000031/xrx-20240331.htm</t>
      </text>
    </comment>
    <comment ref="S41" authorId="0" shapeId="0">
      <text>
        <t>Reported subtotal. Form 10-Q (period ended 2024-06-30; acc. 0001770450-24-000042, xrx-20240630.htm), Xerox Holdings Condensed Consolidated Balance Sheets (XBRL R4.htm), as of June 30, 2024: Total current liabilities = 2,046. https://www.sec.gov/Archives/edgar/data/1770450/000177045024000042/xrx-20240630.htm</t>
      </text>
    </comment>
    <comment ref="T41" authorId="0" shapeId="0">
      <text>
        <t>Reported subtotal. Form 10-Q (period ended 2024-09-30; acc. 0001770450-24-000050, xrx-20240930.htm), Xerox Holdings Condensed Consolidated Balance Sheets (XBRL R4.htm), as of September 30, 2024: Total current liabilities = 2,393. https://www.sec.gov/Archives/edgar/data/1770450/000177045024000050/xrx-20240930.htm</t>
      </text>
    </comment>
    <comment ref="U41" authorId="0" shapeId="0">
      <text>
        <t>Reported subtotal. Form 10-K (period ended 2024-12-31; acc. 0001770450-25-000010, xrx-20241231.htm), Xerox Holdings Condensed Consolidated Balance Sheets (XBRL R5.htm), as of December 31, 2024: Total current liabilities = 2,619. https://www.sec.gov/Archives/edgar/data/1770450/000177045025000010/xrx-20241231.htm</t>
      </text>
    </comment>
    <comment ref="V41" authorId="0" shapeId="0">
      <text>
        <t>Reported subtotal. Form 10-Q (period ended 2025-03-31; acc. 0001770450-25-000026, xrx-20250331.htm), Xerox Holdings Condensed Consolidated Balance Sheets (XBRL R4.htm), as of March 31, 2025: Total current liabilities = 2,639. https://www.sec.gov/Archives/edgar/data/1770450/000177045025000026/xrx-20250331.htm</t>
      </text>
    </comment>
    <comment ref="W41" authorId="0" shapeId="0">
      <text>
        <t>Reported subtotal. Form 10-Q (period ended 2025-06-30; acc. 0001628280-25-038980, xrx-20250630.htm), Xerox Holdings Condensed Consolidated Balance Sheets (XBRL R4.htm), as of June 30, 2025: Total current liabilities = 2,426. https://www.sec.gov/Archives/edgar/data/1770450/000162828025038980/xrx-20250630.htm</t>
      </text>
    </comment>
    <comment ref="X41" authorId="0" shapeId="0">
      <text>
        <t>Reported subtotal. Form 10-Q (period ended 2025-09-30; acc. 0001770450-25-000037, xrx-20250930.htm), Xerox Holdings Condensed Consolidated Balance Sheets (XBRL R4.htm), as of September 30, 2025: Total current liabilities = 3,399. https://www.sec.gov/Archives/edgar/data/1770450/000177045025000037/xrx-20250930.htm</t>
      </text>
    </comment>
    <comment ref="Y41" authorId="0" shapeId="0">
      <text>
        <t>Reported subtotal. Form 10-K (period ended 2025-12-31; acc. 0001770450-26-000009, xrx-20251231.htm), Xerox Holdings Condensed Consolidated Balance Sheets (XBRL R5.htm), as of December 31, 2025: Total current liabilities = 3,222. https://www.sec.gov/Archives/edgar/data/1770450/000177045026000009/xrx-20251231.htm</t>
      </text>
    </comment>
    <comment ref="Z41" authorId="0" shapeId="0">
      <text>
        <t>Reported subtotal. Form 10-Q (period ended 2026-03-31; acc. 0001770450-26-000030, xrx-20260331.htm), Xerox Holdings Condensed Consolidated Balance Sheets (XBRL R4.htm), as of March 31, 2026: Total current liabilities = 3,202. https://www.sec.gov/Archives/edgar/data/1770450/000177045026000030/xrx-20260331.htm</t>
      </text>
    </comment>
    <comment ref="AA41" authorId="0" shapeId="0">
      <text>
        <t>Reported subtotal. Form 10-Q (period ended 2026-06-30; acc. 0001770450-26-000040, xrx-20260630.htm), Xerox Holdings Condensed Consolidated Balance Sheets (XBRL R4.htm), as of June 30, 2026: Total current liabilities = 3,126. https://www.sec.gov/Archives/edgar/data/1770450/000177045026000040/xrx-20260630.htm</t>
      </text>
    </comment>
    <comment ref="F43" authorId="0" shapeId="0">
      <text>
        <t>Form 10-Q (period ended 2021-03-31; acc. 0001770450-21-000025, xrx-20210331.htm), Xerox Holdings Condensed Consolidated Balance Sheets (XBRL R4.htm), as of March 31, 2021: Long-term debt = 3,674. https://www.sec.gov/Archives/edgar/data/1770450/000177045021000025/xrx-20210331.htm</t>
      </text>
    </comment>
    <comment ref="G43" authorId="0" shapeId="0">
      <text>
        <t>Form 10-Q (period ended 2021-06-30; acc. 0001770450-21-000036, xrx-20210630.htm), Xerox Holdings Condensed Consolidated Balance Sheets (XBRL R4.htm), as of June 30, 2021: Long-term debt = 3,597. https://www.sec.gov/Archives/edgar/data/1770450/000177045021000036/xrx-20210630.htm</t>
      </text>
    </comment>
    <comment ref="H43" authorId="0" shapeId="0">
      <text>
        <t>Form 10-Q (period ended 2021-09-30; acc. 0001770450-21-000050, xrx-20210930.htm), Xerox Holdings Condensed Consolidated Balance Sheets (XBRL R4.htm), as of September 30, 2021: Long-term debt = 3,673. https://www.sec.gov/Archives/edgar/data/1770450/000177045021000050/xrx-20210930.htm</t>
      </text>
    </comment>
    <comment ref="I43" authorId="0" shapeId="0">
      <text>
        <t>Form 10-K (period ended 2021-12-31; acc. 0001770450-22-000010, xrx-20211231.htm), Xerox Holdings Condensed Consolidated Balance Sheets (XBRL R5.htm), as of December 31, 2021: Long-term debt = 3,596. https://www.sec.gov/Archives/edgar/data/1770450/000177045022000010/xrx-20211231.htm</t>
      </text>
    </comment>
    <comment ref="J43" authorId="0" shapeId="0">
      <text>
        <t>Form 10-Q (period ended 2022-03-31; acc. 0001770450-22-000020, xrx-20220331.htm), Xerox Holdings Condensed Consolidated Balance Sheets (XBRL R4.htm), as of March 31, 2022: Long-term debt = 2,821. https://www.sec.gov/Archives/edgar/data/1770450/000177045022000020/xrx-20220331.htm</t>
      </text>
    </comment>
    <comment ref="K43" authorId="0" shapeId="0">
      <text>
        <t>Form 10-Q (period ended 2022-06-30; acc. 0001770450-22-000030, xrx-20220630.htm), Xerox Holdings Condensed Consolidated Balance Sheets (XBRL R4.htm), as of June 30, 2022: Long-term debt = 2,764. https://www.sec.gov/Archives/edgar/data/1770450/000177045022000030/xrx-20220630.htm</t>
      </text>
    </comment>
    <comment ref="L43" authorId="0" shapeId="0">
      <text>
        <t>Form 10-Q (period ended 2022-09-30; acc. 0001770450-22-000041, xrx-20220930.htm), Xerox Holdings Condensed Consolidated Balance Sheets (XBRL R4.htm), as of September 30, 2022: Long-term debt = 2,676. https://www.sec.gov/Archives/edgar/data/1770450/000177045022000041/xrx-20220930.htm</t>
      </text>
    </comment>
    <comment ref="M43" authorId="0" shapeId="0">
      <text>
        <t>Form 10-K (period ended 2022-12-31; acc. 0001770450-23-000011, xrx-20221231.htm), Xerox Holdings Condensed Consolidated Balance Sheets (XBRL R5.htm), as of December 31, 2022: Long-term debt = 2,866. https://www.sec.gov/Archives/edgar/data/1770450/000177045023000011/xrx-20221231.htm</t>
      </text>
    </comment>
    <comment ref="N43" authorId="0" shapeId="0">
      <text>
        <t>Form 10-Q (period ended 2023-03-31; acc. 0001770450-23-000032, xrx-20230331.htm), Xerox Holdings Condensed Consolidated Balance Sheets (XBRL R4.htm), as of March 31, 2023: Long-term debt = 2,726. https://www.sec.gov/Archives/edgar/data/1770450/000177045023000032/xrx-20230331.htm</t>
      </text>
    </comment>
    <comment ref="O43" authorId="0" shapeId="0">
      <text>
        <t>Form 10-Q (period ended 2023-06-30; acc. 0001770450-23-000042, xrx-20230630.htm), Xerox Holdings Condensed Consolidated Balance Sheets (XBRL R4.htm), as of June 30, 2023: Long-term debt = 2,225. https://www.sec.gov/Archives/edgar/data/1770450/000177045023000042/xrx-20230630.htm</t>
      </text>
    </comment>
    <comment ref="P43" authorId="0" shapeId="0">
      <text>
        <t>Form 10-Q (period ended 2023-09-30; acc. 0001770450-23-000050, xrx-20230930.htm), Xerox Holdings Condensed Consolidated Balance Sheets (XBRL R4.htm), as of September 30, 2023: Long-term debt = 2,739. https://www.sec.gov/Archives/edgar/data/1770450/000177045023000050/xrx-20230930.htm</t>
      </text>
    </comment>
    <comment ref="Q43" authorId="0" shapeId="0">
      <text>
        <t>Form 10-K (period ended 2023-12-31; acc. 0001770450-24-000012, xrx-20231231.htm), Xerox Holdings Condensed Consolidated Balance Sheets (XBRL R5.htm), as of December 31, 2023: Long-term debt = 2,710. https://www.sec.gov/Archives/edgar/data/1770450/000177045024000012/xrx-20231231.htm</t>
      </text>
    </comment>
    <comment ref="R43" authorId="0" shapeId="0">
      <text>
        <t>Form 10-Q (period ended 2024-03-31; acc. 0001770450-24-000031, xrx-20240331.htm), Xerox Holdings Condensed Consolidated Balance Sheets (XBRL R4.htm), as of March 31, 2024: Long-term debt = 3,199. https://www.sec.gov/Archives/edgar/data/1770450/000177045024000031/xrx-20240331.htm</t>
      </text>
    </comment>
    <comment ref="S43" authorId="0" shapeId="0">
      <text>
        <t>Form 10-Q (period ended 2024-06-30; acc. 0001770450-24-000042, xrx-20240630.htm), Xerox Holdings Condensed Consolidated Balance Sheets (XBRL R4.htm), as of June 30, 2024: Long-term debt = 3,174. https://www.sec.gov/Archives/edgar/data/1770450/000177045024000042/xrx-20240630.htm</t>
      </text>
    </comment>
    <comment ref="T43" authorId="0" shapeId="0">
      <text>
        <t>Form 10-Q (period ended 2024-09-30; acc. 0001770450-24-000050, xrx-20240930.htm), Xerox Holdings Condensed Consolidated Balance Sheets (XBRL R4.htm), as of September 30, 2024: Long-term debt = 2,752. https://www.sec.gov/Archives/edgar/data/1770450/000177045024000050/xrx-20240930.htm</t>
      </text>
    </comment>
    <comment ref="U43" authorId="0" shapeId="0">
      <text>
        <t>Form 10-K (period ended 2024-12-31; acc. 0001770450-25-000010, xrx-20241231.htm), Xerox Holdings Condensed Consolidated Balance Sheets (XBRL R5.htm), as of December 31, 2024: Long-term debt = 2,814. https://www.sec.gov/Archives/edgar/data/1770450/000177045025000010/xrx-20241231.htm</t>
      </text>
    </comment>
    <comment ref="V43" authorId="0" shapeId="0">
      <text>
        <t>Form 10-Q (period ended 2025-03-31; acc. 0001770450-25-000026, xrx-20250331.htm), Xerox Holdings Condensed Consolidated Balance Sheets (XBRL R4.htm), as of March 31, 2025: Long-term debt = 2,699. https://www.sec.gov/Archives/edgar/data/1770450/000177045025000026/xrx-20250331.htm</t>
      </text>
    </comment>
    <comment ref="W43" authorId="0" shapeId="0">
      <text>
        <t>Form 10-Q (period ended 2025-06-30; acc. 0001628280-25-038980, xrx-20250630.htm), Xerox Holdings Condensed Consolidated Balance Sheets (XBRL R4.htm), as of June 30, 2025: Long-term debt = 3,484. https://www.sec.gov/Archives/edgar/data/1770450/000162828025038980/xrx-20250630.htm</t>
      </text>
    </comment>
    <comment ref="X43" authorId="0" shapeId="0">
      <text>
        <t>Form 10-Q (period ended 2025-09-30; acc. 0001770450-25-000037, xrx-20250930.htm), Xerox Holdings Condensed Consolidated Balance Sheets (XBRL R4.htm), as of September 30, 2025: Long-term debt = 4,052. https://www.sec.gov/Archives/edgar/data/1770450/000177045025000037/xrx-20250930.htm</t>
      </text>
    </comment>
    <comment ref="Y43" authorId="0" shapeId="0">
      <text>
        <t>Form 10-K (period ended 2025-12-31; acc. 0001770450-26-000009, xrx-20251231.htm), Xerox Holdings Condensed Consolidated Balance Sheets (XBRL R5.htm), as of December 31, 2025: Long-term debt = 4,016. https://www.sec.gov/Archives/edgar/data/1770450/000177045026000009/xrx-20251231.htm</t>
      </text>
    </comment>
    <comment ref="Z43" authorId="0" shapeId="0">
      <text>
        <t>Form 10-Q (period ended 2026-03-31; acc. 0001770450-26-000030, xrx-20260331.htm), Xerox Holdings Condensed Consolidated Balance Sheets (XBRL R4.htm), as of March 31, 2026: Long-term debt = 4,281. https://www.sec.gov/Archives/edgar/data/1770450/000177045026000030/xrx-20260331.htm</t>
      </text>
    </comment>
    <comment ref="AA43" authorId="0" shapeId="0">
      <text>
        <t>Form 10-Q (period ended 2026-06-30; acc. 0001770450-26-000040, xrx-20260630.htm), Xerox Holdings Condensed Consolidated Balance Sheets (XBRL R4.htm), as of June 30, 2026: Long-term debt = 4,153. https://www.sec.gov/Archives/edgar/data/1770450/000177045026000040/xrx-20260630.htm</t>
      </text>
    </comment>
    <comment ref="F44" authorId="0" shapeId="0">
      <text>
        <t>Form 10-Q (period ended 2021-03-31; acc. 0001770450-21-000025, xrx-20210331.htm), Xerox Holdings Condensed Consolidated Balance Sheets (XBRL R4.htm), as of March 31, 2021: Pension and other benefit liabilities = 1,473. https://www.sec.gov/Archives/edgar/data/1770450/000177045021000025/xrx-20210331.htm</t>
      </text>
    </comment>
    <comment ref="G44" authorId="0" shapeId="0">
      <text>
        <t>Form 10-Q (period ended 2021-06-30; acc. 0001770450-21-000036, xrx-20210630.htm), Xerox Holdings Condensed Consolidated Balance Sheets (XBRL R4.htm), as of June 30, 2021: Pension and other benefit liabilities = 1,436. https://www.sec.gov/Archives/edgar/data/1770450/000177045021000036/xrx-20210630.htm</t>
      </text>
    </comment>
    <comment ref="H44" authorId="0" shapeId="0">
      <text>
        <t>Form 10-Q (period ended 2021-09-30; acc. 0001770450-21-000050, xrx-20210930.htm), Xerox Holdings Condensed Consolidated Balance Sheets (XBRL R4.htm), as of September 30, 2021: Pension and other benefit liabilities = 1,381. https://www.sec.gov/Archives/edgar/data/1770450/000177045021000050/xrx-20210930.htm</t>
      </text>
    </comment>
    <comment ref="I44" authorId="0" shapeId="0">
      <text>
        <t>Form 10-K (period ended 2021-12-31; acc. 0001770450-22-000010, xrx-20211231.htm), Xerox Holdings Condensed Consolidated Balance Sheets (XBRL R5.htm), as of December 31, 2021: Pension and other benefit liabilities = 1,373. https://www.sec.gov/Archives/edgar/data/1770450/000177045022000010/xrx-20211231.htm</t>
      </text>
    </comment>
    <comment ref="J44" authorId="0" shapeId="0">
      <text>
        <t>Form 10-Q (period ended 2022-03-31; acc. 0001770450-22-000020, xrx-20220331.htm), Xerox Holdings Condensed Consolidated Balance Sheets (XBRL R4.htm), as of March 31, 2022: Pension and other benefit liabilities = 1,359. https://www.sec.gov/Archives/edgar/data/1770450/000177045022000020/xrx-20220331.htm</t>
      </text>
    </comment>
    <comment ref="K44" authorId="0" shapeId="0">
      <text>
        <t>Form 10-Q (period ended 2022-06-30; acc. 0001770450-22-000030, xrx-20220630.htm), Xerox Holdings Condensed Consolidated Balance Sheets (XBRL R4.htm), as of June 30, 2022: Pension and other benefit liabilities = 1,310. https://www.sec.gov/Archives/edgar/data/1770450/000177045022000030/xrx-20220630.htm</t>
      </text>
    </comment>
    <comment ref="L44" authorId="0" shapeId="0">
      <text>
        <t>Form 10-Q (period ended 2022-09-30; acc. 0001770450-22-000041, xrx-20220930.htm), Xerox Holdings Condensed Consolidated Balance Sheets (XBRL R4.htm), as of September 30, 2022: Pension and other benefit liabilities = 1,298. https://www.sec.gov/Archives/edgar/data/1770450/000177045022000041/xrx-20220930.htm</t>
      </text>
    </comment>
    <comment ref="M44" authorId="0" shapeId="0">
      <text>
        <t>Form 10-K (period ended 2022-12-31; acc. 0001770450-23-000011, xrx-20221231.htm), Xerox Holdings Condensed Consolidated Balance Sheets (XBRL R5.htm), as of December 31, 2022: Pension and other benefit liabilities = 1,175. https://www.sec.gov/Archives/edgar/data/1770450/000177045023000011/xrx-20221231.htm</t>
      </text>
    </comment>
    <comment ref="N44" authorId="0" shapeId="0">
      <text>
        <t>Form 10-Q (period ended 2023-03-31; acc. 0001770450-23-000032, xrx-20230331.htm), Xerox Holdings Condensed Consolidated Balance Sheets (XBRL R4.htm), as of March 31, 2023: Pension and other benefit liabilities = 1,168. https://www.sec.gov/Archives/edgar/data/1770450/000177045023000032/xrx-20230331.htm</t>
      </text>
    </comment>
    <comment ref="O44" authorId="0" shapeId="0">
      <text>
        <t>Form 10-Q (period ended 2023-06-30; acc. 0001770450-23-000042, xrx-20230630.htm), Xerox Holdings Condensed Consolidated Balance Sheets (XBRL R4.htm), as of June 30, 2023: Pension and other benefit liabilities = 1,206. https://www.sec.gov/Archives/edgar/data/1770450/000177045023000042/xrx-20230630.htm</t>
      </text>
    </comment>
    <comment ref="P44" authorId="0" shapeId="0">
      <text>
        <t>Form 10-Q (period ended 2023-09-30; acc. 0001770450-23-000050, xrx-20230930.htm), Xerox Holdings Condensed Consolidated Balance Sheets (XBRL R4.htm), as of September 30, 2023: Pension and other benefit liabilities = 1,131. https://www.sec.gov/Archives/edgar/data/1770450/000177045023000050/xrx-20230930.htm</t>
      </text>
    </comment>
    <comment ref="Q44" authorId="0" shapeId="0">
      <text>
        <t>Form 10-K (period ended 2023-12-31; acc. 0001770450-24-000012, xrx-20231231.htm), Xerox Holdings Condensed Consolidated Balance Sheets (XBRL R5.htm), as of December 31, 2023: Pension and other benefit liabilities = 1,216. https://www.sec.gov/Archives/edgar/data/1770450/000177045024000012/xrx-20231231.htm</t>
      </text>
    </comment>
    <comment ref="R44" authorId="0" shapeId="0">
      <text>
        <t>Form 10-Q (period ended 2024-03-31; acc. 0001770450-24-000031, xrx-20240331.htm), Xerox Holdings Condensed Consolidated Balance Sheets (XBRL R4.htm), as of March 31, 2024: Pension and other benefit liabilities = 1,183. https://www.sec.gov/Archives/edgar/data/1770450/000177045024000031/xrx-20240331.htm</t>
      </text>
    </comment>
    <comment ref="S44" authorId="0" shapeId="0">
      <text>
        <t>Form 10-Q (period ended 2024-06-30; acc. 0001770450-24-000042, xrx-20240630.htm), Xerox Holdings Condensed Consolidated Balance Sheets (XBRL R4.htm), as of June 30, 2024: Pension and other benefit liabilities = 1,180. https://www.sec.gov/Archives/edgar/data/1770450/000177045024000042/xrx-20240630.htm</t>
      </text>
    </comment>
    <comment ref="T44" authorId="0" shapeId="0">
      <text>
        <t>Form 10-Q (period ended 2024-09-30; acc. 0001770450-24-000050, xrx-20240930.htm), Xerox Holdings Condensed Consolidated Balance Sheets (XBRL R4.htm), as of September 30, 2024: Pension and other benefit liabilities = 1,126. https://www.sec.gov/Archives/edgar/data/1770450/000177045024000050/xrx-20240930.htm</t>
      </text>
    </comment>
    <comment ref="U44" authorId="0" shapeId="0">
      <text>
        <t>Form 10-K (period ended 2024-12-31; acc. 0001770450-25-000010, xrx-20241231.htm), Xerox Holdings Condensed Consolidated Balance Sheets (XBRL R5.htm), as of December 31, 2024: Pension and other benefit liabilities = 1,088. https://www.sec.gov/Archives/edgar/data/1770450/000177045025000010/xrx-20241231.htm</t>
      </text>
    </comment>
    <comment ref="V44" authorId="0" shapeId="0">
      <text>
        <t>Form 10-Q (period ended 2025-03-31; acc. 0001770450-25-000026, xrx-20250331.htm), Xerox Holdings Condensed Consolidated Balance Sheets (XBRL R4.htm), as of March 31, 2025: Pension and other benefit liabilities = 1,077. https://www.sec.gov/Archives/edgar/data/1770450/000177045025000026/xrx-20250331.htm</t>
      </text>
    </comment>
    <comment ref="W44" authorId="0" shapeId="0">
      <text>
        <t>Form 10-Q (period ended 2025-06-30; acc. 0001628280-25-038980, xrx-20250630.htm), Xerox Holdings Condensed Consolidated Balance Sheets (XBRL R4.htm), as of June 30, 2025: Pension and other benefit liabilities = 1,083. https://www.sec.gov/Archives/edgar/data/1770450/000162828025038980/xrx-20250630.htm</t>
      </text>
    </comment>
    <comment ref="X44" authorId="0" shapeId="0">
      <text>
        <t>Form 10-Q (period ended 2025-09-30; acc. 0001770450-25-000037, xrx-20250930.htm), Xerox Holdings Condensed Consolidated Balance Sheets (XBRL R4.htm), as of September 30, 2025: Pension and other benefit liabilities = 1,150. https://www.sec.gov/Archives/edgar/data/1770450/000177045025000037/xrx-20250930.htm</t>
      </text>
    </comment>
    <comment ref="Y44" authorId="0" shapeId="0">
      <text>
        <t>Form 10-K (period ended 2025-12-31; acc. 0001770450-26-000009, xrx-20251231.htm), Xerox Holdings Condensed Consolidated Balance Sheets (XBRL R5.htm), as of December 31, 2025: Pension and other benefit liabilities = 1,068. https://www.sec.gov/Archives/edgar/data/1770450/000177045026000009/xrx-20251231.htm</t>
      </text>
    </comment>
    <comment ref="Z44" authorId="0" shapeId="0">
      <text>
        <t>Form 10-Q (period ended 2026-03-31; acc. 0001770450-26-000030, xrx-20260331.htm), Xerox Holdings Condensed Consolidated Balance Sheets (XBRL R4.htm), as of March 31, 2026: Pension and other benefit liabilities = 1,037. https://www.sec.gov/Archives/edgar/data/1770450/000177045026000030/xrx-20260331.htm</t>
      </text>
    </comment>
    <comment ref="AA44" authorId="0" shapeId="0">
      <text>
        <t>Form 10-Q (period ended 2026-06-30; acc. 0001770450-26-000040, xrx-20260630.htm), Xerox Holdings Condensed Consolidated Balance Sheets (XBRL R4.htm), as of June 30, 2026: Pension and other benefit liabilities = 1,027. https://www.sec.gov/Archives/edgar/data/1770450/000177045026000040/xrx-20260630.htm</t>
      </text>
    </comment>
    <comment ref="F45" authorId="0" shapeId="0">
      <text>
        <t>Form 10-Q (period ended 2021-03-31; acc. 0001770450-21-000025, xrx-20210331.htm), Xerox Holdings Condensed Consolidated Balance Sheets (XBRL R4.htm), as of March 31, 2021: Post-retirement medical benefits = 339. https://www.sec.gov/Archives/edgar/data/1770450/000177045021000025/xrx-20210331.htm</t>
      </text>
    </comment>
    <comment ref="G45" authorId="0" shapeId="0">
      <text>
        <t>Form 10-Q (period ended 2021-06-30; acc. 0001770450-21-000036, xrx-20210630.htm), Xerox Holdings Condensed Consolidated Balance Sheets (XBRL R4.htm), as of June 30, 2021: Post-retirement medical benefits = 340. https://www.sec.gov/Archives/edgar/data/1770450/000177045021000036/xrx-20210630.htm</t>
      </text>
    </comment>
    <comment ref="H45" authorId="0" shapeId="0">
      <text>
        <t>Form 10-Q (period ended 2021-09-30; acc. 0001770450-21-000050, xrx-20210930.htm), Xerox Holdings Condensed Consolidated Balance Sheets (XBRL R4.htm), as of September 30, 2021: Post-retirement medical benefits = 333. https://www.sec.gov/Archives/edgar/data/1770450/000177045021000050/xrx-20210930.htm</t>
      </text>
    </comment>
    <comment ref="I45" authorId="0" shapeId="0">
      <text>
        <t>Form 10-K (period ended 2021-12-31; acc. 0001770450-22-000010, xrx-20211231.htm), Xerox Holdings Condensed Consolidated Balance Sheets (XBRL R5.htm), as of December 31, 2021: Post-retirement medical benefits = 277. https://www.sec.gov/Archives/edgar/data/1770450/000177045022000010/xrx-20211231.htm</t>
      </text>
    </comment>
    <comment ref="J45" authorId="0" shapeId="0">
      <text>
        <t>Form 10-Q (period ended 2022-03-31; acc. 0001770450-22-000020, xrx-20220331.htm), Xerox Holdings Condensed Consolidated Balance Sheets (XBRL R4.htm), as of March 31, 2022: Post-retirement medical benefits = 247. https://www.sec.gov/Archives/edgar/data/1770450/000177045022000020/xrx-20220331.htm</t>
      </text>
    </comment>
    <comment ref="K45" authorId="0" shapeId="0">
      <text>
        <t>Form 10-Q (period ended 2022-06-30; acc. 0001770450-22-000030, xrx-20220630.htm), Xerox Holdings Condensed Consolidated Balance Sheets (XBRL R4.htm), as of June 30, 2022: Post-retirement medical benefits = 242. https://www.sec.gov/Archives/edgar/data/1770450/000177045022000030/xrx-20220630.htm</t>
      </text>
    </comment>
    <comment ref="L45" authorId="0" shapeId="0">
      <text>
        <t>Form 10-Q (period ended 2022-09-30; acc. 0001770450-22-000041, xrx-20220930.htm), Xerox Holdings Condensed Consolidated Balance Sheets (XBRL R4.htm), as of September 30, 2022: Post-retirement medical benefits = 209. https://www.sec.gov/Archives/edgar/data/1770450/000177045022000041/xrx-20220930.htm</t>
      </text>
    </comment>
    <comment ref="M45" authorId="0" shapeId="0">
      <text>
        <t>Form 10-K (period ended 2022-12-31; acc. 0001770450-23-000011, xrx-20221231.htm), Xerox Holdings Condensed Consolidated Balance Sheets (XBRL R5.htm), as of December 31, 2022: Post-retirement medical benefits = 184. https://www.sec.gov/Archives/edgar/data/1770450/000177045023000011/xrx-20221231.htm</t>
      </text>
    </comment>
    <comment ref="N45" authorId="0" shapeId="0">
      <text>
        <t>Form 10-Q (period ended 2023-03-31; acc. 0001770450-23-000032, xrx-20230331.htm), Xerox Holdings Condensed Consolidated Balance Sheets (XBRL R4.htm), as of March 31, 2023: Post-retirement medical benefits = 182. https://www.sec.gov/Archives/edgar/data/1770450/000177045023000032/xrx-20230331.htm</t>
      </text>
    </comment>
    <comment ref="O45" authorId="0" shapeId="0">
      <text>
        <t>Form 10-Q (period ended 2023-06-30; acc. 0001770450-23-000042, xrx-20230630.htm), Xerox Holdings Condensed Consolidated Balance Sheets (XBRL R4.htm), as of June 30, 2023: Post-retirement medical benefits = 179. https://www.sec.gov/Archives/edgar/data/1770450/000177045023000042/xrx-20230630.htm</t>
      </text>
    </comment>
    <comment ref="P45" authorId="0" shapeId="0">
      <text>
        <t>Form 10-Q (period ended 2023-09-30; acc. 0001770450-23-000050, xrx-20230930.htm), Xerox Holdings Condensed Consolidated Balance Sheets (XBRL R4.htm), as of September 30, 2023: Post-retirement medical benefits = 175. https://www.sec.gov/Archives/edgar/data/1770450/000177045023000050/xrx-20230930.htm</t>
      </text>
    </comment>
    <comment ref="Q45" authorId="0" shapeId="0">
      <text>
        <t>Form 10-K (period ended 2023-12-31; acc. 0001770450-24-000012, xrx-20231231.htm), Xerox Holdings Condensed Consolidated Balance Sheets (XBRL R5.htm), as of December 31, 2023: Post-retirement medical benefits = 171. https://www.sec.gov/Archives/edgar/data/1770450/000177045024000012/xrx-20231231.htm</t>
      </text>
    </comment>
    <comment ref="R45" authorId="0" shapeId="0">
      <text>
        <t>Form 10-Q (period ended 2024-03-31; acc. 0001770450-24-000031, xrx-20240331.htm), Xerox Holdings Condensed Consolidated Balance Sheets (XBRL R4.htm), as of March 31, 2024: Post-retirement medical benefits = 167. https://www.sec.gov/Archives/edgar/data/1770450/000177045024000031/xrx-20240331.htm</t>
      </text>
    </comment>
    <comment ref="S45" authorId="0" shapeId="0">
      <text>
        <t>Form 10-Q (period ended 2024-06-30; acc. 0001770450-24-000042, xrx-20240630.htm), Xerox Holdings Condensed Consolidated Balance Sheets (XBRL R4.htm), as of June 30, 2024: Post-retirement medical benefits = 164. https://www.sec.gov/Archives/edgar/data/1770450/000177045024000042/xrx-20240630.htm</t>
      </text>
    </comment>
    <comment ref="T45" authorId="0" shapeId="0">
      <text>
        <t>Form 10-Q (period ended 2024-09-30; acc. 0001770450-24-000050, xrx-20240930.htm), Xerox Holdings Condensed Consolidated Balance Sheets (XBRL R4.htm), as of September 30, 2024: Post-retirement medical benefits = 166. https://www.sec.gov/Archives/edgar/data/1770450/000177045024000050/xrx-20240930.htm</t>
      </text>
    </comment>
    <comment ref="U45" authorId="0" shapeId="0">
      <text>
        <t>Form 10-K (period ended 2024-12-31; acc. 0001770450-25-000010, xrx-20241231.htm), Xerox Holdings Condensed Consolidated Balance Sheets (XBRL R5.htm), as of December 31, 2024: Post-retirement medical benefits = 154. https://www.sec.gov/Archives/edgar/data/1770450/000177045025000010/xrx-20241231.htm</t>
      </text>
    </comment>
    <comment ref="V45" authorId="0" shapeId="0">
      <text>
        <t>Form 10-Q (period ended 2025-03-31; acc. 0001770450-25-000026, xrx-20250331.htm), Xerox Holdings Condensed Consolidated Balance Sheets (XBRL R4.htm), as of March 31, 2025: Post-retirement medical benefits = 152. https://www.sec.gov/Archives/edgar/data/1770450/000177045025000026/xrx-20250331.htm</t>
      </text>
    </comment>
    <comment ref="W45" authorId="0" shapeId="0">
      <text>
        <t>Form 10-Q (period ended 2025-06-30; acc. 0001628280-25-038980, xrx-20250630.htm), Xerox Holdings Condensed Consolidated Balance Sheets (XBRL R4.htm), as of June 30, 2025: Post-retirement medical benefits = 153. https://www.sec.gov/Archives/edgar/data/1770450/000162828025038980/xrx-20250630.htm</t>
      </text>
    </comment>
    <comment ref="X45" authorId="0" shapeId="0">
      <text>
        <t>Form 10-Q (period ended 2025-09-30; acc. 0001770450-25-000037, xrx-20250930.htm), Xerox Holdings Condensed Consolidated Balance Sheets (XBRL R4.htm), as of September 30, 2025: Post-retirement medical benefits = 168. https://www.sec.gov/Archives/edgar/data/1770450/000177045025000037/xrx-20250930.htm</t>
      </text>
    </comment>
    <comment ref="Y45" authorId="0" shapeId="0">
      <text>
        <t>Form 10-K (period ended 2025-12-31; acc. 0001770450-26-000009, xrx-20251231.htm), Xerox Holdings Condensed Consolidated Balance Sheets (XBRL R5.htm), as of December 31, 2025: Post-retirement medical benefits = 159. https://www.sec.gov/Archives/edgar/data/1770450/000177045026000009/xrx-20251231.htm</t>
      </text>
    </comment>
    <comment ref="Z45" authorId="0" shapeId="0">
      <text>
        <t>Form 10-Q (period ended 2026-03-31; acc. 0001770450-26-000030, xrx-20260331.htm), Xerox Holdings Condensed Consolidated Balance Sheets (XBRL R4.htm), as of March 31, 2026: Post-retirement medical benefits = 156. https://www.sec.gov/Archives/edgar/data/1770450/000177045026000030/xrx-20260331.htm</t>
      </text>
    </comment>
    <comment ref="AA45" authorId="0" shapeId="0">
      <text>
        <t>Form 10-Q (period ended 2026-06-30; acc. 0001770450-26-000040, xrx-20260630.htm), Xerox Holdings Condensed Consolidated Balance Sheets (XBRL R4.htm), as of June 30, 2026: Post-retirement medical benefits = 148. https://www.sec.gov/Archives/edgar/data/1770450/000177045026000040/xrx-20260630.htm</t>
      </text>
    </comment>
    <comment ref="F46" authorId="0" shapeId="0">
      <text>
        <t>Form 10-Q (period ended 2021-03-31; acc. 0001770450-21-000025, xrx-20210331.htm), Xerox Holdings Condensed Consolidated Balance Sheets (XBRL R4.htm), as of March 31, 2021: Other long-term liabilities = 498. https://www.sec.gov/Archives/edgar/data/1770450/000177045021000025/xrx-20210331.htm</t>
      </text>
    </comment>
    <comment ref="G46" authorId="0" shapeId="0">
      <text>
        <t>Form 10-Q (period ended 2021-06-30; acc. 0001770450-21-000036, xrx-20210630.htm), Xerox Holdings Condensed Consolidated Balance Sheets (XBRL R4.htm), as of June 30, 2021: Other long-term liabilities = 537. https://www.sec.gov/Archives/edgar/data/1770450/000177045021000036/xrx-20210630.htm</t>
      </text>
    </comment>
    <comment ref="H46" authorId="0" shapeId="0">
      <text>
        <t>Form 10-Q (period ended 2021-09-30; acc. 0001770450-21-000050, xrx-20210930.htm), Xerox Holdings Condensed Consolidated Balance Sheets (XBRL R4.htm), as of September 30, 2021: Other long-term liabilities = 491. https://www.sec.gov/Archives/edgar/data/1770450/000177045021000050/xrx-20210930.htm</t>
      </text>
    </comment>
    <comment ref="I46" authorId="0" shapeId="0">
      <text>
        <t>Form 10-K (period ended 2021-12-31; acc. 0001770450-22-000010, xrx-20211231.htm), Xerox Holdings Condensed Consolidated Balance Sheets (XBRL R5.htm), as of December 31, 2021: Other long-term liabilities = 481. https://www.sec.gov/Archives/edgar/data/1770450/000177045022000010/xrx-20211231.htm</t>
      </text>
    </comment>
    <comment ref="J46" authorId="0" shapeId="0">
      <text>
        <t>Form 10-Q (period ended 2022-03-31; acc. 0001770450-22-000020, xrx-20220331.htm), Xerox Holdings Condensed Consolidated Balance Sheets (XBRL R4.htm), as of March 31, 2022: Other long-term liabilities = 473. https://www.sec.gov/Archives/edgar/data/1770450/000177045022000020/xrx-20220331.htm</t>
      </text>
    </comment>
    <comment ref="K46" authorId="0" shapeId="0">
      <text>
        <t>Form 10-Q (period ended 2022-06-30; acc. 0001770450-22-000030, xrx-20220630.htm), Xerox Holdings Condensed Consolidated Balance Sheets (XBRL R4.htm), as of June 30, 2022: Other long-term liabilities = 433. https://www.sec.gov/Archives/edgar/data/1770450/000177045022000030/xrx-20220630.htm</t>
      </text>
    </comment>
    <comment ref="L46" authorId="0" shapeId="0">
      <text>
        <t>Form 10-Q (period ended 2022-09-30; acc. 0001770450-22-000041, xrx-20220930.htm), Xerox Holdings Condensed Consolidated Balance Sheets (XBRL R4.htm), as of September 30, 2022: Other long-term liabilities = 416. https://www.sec.gov/Archives/edgar/data/1770450/000177045022000041/xrx-20220930.htm</t>
      </text>
    </comment>
    <comment ref="M46" authorId="0" shapeId="0">
      <text>
        <t>Form 10-K (period ended 2022-12-31; acc. 0001770450-23-000011, xrx-20221231.htm), Xerox Holdings Condensed Consolidated Balance Sheets (XBRL R5.htm), as of December 31, 2022: Other long-term liabilities = 411. https://www.sec.gov/Archives/edgar/data/1770450/000177045023000011/xrx-20221231.htm</t>
      </text>
    </comment>
    <comment ref="N46" authorId="0" shapeId="0">
      <text>
        <t>Form 10-Q (period ended 2023-03-31; acc. 0001770450-23-000032, xrx-20230331.htm), Xerox Holdings Condensed Consolidated Balance Sheets (XBRL R4.htm), as of March 31, 2023: Other long-term liabilities = 400. https://www.sec.gov/Archives/edgar/data/1770450/000177045023000032/xrx-20230331.htm</t>
      </text>
    </comment>
    <comment ref="O46" authorId="0" shapeId="0">
      <text>
        <t>Form 10-Q (period ended 2023-06-30; acc. 0001770450-23-000042, xrx-20230630.htm), Xerox Holdings Condensed Consolidated Balance Sheets (XBRL R4.htm), as of June 30, 2023: Other long-term liabilities = 394. https://www.sec.gov/Archives/edgar/data/1770450/000177045023000042/xrx-20230630.htm</t>
      </text>
    </comment>
    <comment ref="P46" authorId="0" shapeId="0">
      <text>
        <t>Form 10-Q (period ended 2023-09-30; acc. 0001770450-23-000050, xrx-20230930.htm), Xerox Holdings Condensed Consolidated Balance Sheets (XBRL R4.htm), as of September 30, 2023: Other long-term liabilities = 371. https://www.sec.gov/Archives/edgar/data/1770450/000177045023000050/xrx-20230930.htm</t>
      </text>
    </comment>
    <comment ref="Q46" authorId="0" shapeId="0">
      <text>
        <t>Form 10-K (period ended 2023-12-31; acc. 0001770450-24-000012, xrx-20231231.htm), Xerox Holdings Condensed Consolidated Balance Sheets (XBRL R5.htm), as of December 31, 2023: Other long-term liabilities = 360. https://www.sec.gov/Archives/edgar/data/1770450/000177045024000012/xrx-20231231.htm</t>
      </text>
    </comment>
    <comment ref="R46" authorId="0" shapeId="0">
      <text>
        <t>Form 10-Q (period ended 2024-03-31; acc. 0001770450-24-000031, xrx-20240331.htm), Xerox Holdings Condensed Consolidated Balance Sheets (XBRL R4.htm), as of March 31, 2024: Other long-term liabilities = 352. https://www.sec.gov/Archives/edgar/data/1770450/000177045024000031/xrx-20240331.htm</t>
      </text>
    </comment>
    <comment ref="S46" authorId="0" shapeId="0">
      <text>
        <t>Form 10-Q (period ended 2024-06-30; acc. 0001770450-24-000042, xrx-20240630.htm), Xerox Holdings Condensed Consolidated Balance Sheets (XBRL R4.htm), as of June 30, 2024: Other long-term liabilities = 338. https://www.sec.gov/Archives/edgar/data/1770450/000177045024000042/xrx-20240630.htm</t>
      </text>
    </comment>
    <comment ref="T46" authorId="0" shapeId="0">
      <text>
        <t>Form 10-Q (period ended 2024-09-30; acc. 0001770450-24-000050, xrx-20240930.htm), Xerox Holdings Condensed Consolidated Balance Sheets (XBRL R4.htm), as of September 30, 2024: Other long-term liabilities = 354. https://www.sec.gov/Archives/edgar/data/1770450/000177045024000050/xrx-20240930.htm</t>
      </text>
    </comment>
    <comment ref="U46" authorId="0" shapeId="0">
      <text>
        <t>Form 10-K (period ended 2024-12-31; acc. 0001770450-25-000010, xrx-20241231.htm), Xerox Holdings Condensed Consolidated Balance Sheets (XBRL R5.htm), as of December 31, 2024: Other long-term liabilities = 386. https://www.sec.gov/Archives/edgar/data/1770450/000177045025000010/xrx-20241231.htm</t>
      </text>
    </comment>
    <comment ref="V46" authorId="0" shapeId="0">
      <text>
        <t>Form 10-Q (period ended 2025-03-31; acc. 0001770450-25-000026, xrx-20250331.htm), Xerox Holdings Condensed Consolidated Balance Sheets (XBRL R4.htm), as of March 31, 2025: Other long-term liabilities = 363. https://www.sec.gov/Archives/edgar/data/1770450/000177045025000026/xrx-20250331.htm</t>
      </text>
    </comment>
    <comment ref="W46" authorId="0" shapeId="0">
      <text>
        <t>Form 10-Q (period ended 2025-06-30; acc. 0001628280-25-038980, xrx-20250630.htm), Xerox Holdings Condensed Consolidated Balance Sheets (XBRL R4.htm), as of June 30, 2025: Other long-term liabilities = 377. https://www.sec.gov/Archives/edgar/data/1770450/000162828025038980/xrx-20250630.htm</t>
      </text>
    </comment>
    <comment ref="X46" authorId="0" shapeId="0">
      <text>
        <t>Form 10-Q (period ended 2025-09-30; acc. 0001770450-25-000037, xrx-20250930.htm), Xerox Holdings Condensed Consolidated Balance Sheets (XBRL R4.htm), as of September 30, 2025: Other long-term liabilities = 705. https://www.sec.gov/Archives/edgar/data/1770450/000177045025000037/xrx-20250930.htm</t>
      </text>
    </comment>
    <comment ref="Y46" authorId="0" shapeId="0">
      <text>
        <t>Form 10-K (period ended 2025-12-31; acc. 0001770450-26-000009, xrx-20251231.htm), Xerox Holdings Condensed Consolidated Balance Sheets (XBRL R5.htm), as of December 31, 2025: Other long-term liabilities = 685. https://www.sec.gov/Archives/edgar/data/1770450/000177045026000009/xrx-20251231.htm</t>
      </text>
    </comment>
    <comment ref="Z46" authorId="0" shapeId="0">
      <text>
        <t>Form 10-Q (period ended 2026-03-31; acc. 0001770450-26-000030, xrx-20260331.htm), Xerox Holdings Condensed Consolidated Balance Sheets (XBRL R4.htm), as of March 31, 2026: Other long-term liabilities = 697. https://www.sec.gov/Archives/edgar/data/1770450/000177045026000030/xrx-20260331.htm</t>
      </text>
    </comment>
    <comment ref="AA46" authorId="0" shapeId="0">
      <text>
        <t>Form 10-Q (period ended 2026-06-30; acc. 0001770450-26-000040, xrx-20260630.htm), Xerox Holdings Condensed Consolidated Balance Sheets (XBRL R4.htm), as of June 30, 2026: Other long-term liabilities = 716. https://www.sec.gov/Archives/edgar/data/1770450/000177045026000040/xrx-20260630.htm</t>
      </text>
    </comment>
    <comment ref="F48" authorId="0" shapeId="0">
      <text>
        <t>Reported subtotal. Form 10-Q (period ended 2021-03-31; acc. 0001770450-21-000025, xrx-20210331.htm), Xerox Holdings Condensed Consolidated Balance Sheets (XBRL R4.htm), as of March 31, 2021: Total liabilities = 8,629. https://www.sec.gov/Archives/edgar/data/1770450/000177045021000025/xrx-20210331.htm</t>
      </text>
    </comment>
    <comment ref="G48" authorId="0" shapeId="0">
      <text>
        <t>Reported subtotal. Form 10-Q (period ended 2021-06-30; acc. 0001770450-21-000036, xrx-20210630.htm), Xerox Holdings Condensed Consolidated Balance Sheets (XBRL R4.htm), as of June 30, 2021: Total liabilities = 8,601. https://www.sec.gov/Archives/edgar/data/1770450/000177045021000036/xrx-20210630.htm</t>
      </text>
    </comment>
    <comment ref="H48" authorId="0" shapeId="0">
      <text>
        <t>Reported subtotal. Form 10-Q (period ended 2021-09-30; acc. 0001770450-21-000050, xrx-20210930.htm), Xerox Holdings Condensed Consolidated Balance Sheets (XBRL R4.htm), as of September 30, 2021: Total liabilities = 8,662. https://www.sec.gov/Archives/edgar/data/1770450/000177045021000050/xrx-20210930.htm</t>
      </text>
    </comment>
    <comment ref="I48" authorId="0" shapeId="0">
      <text>
        <t>Reported subtotal. Form 10-K (period ended 2021-12-31; acc. 0001770450-22-000010, xrx-20211231.htm), Xerox Holdings Condensed Consolidated Balance Sheets (XBRL R5.htm), as of December 31, 2021: Total liabilities = 8,556. https://www.sec.gov/Archives/edgar/data/1770450/000177045022000010/xrx-20211231.htm</t>
      </text>
    </comment>
    <comment ref="J48" authorId="0" shapeId="0">
      <text>
        <t>Reported subtotal. Form 10-Q (period ended 2022-03-31; acc. 0001770450-22-000020, xrx-20220331.htm), Xerox Holdings Condensed Consolidated Balance Sheets (XBRL R4.htm), as of March 31, 2022: Total liabilities = 8,669. https://www.sec.gov/Archives/edgar/data/1770450/000177045022000020/xrx-20220331.htm</t>
      </text>
    </comment>
    <comment ref="K48" authorId="0" shapeId="0">
      <text>
        <t>Reported subtotal. Form 10-Q (period ended 2022-06-30; acc. 0001770450-22-000030, xrx-20220630.htm), Xerox Holdings Condensed Consolidated Balance Sheets (XBRL R4.htm), as of June 30, 2022: Total liabilities = 8,164. https://www.sec.gov/Archives/edgar/data/1770450/000177045022000030/xrx-20220630.htm</t>
      </text>
    </comment>
    <comment ref="L48" authorId="0" shapeId="0">
      <text>
        <t>Reported subtotal. Form 10-Q (period ended 2022-09-30; acc. 0001770450-22-000041, xrx-20220930.htm), Xerox Holdings Condensed Consolidated Balance Sheets (XBRL R4.htm), as of September 30, 2022: Total liabilities = 7,942. https://www.sec.gov/Archives/edgar/data/1770450/000177045022000041/xrx-20220930.htm</t>
      </text>
    </comment>
    <comment ref="M48" authorId="0" shapeId="0">
      <text>
        <t>Reported subtotal. Form 10-K (period ended 2022-12-31; acc. 0001770450-23-000011, xrx-20221231.htm), Xerox Holdings Condensed Consolidated Balance Sheets (XBRL R5.htm), as of December 31, 2022: Total liabilities = 7,966. https://www.sec.gov/Archives/edgar/data/1770450/000177045023000011/xrx-20221231.htm</t>
      </text>
    </comment>
    <comment ref="N48" authorId="0" shapeId="0">
      <text>
        <t>Reported subtotal. Form 10-Q (period ended 2023-03-31; acc. 0001770450-23-000032, xrx-20230331.htm), Xerox Holdings Condensed Consolidated Balance Sheets (XBRL R4.htm), as of March 31, 2023: Total liabilities = 7,355. https://www.sec.gov/Archives/edgar/data/1770450/000177045023000032/xrx-20230331.htm</t>
      </text>
    </comment>
    <comment ref="O48" authorId="0" shapeId="0">
      <text>
        <t>Reported subtotal. Form 10-Q (period ended 2023-06-30; acc. 0001770450-23-000042, xrx-20230630.htm), Xerox Holdings Condensed Consolidated Balance Sheets (XBRL R4.htm), as of June 30, 2023: Total liabilities = 6,953. https://www.sec.gov/Archives/edgar/data/1770450/000177045023000042/xrx-20230630.htm</t>
      </text>
    </comment>
    <comment ref="P48" authorId="0" shapeId="0">
      <text>
        <t>Reported subtotal. Form 10-Q (period ended 2023-09-30; acc. 0001770450-23-000050, xrx-20230930.htm), Xerox Holdings Condensed Consolidated Balance Sheets (XBRL R4.htm), as of September 30, 2023: Total liabilities = 7,422. https://www.sec.gov/Archives/edgar/data/1770450/000177045023000050/xrx-20230930.htm</t>
      </text>
    </comment>
    <comment ref="Q48" authorId="0" shapeId="0">
      <text>
        <t>Reported subtotal. Form 10-K (period ended 2023-12-31; acc. 0001770450-24-000012, xrx-20231231.htm), Xerox Holdings Condensed Consolidated Balance Sheets (XBRL R5.htm), as of December 31, 2023: Total liabilities = 7,236. https://www.sec.gov/Archives/edgar/data/1770450/000177045024000012/xrx-20231231.htm</t>
      </text>
    </comment>
    <comment ref="R48" authorId="0" shapeId="0">
      <text>
        <t>Reported subtotal. Form 10-Q (period ended 2024-03-31; acc. 0001770450-24-000031, xrx-20240331.htm), Xerox Holdings Condensed Consolidated Balance Sheets (XBRL R4.htm), as of March 31, 2024: Total liabilities = 7,339. https://www.sec.gov/Archives/edgar/data/1770450/000177045024000031/xrx-20240331.htm</t>
      </text>
    </comment>
    <comment ref="S48" authorId="0" shapeId="0">
      <text>
        <t>Reported subtotal. Form 10-Q (period ended 2024-06-30; acc. 0001770450-24-000042, xrx-20240630.htm), Xerox Holdings Condensed Consolidated Balance Sheets (XBRL R4.htm), as of June 30, 2024: Total liabilities = 6,902. https://www.sec.gov/Archives/edgar/data/1770450/000177045024000042/xrx-20240630.htm</t>
      </text>
    </comment>
    <comment ref="T48" authorId="0" shapeId="0">
      <text>
        <t>Reported subtotal. Form 10-Q (period ended 2024-09-30; acc. 0001770450-24-000050, xrx-20240930.htm), Xerox Holdings Condensed Consolidated Balance Sheets (XBRL R4.htm), as of September 30, 2024: Total liabilities = 6,791. https://www.sec.gov/Archives/edgar/data/1770450/000177045024000050/xrx-20240930.htm</t>
      </text>
    </comment>
    <comment ref="U48" authorId="0" shapeId="0">
      <text>
        <t>Reported subtotal. Form 10-K (period ended 2024-12-31; acc. 0001770450-25-000010, xrx-20241231.htm), Xerox Holdings Condensed Consolidated Balance Sheets (XBRL R5.htm), as of December 31, 2024: Total liabilities = 7,061. https://www.sec.gov/Archives/edgar/data/1770450/000177045025000010/xrx-20241231.htm</t>
      </text>
    </comment>
    <comment ref="V48" authorId="0" shapeId="0">
      <text>
        <t>Reported subtotal. Form 10-Q (period ended 2025-03-31; acc. 0001770450-25-000026, xrx-20250331.htm), Xerox Holdings Condensed Consolidated Balance Sheets (XBRL R4.htm), as of March 31, 2025: Total liabilities = 6,930. https://www.sec.gov/Archives/edgar/data/1770450/000177045025000026/xrx-20250331.htm</t>
      </text>
    </comment>
    <comment ref="W48" authorId="0" shapeId="0">
      <text>
        <t>Reported subtotal. Form 10-Q (period ended 2025-06-30; acc. 0001628280-25-038980, xrx-20250630.htm), Xerox Holdings Condensed Consolidated Balance Sheets (XBRL R4.htm), as of June 30, 2025: Total liabilities = 7,523. https://www.sec.gov/Archives/edgar/data/1770450/000162828025038980/xrx-20250630.htm</t>
      </text>
    </comment>
    <comment ref="X48" authorId="0" shapeId="0">
      <text>
        <t>Reported subtotal. Form 10-Q (period ended 2025-09-30; acc. 0001770450-25-000037, xrx-20250930.htm), Xerox Holdings Condensed Consolidated Balance Sheets (XBRL R4.htm), as of September 30, 2025: Total liabilities = 9,474. https://www.sec.gov/Archives/edgar/data/1770450/000177045025000037/xrx-20250930.htm</t>
      </text>
    </comment>
    <comment ref="Y48" authorId="0" shapeId="0">
      <text>
        <t>Reported subtotal. Form 10-K (period ended 2025-12-31; acc. 0001770450-26-000009, xrx-20251231.htm), Xerox Holdings Condensed Consolidated Balance Sheets (XBRL R5.htm), as of December 31, 2025: Total liabilities = 9,150. https://www.sec.gov/Archives/edgar/data/1770450/000177045026000009/xrx-20251231.htm</t>
      </text>
    </comment>
    <comment ref="Z48" authorId="0" shapeId="0">
      <text>
        <t>Reported subtotal. Form 10-Q (period ended 2026-03-31; acc. 0001770450-26-000030, xrx-20260331.htm), Xerox Holdings Condensed Consolidated Balance Sheets (XBRL R4.htm), as of March 31, 2026: Total liabilities = 9,373. https://www.sec.gov/Archives/edgar/data/1770450/000177045026000030/xrx-20260331.htm</t>
      </text>
    </comment>
    <comment ref="AA48" authorId="0" shapeId="0">
      <text>
        <t>Reported subtotal. Form 10-Q (period ended 2026-06-30; acc. 0001770450-26-000040, xrx-20260630.htm), Xerox Holdings Condensed Consolidated Balance Sheets (XBRL R4.htm), as of June 30, 2026: Total liabilities = 9,170. https://www.sec.gov/Archives/edgar/data/1770450/000177045026000040/xrx-20260630.htm</t>
      </text>
    </comment>
    <comment ref="D52" authorId="0" shapeId="0">
      <text>
        <t>Xerox presents a small noncontrolling interest in temporary (mezzanine) equity from 3Q'21 onward. Value read from the face of each balance sheet; equals Total L&amp;E less Total liabilities, preferred stock and Total equity.</t>
      </text>
    </comment>
    <comment ref="F52" authorId="0" shapeId="0">
      <text>
        <t>Form 10-Q (period ended 2021-03-31; acc. 0001770450-21-000025, xrx-20210331.htm), Xerox Holdings Condensed Consolidated Balance Sheets (XBRL R4.htm), as of March 31, 2021: Noncontrolling Interests (temporary equity, between liabilities and equity) = 0. https://www.sec.gov/Archives/edgar/data/1770450/000177045021000025/xrx-20210331.htm Not presented as of this date.</t>
      </text>
    </comment>
    <comment ref="G52" authorId="0" shapeId="0">
      <text>
        <t>Form 10-Q (period ended 2021-06-30; acc. 0001770450-21-000036, xrx-20210630.htm), Xerox Holdings Condensed Consolidated Balance Sheets (XBRL R4.htm), as of June 30, 2021: Noncontrolling Interests (temporary equity, between liabilities and equity) = 0. https://www.sec.gov/Archives/edgar/data/1770450/000177045021000036/xrx-20210630.htm Not presented as of this date.</t>
      </text>
    </comment>
    <comment ref="H52" authorId="0" shapeId="0">
      <text>
        <t>Form 10-Q (period ended 2021-09-30; acc. 0001770450-21-000050, xrx-20210930.htm), Xerox Holdings Condensed Consolidated Balance Sheets (XBRL R4.htm), as of September 30, 2021: Noncontrolling Interests (temporary equity, between liabilities and equity) = 10. https://www.sec.gov/Archives/edgar/data/1770450/000177045021000050/xrx-20210930.htm</t>
      </text>
    </comment>
    <comment ref="I52" authorId="0" shapeId="0">
      <text>
        <t>Form 10-K (period ended 2021-12-31; acc. 0001770450-22-000010, xrx-20211231.htm), Xerox Holdings Condensed Consolidated Balance Sheets (XBRL R5.htm), as of December 31, 2021: Noncontrolling Interests (temporary equity, between liabilities and equity) = 10. https://www.sec.gov/Archives/edgar/data/1770450/000177045022000010/xrx-20211231.htm</t>
      </text>
    </comment>
    <comment ref="J52" authorId="0" shapeId="0">
      <text>
        <t>Form 10-Q (period ended 2022-03-31; acc. 0001770450-22-000020, xrx-20220331.htm), Xerox Holdings Condensed Consolidated Balance Sheets (XBRL R4.htm), as of March 31, 2022: Noncontrolling Interests (temporary equity, between liabilities and equity) = 10. https://www.sec.gov/Archives/edgar/data/1770450/000177045022000020/xrx-20220331.htm</t>
      </text>
    </comment>
    <comment ref="K52" authorId="0" shapeId="0">
      <text>
        <t>Form 10-Q (period ended 2022-06-30; acc. 0001770450-22-000030, xrx-20220630.htm), Xerox Holdings Condensed Consolidated Balance Sheets (XBRL R4.htm), as of June 30, 2022: Noncontrolling Interests (temporary equity, between liabilities and equity) = 10. https://www.sec.gov/Archives/edgar/data/1770450/000177045022000030/xrx-20220630.htm</t>
      </text>
    </comment>
    <comment ref="L52" authorId="0" shapeId="0">
      <text>
        <t>Form 10-Q (period ended 2022-09-30; acc. 0001770450-22-000041, xrx-20220930.htm), Xerox Holdings Condensed Consolidated Balance Sheets (XBRL R4.htm), as of September 30, 2022: Noncontrolling Interests (temporary equity, between liabilities and equity) = 10. https://www.sec.gov/Archives/edgar/data/1770450/000177045022000041/xrx-20220930.htm</t>
      </text>
    </comment>
    <comment ref="M52" authorId="0" shapeId="0">
      <text>
        <t>Form 10-K (period ended 2022-12-31; acc. 0001770450-23-000011, xrx-20221231.htm), Xerox Holdings Condensed Consolidated Balance Sheets (XBRL R5.htm), as of December 31, 2022: Noncontrolling Interests (temporary equity, between liabilities and equity) = 10. https://www.sec.gov/Archives/edgar/data/1770450/000177045023000011/xrx-20221231.htm</t>
      </text>
    </comment>
    <comment ref="N52" authorId="0" shapeId="0">
      <text>
        <t>Form 10-Q (period ended 2023-03-31; acc. 0001770450-23-000032, xrx-20230331.htm), Xerox Holdings Condensed Consolidated Balance Sheets (XBRL R4.htm), as of March 31, 2023: Noncontrolling Interests (temporary equity, between liabilities and equity) = 10. https://www.sec.gov/Archives/edgar/data/1770450/000177045023000032/xrx-20230331.htm</t>
      </text>
    </comment>
    <comment ref="O52" authorId="0" shapeId="0">
      <text>
        <t>Form 10-Q (period ended 2023-06-30; acc. 0001770450-23-000042, xrx-20230630.htm), Xerox Holdings Condensed Consolidated Balance Sheets (XBRL R4.htm), as of June 30, 2023: Noncontrolling Interests (temporary equity, between liabilities and equity) = 10. https://www.sec.gov/Archives/edgar/data/1770450/000177045023000042/xrx-20230630.htm</t>
      </text>
    </comment>
    <comment ref="P52" authorId="0" shapeId="0">
      <text>
        <t>Form 10-Q (period ended 2023-09-30; acc. 0001770450-23-000050, xrx-20230930.htm), Xerox Holdings Condensed Consolidated Balance Sheets (XBRL R4.htm), as of September 30, 2023: Noncontrolling Interests (temporary equity, between liabilities and equity) = 10. https://www.sec.gov/Archives/edgar/data/1770450/000177045023000050/xrx-20230930.htm</t>
      </text>
    </comment>
    <comment ref="Q52" authorId="0" shapeId="0">
      <text>
        <t>Form 10-K (period ended 2023-12-31; acc. 0001770450-24-000012, xrx-20231231.htm), Xerox Holdings Condensed Consolidated Balance Sheets (XBRL R5.htm), as of December 31, 2023: Noncontrolling Interests (temporary equity, between liabilities and equity) = 10. https://www.sec.gov/Archives/edgar/data/1770450/000177045024000012/xrx-20231231.htm</t>
      </text>
    </comment>
    <comment ref="R52" authorId="0" shapeId="0">
      <text>
        <t>Form 10-Q (period ended 2024-03-31; acc. 0001770450-24-000031, xrx-20240331.htm), Xerox Holdings Condensed Consolidated Balance Sheets (XBRL R4.htm), as of March 31, 2024: Noncontrolling Interests (temporary equity, between liabilities and equity) = 10. https://www.sec.gov/Archives/edgar/data/1770450/000177045024000031/xrx-20240331.htm</t>
      </text>
    </comment>
    <comment ref="S52" authorId="0" shapeId="0">
      <text>
        <t>Form 10-Q (period ended 2024-06-30; acc. 0001770450-24-000042, xrx-20240630.htm), Xerox Holdings Condensed Consolidated Balance Sheets (XBRL R4.htm), as of June 30, 2024: Noncontrolling Interests (temporary equity, between liabilities and equity) = 10. https://www.sec.gov/Archives/edgar/data/1770450/000177045024000042/xrx-20240630.htm</t>
      </text>
    </comment>
    <comment ref="T52" authorId="0" shapeId="0">
      <text>
        <t>Form 10-Q (period ended 2024-09-30; acc. 0001770450-24-000050, xrx-20240930.htm), Xerox Holdings Condensed Consolidated Balance Sheets (XBRL R4.htm), as of September 30, 2024: Noncontrolling Interests (temporary equity, between liabilities and equity) = 10. https://www.sec.gov/Archives/edgar/data/1770450/000177045024000050/xrx-20240930.htm</t>
      </text>
    </comment>
    <comment ref="U52" authorId="0" shapeId="0">
      <text>
        <t>Form 10-K (period ended 2024-12-31; acc. 0001770450-25-000010, xrx-20241231.htm), Xerox Holdings Condensed Consolidated Balance Sheets (XBRL R5.htm), as of December 31, 2024: Noncontrolling Interests (temporary equity, between liabilities and equity) = 10. https://www.sec.gov/Archives/edgar/data/1770450/000177045025000010/xrx-20241231.htm</t>
      </text>
    </comment>
    <comment ref="V52" authorId="0" shapeId="0">
      <text>
        <t>Form 10-Q (period ended 2025-03-31; acc. 0001770450-25-000026, xrx-20250331.htm), Xerox Holdings Condensed Consolidated Balance Sheets (XBRL R4.htm), as of March 31, 2025: Noncontrolling Interests (temporary equity, between liabilities and equity) = 10. https://www.sec.gov/Archives/edgar/data/1770450/000177045025000026/xrx-20250331.htm</t>
      </text>
    </comment>
    <comment ref="W52" authorId="0" shapeId="0">
      <text>
        <t>Form 10-Q (period ended 2025-06-30; acc. 0001628280-25-038980, xrx-20250630.htm), Xerox Holdings Condensed Consolidated Balance Sheets (XBRL R4.htm), as of June 30, 2025: Noncontrolling Interests (temporary equity, between liabilities and equity) = 10. https://www.sec.gov/Archives/edgar/data/1770450/000162828025038980/xrx-20250630.htm</t>
      </text>
    </comment>
    <comment ref="X52" authorId="0" shapeId="0">
      <text>
        <t>Form 10-Q (period ended 2025-09-30; acc. 0001770450-25-000037, xrx-20250930.htm), Xerox Holdings Condensed Consolidated Balance Sheets (XBRL R4.htm), as of September 30, 2025: Noncontrolling Interests (temporary equity, between liabilities and equity) = 10. https://www.sec.gov/Archives/edgar/data/1770450/000177045025000037/xrx-20250930.htm</t>
      </text>
    </comment>
    <comment ref="Y52" authorId="0" shapeId="0">
      <text>
        <t>Form 10-K (period ended 2025-12-31; acc. 0001770450-26-000009, xrx-20251231.htm), Xerox Holdings Condensed Consolidated Balance Sheets (XBRL R5.htm), as of December 31, 2025: Noncontrolling Interests (temporary equity, between liabilities and equity) = 10. https://www.sec.gov/Archives/edgar/data/1770450/000177045026000009/xrx-20251231.htm</t>
      </text>
    </comment>
    <comment ref="Z52" authorId="0" shapeId="0">
      <text>
        <t>Form 10-Q (period ended 2026-03-31; acc. 0001770450-26-000030, xrx-20260331.htm), Xerox Holdings Condensed Consolidated Balance Sheets (XBRL R4.htm), as of March 31, 2026: Noncontrolling Interests (temporary equity, between liabilities and equity) = 10. https://www.sec.gov/Archives/edgar/data/1770450/000177045026000030/xrx-20260331.htm</t>
      </text>
    </comment>
    <comment ref="AA52" authorId="0" shapeId="0">
      <text>
        <t>Form 10-Q (period ended 2026-06-30; acc. 0001770450-26-000040, xrx-20260630.htm), Xerox Holdings Condensed Consolidated Balance Sheets (XBRL R4.htm), as of June 30, 2026: Noncontrolling Interests (temporary equity, between liabilities and equity) = 10. https://www.sec.gov/Archives/edgar/data/1770450/000177045026000040/xrx-20260630.htm</t>
      </text>
    </comment>
    <comment ref="F53" authorId="0" shapeId="0">
      <text>
        <t>Form 10-Q (period ended 2021-03-31; acc. 0001770450-21-000025, xrx-20210331.htm), Xerox Holdings Condensed Consolidated Balance Sheets (XBRL R4.htm), as of March 31, 2021: Convertible preferred stock = 214. https://www.sec.gov/Archives/edgar/data/1770450/000177045021000025/xrx-20210331.htm</t>
      </text>
    </comment>
    <comment ref="G53" authorId="0" shapeId="0">
      <text>
        <t>Form 10-Q (period ended 2021-06-30; acc. 0001770450-21-000036, xrx-20210630.htm), Xerox Holdings Condensed Consolidated Balance Sheets (XBRL R4.htm), as of June 30, 2021: Convertible preferred stock = 214. https://www.sec.gov/Archives/edgar/data/1770450/000177045021000036/xrx-20210630.htm</t>
      </text>
    </comment>
    <comment ref="H53" authorId="0" shapeId="0">
      <text>
        <t>Form 10-Q (period ended 2021-09-30; acc. 0001770450-21-000050, xrx-20210930.htm), Xerox Holdings Condensed Consolidated Balance Sheets (XBRL R4.htm), as of September 30, 2021: Convertible preferred stock = 214. https://www.sec.gov/Archives/edgar/data/1770450/000177045021000050/xrx-20210930.htm</t>
      </text>
    </comment>
    <comment ref="I53" authorId="0" shapeId="0">
      <text>
        <t>Form 10-K (period ended 2021-12-31; acc. 0001770450-22-000010, xrx-20211231.htm), Xerox Holdings Condensed Consolidated Balance Sheets (XBRL R5.htm), as of December 31, 2021: Convertible preferred stock = 214. https://www.sec.gov/Archives/edgar/data/1770450/000177045022000010/xrx-20211231.htm</t>
      </text>
    </comment>
    <comment ref="J53" authorId="0" shapeId="0">
      <text>
        <t>Form 10-Q (period ended 2022-03-31; acc. 0001770450-22-000020, xrx-20220331.htm), Xerox Holdings Condensed Consolidated Balance Sheets (XBRL R4.htm), as of March 31, 2022: Convertible preferred stock = 214. https://www.sec.gov/Archives/edgar/data/1770450/000177045022000020/xrx-20220331.htm</t>
      </text>
    </comment>
    <comment ref="K53" authorId="0" shapeId="0">
      <text>
        <t>Form 10-Q (period ended 2022-06-30; acc. 0001770450-22-000030, xrx-20220630.htm), Xerox Holdings Condensed Consolidated Balance Sheets (XBRL R4.htm), as of June 30, 2022: Convertible preferred stock = 214. https://www.sec.gov/Archives/edgar/data/1770450/000177045022000030/xrx-20220630.htm</t>
      </text>
    </comment>
    <comment ref="L53" authorId="0" shapeId="0">
      <text>
        <t>Form 10-Q (period ended 2022-09-30; acc. 0001770450-22-000041, xrx-20220930.htm), Xerox Holdings Condensed Consolidated Balance Sheets (XBRL R4.htm), as of September 30, 2022: Convertible preferred stock = 214. https://www.sec.gov/Archives/edgar/data/1770450/000177045022000041/xrx-20220930.htm</t>
      </text>
    </comment>
    <comment ref="M53" authorId="0" shapeId="0">
      <text>
        <t>Form 10-K (period ended 2022-12-31; acc. 0001770450-23-000011, xrx-20221231.htm), Xerox Holdings Condensed Consolidated Balance Sheets (XBRL R5.htm), as of December 31, 2022: Convertible preferred stock = 214. https://www.sec.gov/Archives/edgar/data/1770450/000177045023000011/xrx-20221231.htm</t>
      </text>
    </comment>
    <comment ref="N53" authorId="0" shapeId="0">
      <text>
        <t>Form 10-Q (period ended 2023-03-31; acc. 0001770450-23-000032, xrx-20230331.htm), Xerox Holdings Condensed Consolidated Balance Sheets (XBRL R4.htm), as of March 31, 2023: Convertible preferred stock = 214. https://www.sec.gov/Archives/edgar/data/1770450/000177045023000032/xrx-20230331.htm</t>
      </text>
    </comment>
    <comment ref="O53" authorId="0" shapeId="0">
      <text>
        <t>Form 10-Q (period ended 2023-06-30; acc. 0001770450-23-000042, xrx-20230630.htm), Xerox Holdings Condensed Consolidated Balance Sheets (XBRL R4.htm), as of June 30, 2023: Convertible preferred stock = 214. https://www.sec.gov/Archives/edgar/data/1770450/000177045023000042/xrx-20230630.htm</t>
      </text>
    </comment>
    <comment ref="P53" authorId="0" shapeId="0">
      <text>
        <t>Form 10-Q (period ended 2023-09-30; acc. 0001770450-23-000050, xrx-20230930.htm), Xerox Holdings Condensed Consolidated Balance Sheets (XBRL R4.htm), as of September 30, 2023: Convertible preferred stock = 214. https://www.sec.gov/Archives/edgar/data/1770450/000177045023000050/xrx-20230930.htm</t>
      </text>
    </comment>
    <comment ref="Q53" authorId="0" shapeId="0">
      <text>
        <t>Form 10-K (period ended 2023-12-31; acc. 0001770450-24-000012, xrx-20231231.htm), Xerox Holdings Condensed Consolidated Balance Sheets (XBRL R5.htm), as of December 31, 2023: Convertible preferred stock = 214. https://www.sec.gov/Archives/edgar/data/1770450/000177045024000012/xrx-20231231.htm</t>
      </text>
    </comment>
    <comment ref="R53" authorId="0" shapeId="0">
      <text>
        <t>Form 10-Q (period ended 2024-03-31; acc. 0001770450-24-000031, xrx-20240331.htm), Xerox Holdings Condensed Consolidated Balance Sheets (XBRL R4.htm), as of March 31, 2024: Convertible preferred stock = 214. https://www.sec.gov/Archives/edgar/data/1770450/000177045024000031/xrx-20240331.htm</t>
      </text>
    </comment>
    <comment ref="S53" authorId="0" shapeId="0">
      <text>
        <t>Form 10-Q (period ended 2024-06-30; acc. 0001770450-24-000042, xrx-20240630.htm), Xerox Holdings Condensed Consolidated Balance Sheets (XBRL R4.htm), as of June 30, 2024: Convertible preferred stock = 214. https://www.sec.gov/Archives/edgar/data/1770450/000177045024000042/xrx-20240630.htm</t>
      </text>
    </comment>
    <comment ref="T53" authorId="0" shapeId="0">
      <text>
        <t>Form 10-Q (period ended 2024-09-30; acc. 0001770450-24-000050, xrx-20240930.htm), Xerox Holdings Condensed Consolidated Balance Sheets (XBRL R4.htm), as of September 30, 2024: Convertible preferred stock = 214. https://www.sec.gov/Archives/edgar/data/1770450/000177045024000050/xrx-20240930.htm</t>
      </text>
    </comment>
    <comment ref="U53" authorId="0" shapeId="0">
      <text>
        <t>Form 10-K (period ended 2024-12-31; acc. 0001770450-25-000010, xrx-20241231.htm), Xerox Holdings Condensed Consolidated Balance Sheets (XBRL R5.htm), as of December 31, 2024: Convertible preferred stock = 214. https://www.sec.gov/Archives/edgar/data/1770450/000177045025000010/xrx-20241231.htm</t>
      </text>
    </comment>
    <comment ref="V53" authorId="0" shapeId="0">
      <text>
        <t>Form 10-Q (period ended 2025-03-31; acc. 0001770450-25-000026, xrx-20250331.htm), Xerox Holdings Condensed Consolidated Balance Sheets (XBRL R4.htm), as of March 31, 2025: Convertible preferred stock = 214. https://www.sec.gov/Archives/edgar/data/1770450/000177045025000026/xrx-20250331.htm</t>
      </text>
    </comment>
    <comment ref="W53" authorId="0" shapeId="0">
      <text>
        <t>Form 10-Q (period ended 2025-06-30; acc. 0001628280-25-038980, xrx-20250630.htm), Xerox Holdings Condensed Consolidated Balance Sheets (XBRL R4.htm), as of June 30, 2025: Convertible preferred stock = 214. https://www.sec.gov/Archives/edgar/data/1770450/000162828025038980/xrx-20250630.htm</t>
      </text>
    </comment>
    <comment ref="X53" authorId="0" shapeId="0">
      <text>
        <t>Form 10-Q (period ended 2025-09-30; acc. 0001770450-25-000037, xrx-20250930.htm), Xerox Holdings Condensed Consolidated Balance Sheets (XBRL R4.htm), as of September 30, 2025: Convertible preferred stock = 214. https://www.sec.gov/Archives/edgar/data/1770450/000177045025000037/xrx-20250930.htm</t>
      </text>
    </comment>
    <comment ref="Y53" authorId="0" shapeId="0">
      <text>
        <t>Form 10-K (period ended 2025-12-31; acc. 0001770450-26-000009, xrx-20251231.htm), Xerox Holdings Condensed Consolidated Balance Sheets (XBRL R5.htm), as of December 31, 2025: Convertible preferred stock = 214. https://www.sec.gov/Archives/edgar/data/1770450/000177045026000009/xrx-20251231.htm</t>
      </text>
    </comment>
    <comment ref="Z53" authorId="0" shapeId="0">
      <text>
        <t>Form 10-Q (period ended 2026-03-31; acc. 0001770450-26-000030, xrx-20260331.htm), Xerox Holdings Condensed Consolidated Balance Sheets (XBRL R4.htm), as of March 31, 2026: Convertible preferred stock = 214. https://www.sec.gov/Archives/edgar/data/1770450/000177045026000030/xrx-20260331.htm</t>
      </text>
    </comment>
    <comment ref="AA53" authorId="0" shapeId="0">
      <text>
        <t>Form 10-Q (period ended 2026-06-30; acc. 0001770450-26-000040, xrx-20260630.htm), Xerox Holdings Condensed Consolidated Balance Sheets (XBRL R4.htm), as of June 30, 2026: Convertible preferred stock = 214. https://www.sec.gov/Archives/edgar/data/1770450/000177045026000040/xrx-20260630.htm</t>
      </text>
    </comment>
    <comment ref="F55" authorId="0" shapeId="0">
      <text>
        <t>Form 10-Q (period ended 2021-03-31; acc. 0001770450-21-000025, xrx-20210331.htm), Xerox Holdings Condensed Consolidated Balance Sheets (XBRL R4.htm), as of March 31, 2021: Common stock = 199. https://www.sec.gov/Archives/edgar/data/1770450/000177045021000025/xrx-20210331.htm</t>
      </text>
    </comment>
    <comment ref="G55" authorId="0" shapeId="0">
      <text>
        <t>Form 10-Q (period ended 2021-06-30; acc. 0001770450-21-000036, xrx-20210630.htm), Xerox Holdings Condensed Consolidated Balance Sheets (XBRL R4.htm), as of June 30, 2021: Common stock = 189. https://www.sec.gov/Archives/edgar/data/1770450/000177045021000036/xrx-20210630.htm</t>
      </text>
    </comment>
    <comment ref="H55" authorId="0" shapeId="0">
      <text>
        <t>Form 10-Q (period ended 2021-09-30; acc. 0001770450-21-000050, xrx-20210930.htm), Xerox Holdings Condensed Consolidated Balance Sheets (XBRL R4.htm), as of September 30, 2021: Common stock = 182. https://www.sec.gov/Archives/edgar/data/1770450/000177045021000050/xrx-20210930.htm</t>
      </text>
    </comment>
    <comment ref="I55" authorId="0" shapeId="0">
      <text>
        <t>Form 10-K (period ended 2021-12-31; acc. 0001770450-22-000010, xrx-20211231.htm), Xerox Holdings Condensed Consolidated Balance Sheets (XBRL R5.htm), as of December 31, 2021: Common stock = 168. https://www.sec.gov/Archives/edgar/data/1770450/000177045022000010/xrx-20211231.htm</t>
      </text>
    </comment>
    <comment ref="J55" authorId="0" shapeId="0">
      <text>
        <t>Form 10-Q (period ended 2022-03-31; acc. 0001770450-22-000020, xrx-20220331.htm), Xerox Holdings Condensed Consolidated Balance Sheets (XBRL R4.htm), as of March 31, 2022: Common stock = 156. https://www.sec.gov/Archives/edgar/data/1770450/000177045022000020/xrx-20220331.htm</t>
      </text>
    </comment>
    <comment ref="K55" authorId="0" shapeId="0">
      <text>
        <t>Form 10-Q (period ended 2022-06-30; acc. 0001770450-22-000030, xrx-20220630.htm), Xerox Holdings Condensed Consolidated Balance Sheets (XBRL R4.htm), as of June 30, 2022: Common stock = 155. https://www.sec.gov/Archives/edgar/data/1770450/000177045022000030/xrx-20220630.htm</t>
      </text>
    </comment>
    <comment ref="L55" authorId="0" shapeId="0">
      <text>
        <t>Form 10-Q (period ended 2022-09-30; acc. 0001770450-22-000041, xrx-20220930.htm), Xerox Holdings Condensed Consolidated Balance Sheets (XBRL R4.htm), as of September 30, 2022: Common stock = 156. https://www.sec.gov/Archives/edgar/data/1770450/000177045022000041/xrx-20220930.htm</t>
      </text>
    </comment>
    <comment ref="M55" authorId="0" shapeId="0">
      <text>
        <t>Form 10-K (period ended 2022-12-31; acc. 0001770450-23-000011, xrx-20221231.htm), Xerox Holdings Condensed Consolidated Balance Sheets (XBRL R5.htm), as of December 31, 2022: Common stock = 156. https://www.sec.gov/Archives/edgar/data/1770450/000177045023000011/xrx-20221231.htm</t>
      </text>
    </comment>
    <comment ref="N55" authorId="0" shapeId="0">
      <text>
        <t>Form 10-Q (period ended 2023-03-31; acc. 0001770450-23-000032, xrx-20230331.htm), Xerox Holdings Condensed Consolidated Balance Sheets (XBRL R4.htm), as of March 31, 2023: Common stock = 157. https://www.sec.gov/Archives/edgar/data/1770450/000177045023000032/xrx-20230331.htm</t>
      </text>
    </comment>
    <comment ref="O55" authorId="0" shapeId="0">
      <text>
        <t>Form 10-Q (period ended 2023-06-30; acc. 0001770450-23-000042, xrx-20230630.htm), Xerox Holdings Condensed Consolidated Balance Sheets (XBRL R4.htm), as of June 30, 2023: Common stock = 157. https://www.sec.gov/Archives/edgar/data/1770450/000177045023000042/xrx-20230630.htm</t>
      </text>
    </comment>
    <comment ref="P55" authorId="0" shapeId="0">
      <text>
        <t>Form 10-Q (period ended 2023-09-30; acc. 0001770450-23-000050, xrx-20230930.htm), Xerox Holdings Condensed Consolidated Balance Sheets (XBRL R4.htm), as of September 30, 2023: Common stock = 157. https://www.sec.gov/Archives/edgar/data/1770450/000177045023000050/xrx-20230930.htm</t>
      </text>
    </comment>
    <comment ref="Q55" authorId="0" shapeId="0">
      <text>
        <t>Form 10-K (period ended 2023-12-31; acc. 0001770450-24-000012, xrx-20231231.htm), Xerox Holdings Condensed Consolidated Balance Sheets (XBRL R5.htm), as of December 31, 2023: Common stock = 123. https://www.sec.gov/Archives/edgar/data/1770450/000177045024000012/xrx-20231231.htm</t>
      </text>
    </comment>
    <comment ref="R55" authorId="0" shapeId="0">
      <text>
        <t>Form 10-Q (period ended 2024-03-31; acc. 0001770450-24-000031, xrx-20240331.htm), Xerox Holdings Condensed Consolidated Balance Sheets (XBRL R4.htm), as of March 31, 2024: Common stock = 124. https://www.sec.gov/Archives/edgar/data/1770450/000177045024000031/xrx-20240331.htm</t>
      </text>
    </comment>
    <comment ref="S55" authorId="0" shapeId="0">
      <text>
        <t>Form 10-Q (period ended 2024-06-30; acc. 0001770450-24-000042, xrx-20240630.htm), Xerox Holdings Condensed Consolidated Balance Sheets (XBRL R4.htm), as of June 30, 2024: Common stock = 124. https://www.sec.gov/Archives/edgar/data/1770450/000177045024000042/xrx-20240630.htm</t>
      </text>
    </comment>
    <comment ref="T55" authorId="0" shapeId="0">
      <text>
        <t>Form 10-Q (period ended 2024-09-30; acc. 0001770450-24-000050, xrx-20240930.htm), Xerox Holdings Condensed Consolidated Balance Sheets (XBRL R4.htm), as of September 30, 2024: Common stock = 124. https://www.sec.gov/Archives/edgar/data/1770450/000177045024000050/xrx-20240930.htm</t>
      </text>
    </comment>
    <comment ref="U55" authorId="0" shapeId="0">
      <text>
        <t>Form 10-K (period ended 2024-12-31; acc. 0001770450-25-000010, xrx-20241231.htm), Xerox Holdings Condensed Consolidated Balance Sheets (XBRL R5.htm), as of December 31, 2024: Common stock = 124. https://www.sec.gov/Archives/edgar/data/1770450/000177045025000010/xrx-20241231.htm</t>
      </text>
    </comment>
    <comment ref="V55" authorId="0" shapeId="0">
      <text>
        <t>Form 10-Q (period ended 2025-03-31; acc. 0001770450-25-000026, xrx-20250331.htm), Xerox Holdings Condensed Consolidated Balance Sheets (XBRL R4.htm), as of March 31, 2025: Common stock = 126. https://www.sec.gov/Archives/edgar/data/1770450/000177045025000026/xrx-20250331.htm</t>
      </text>
    </comment>
    <comment ref="W55" authorId="0" shapeId="0">
      <text>
        <t>Form 10-Q (period ended 2025-06-30; acc. 0001628280-25-038980, xrx-20250630.htm), Xerox Holdings Condensed Consolidated Balance Sheets (XBRL R4.htm), as of June 30, 2025: Common stock = 126. https://www.sec.gov/Archives/edgar/data/1770450/000162828025038980/xrx-20250630.htm</t>
      </text>
    </comment>
    <comment ref="X55" authorId="0" shapeId="0">
      <text>
        <t>Form 10-Q (period ended 2025-09-30; acc. 0001770450-25-000037, xrx-20250930.htm), Xerox Holdings Condensed Consolidated Balance Sheets (XBRL R4.htm), as of September 30, 2025: Common stock = 128. https://www.sec.gov/Archives/edgar/data/1770450/000177045025000037/xrx-20250930.htm</t>
      </text>
    </comment>
    <comment ref="Y55" authorId="0" shapeId="0">
      <text>
        <t>Form 10-K (period ended 2025-12-31; acc. 0001770450-26-000009, xrx-20251231.htm), Xerox Holdings Condensed Consolidated Balance Sheets (XBRL R5.htm), as of December 31, 2025: Common stock = 128. https://www.sec.gov/Archives/edgar/data/1770450/000177045026000009/xrx-20251231.htm</t>
      </text>
    </comment>
    <comment ref="Z55" authorId="0" shapeId="0">
      <text>
        <t>Form 10-Q (period ended 2026-03-31; acc. 0001770450-26-000030, xrx-20260331.htm), Xerox Holdings Condensed Consolidated Balance Sheets (XBRL R4.htm), as of March 31, 2026: Common stock = 131. https://www.sec.gov/Archives/edgar/data/1770450/000177045026000030/xrx-20260331.htm</t>
      </text>
    </comment>
    <comment ref="AA55" authorId="0" shapeId="0">
      <text>
        <t>Form 10-Q (period ended 2026-06-30; acc. 0001770450-26-000040, xrx-20260630.htm), Xerox Holdings Condensed Consolidated Balance Sheets (XBRL R4.htm), as of June 30, 2026: Common stock = 131. https://www.sec.gov/Archives/edgar/data/1770450/000177045026000040/xrx-20260630.htm</t>
      </text>
    </comment>
    <comment ref="F56" authorId="0" shapeId="0">
      <text>
        <t>Form 10-Q (period ended 2021-03-31; acc. 0001770450-21-000025, xrx-20210331.htm), Xerox Holdings Condensed Consolidated Balance Sheets (XBRL R4.htm), as of March 31, 2021: Additional paid-in capital = 2,456. https://www.sec.gov/Archives/edgar/data/1770450/000177045021000025/xrx-20210331.htm</t>
      </text>
    </comment>
    <comment ref="G56" authorId="0" shapeId="0">
      <text>
        <t>Form 10-Q (period ended 2021-06-30; acc. 0001770450-21-000036, xrx-20210630.htm), Xerox Holdings Condensed Consolidated Balance Sheets (XBRL R4.htm), as of June 30, 2021: Additional paid-in capital = 2,214. https://www.sec.gov/Archives/edgar/data/1770450/000177045021000036/xrx-20210630.htm</t>
      </text>
    </comment>
    <comment ref="H56" authorId="0" shapeId="0">
      <text>
        <t>Form 10-Q (period ended 2021-09-30; acc. 0001770450-21-000050, xrx-20210930.htm), Xerox Holdings Condensed Consolidated Balance Sheets (XBRL R4.htm), as of September 30, 2021: Additional paid-in capital = 2,080. https://www.sec.gov/Archives/edgar/data/1770450/000177045021000050/xrx-20210930.htm</t>
      </text>
    </comment>
    <comment ref="I56" authorId="0" shapeId="0">
      <text>
        <t>Form 10-K (period ended 2021-12-31; acc. 0001770450-22-000010, xrx-20211231.htm), Xerox Holdings Condensed Consolidated Balance Sheets (XBRL R5.htm), as of December 31, 2021: Additional paid-in capital = 1,802. https://www.sec.gov/Archives/edgar/data/1770450/000177045022000010/xrx-20211231.htm</t>
      </text>
    </comment>
    <comment ref="J56" authorId="0" shapeId="0">
      <text>
        <t>Form 10-Q (period ended 2022-03-31; acc. 0001770450-22-000020, xrx-20220331.htm), Xerox Holdings Condensed Consolidated Balance Sheets (XBRL R4.htm), as of March 31, 2022: Additional paid-in capital = 1,560. https://www.sec.gov/Archives/edgar/data/1770450/000177045022000020/xrx-20220331.htm</t>
      </text>
    </comment>
    <comment ref="K56" authorId="0" shapeId="0">
      <text>
        <t>Form 10-Q (period ended 2022-06-30; acc. 0001770450-22-000030, xrx-20220630.htm), Xerox Holdings Condensed Consolidated Balance Sheets (XBRL R4.htm), as of June 30, 2022: Additional paid-in capital = 1,564. https://www.sec.gov/Archives/edgar/data/1770450/000177045022000030/xrx-20220630.htm</t>
      </text>
    </comment>
    <comment ref="L56" authorId="0" shapeId="0">
      <text>
        <t>Form 10-Q (period ended 2022-09-30; acc. 0001770450-22-000041, xrx-20220930.htm), Xerox Holdings Condensed Consolidated Balance Sheets (XBRL R4.htm), as of September 30, 2022: Additional paid-in capital = 1,577. https://www.sec.gov/Archives/edgar/data/1770450/000177045022000041/xrx-20220930.htm</t>
      </text>
    </comment>
    <comment ref="M56" authorId="0" shapeId="0">
      <text>
        <t>Form 10-K (period ended 2022-12-31; acc. 0001770450-23-000011, xrx-20221231.htm), Xerox Holdings Condensed Consolidated Balance Sheets (XBRL R5.htm), as of December 31, 2022: Additional paid-in capital = 1,588. https://www.sec.gov/Archives/edgar/data/1770450/000177045023000011/xrx-20221231.htm</t>
      </text>
    </comment>
    <comment ref="N56" authorId="0" shapeId="0">
      <text>
        <t>Form 10-Q (period ended 2023-03-31; acc. 0001770450-23-000032, xrx-20230331.htm), Xerox Holdings Condensed Consolidated Balance Sheets (XBRL R4.htm), as of March 31, 2023: Additional paid-in capital = 1,594. https://www.sec.gov/Archives/edgar/data/1770450/000177045023000032/xrx-20230331.htm</t>
      </text>
    </comment>
    <comment ref="O56" authorId="0" shapeId="0">
      <text>
        <t>Form 10-Q (period ended 2023-06-30; acc. 0001770450-23-000042, xrx-20230630.htm), Xerox Holdings Condensed Consolidated Balance Sheets (XBRL R4.htm), as of June 30, 2023: Additional paid-in capital = 1,607. https://www.sec.gov/Archives/edgar/data/1770450/000177045023000042/xrx-20230630.htm</t>
      </text>
    </comment>
    <comment ref="P56" authorId="0" shapeId="0">
      <text>
        <t>Form 10-Q (period ended 2023-09-30; acc. 0001770450-23-000050, xrx-20230930.htm), Xerox Holdings Condensed Consolidated Balance Sheets (XBRL R4.htm), as of September 30, 2023: Additional paid-in capital = 1,619. https://www.sec.gov/Archives/edgar/data/1770450/000177045023000050/xrx-20230930.htm</t>
      </text>
    </comment>
    <comment ref="Q56" authorId="0" shapeId="0">
      <text>
        <t>Form 10-K (period ended 2023-12-31; acc. 0001770450-24-000012, xrx-20231231.htm), Xerox Holdings Condensed Consolidated Balance Sheets (XBRL R5.htm), as of December 31, 2023: Additional paid-in capital = 1,114. https://www.sec.gov/Archives/edgar/data/1770450/000177045024000012/xrx-20231231.htm</t>
      </text>
    </comment>
    <comment ref="R56" authorId="0" shapeId="0">
      <text>
        <t>Form 10-Q (period ended 2024-03-31; acc. 0001770450-24-000031, xrx-20240331.htm), Xerox Holdings Condensed Consolidated Balance Sheets (XBRL R4.htm), as of March 31, 2024: Additional paid-in capital = 1,099. https://www.sec.gov/Archives/edgar/data/1770450/000177045024000031/xrx-20240331.htm</t>
      </text>
    </comment>
    <comment ref="S56" authorId="0" shapeId="0">
      <text>
        <t>Form 10-Q (period ended 2024-06-30; acc. 0001770450-24-000042, xrx-20240630.htm), Xerox Holdings Condensed Consolidated Balance Sheets (XBRL R4.htm), as of June 30, 2024: Additional paid-in capital = 1,114. https://www.sec.gov/Archives/edgar/data/1770450/000177045024000042/xrx-20240630.htm</t>
      </text>
    </comment>
    <comment ref="T56" authorId="0" shapeId="0">
      <text>
        <t>Form 10-Q (period ended 2024-09-30; acc. 0001770450-24-000050, xrx-20240930.htm), Xerox Holdings Condensed Consolidated Balance Sheets (XBRL R4.htm), as of September 30, 2024: Additional paid-in capital = 1,123. https://www.sec.gov/Archives/edgar/data/1770450/000177045024000050/xrx-20240930.htm</t>
      </text>
    </comment>
    <comment ref="U56" authorId="0" shapeId="0">
      <text>
        <t>Form 10-K (period ended 2024-12-31; acc. 0001770450-25-000010, xrx-20241231.htm), Xerox Holdings Condensed Consolidated Balance Sheets (XBRL R5.htm), as of December 31, 2024: Additional paid-in capital = 1,137. https://www.sec.gov/Archives/edgar/data/1770450/000177045025000010/xrx-20241231.htm</t>
      </text>
    </comment>
    <comment ref="V56" authorId="0" shapeId="0">
      <text>
        <t>Form 10-Q (period ended 2025-03-31; acc. 0001770450-25-000026, xrx-20250331.htm), Xerox Holdings Condensed Consolidated Balance Sheets (XBRL R4.htm), as of March 31, 2025: Additional paid-in capital = 1,141. https://www.sec.gov/Archives/edgar/data/1770450/000177045025000026/xrx-20250331.htm</t>
      </text>
    </comment>
    <comment ref="W56" authorId="0" shapeId="0">
      <text>
        <t>Form 10-Q (period ended 2025-06-30; acc. 0001628280-25-038980, xrx-20250630.htm), Xerox Holdings Condensed Consolidated Balance Sheets (XBRL R4.htm), as of June 30, 2025: Additional paid-in capital = 1,154. https://www.sec.gov/Archives/edgar/data/1770450/000162828025038980/xrx-20250630.htm</t>
      </text>
    </comment>
    <comment ref="X56" authorId="0" shapeId="0">
      <text>
        <t>Form 10-Q (period ended 2025-09-30; acc. 0001770450-25-000037, xrx-20250930.htm), Xerox Holdings Condensed Consolidated Balance Sheets (XBRL R4.htm), as of September 30, 2025: Additional paid-in capital = 1,171. https://www.sec.gov/Archives/edgar/data/1770450/000177045025000037/xrx-20250930.htm</t>
      </text>
    </comment>
    <comment ref="Y56" authorId="0" shapeId="0">
      <text>
        <t>Form 10-K (period ended 2025-12-31; acc. 0001770450-26-000009, xrx-20251231.htm), Xerox Holdings Condensed Consolidated Balance Sheets (XBRL R5.htm), as of December 31, 2025: Additional paid-in capital = 1,183. https://www.sec.gov/Archives/edgar/data/1770450/000177045026000009/xrx-20251231.htm</t>
      </text>
    </comment>
    <comment ref="Z56" authorId="0" shapeId="0">
      <text>
        <t>Form 10-Q (period ended 2026-03-31; acc. 0001770450-26-000030, xrx-20260331.htm), Xerox Holdings Condensed Consolidated Balance Sheets (XBRL R4.htm), as of March 31, 2026: Additional paid-in capital = 1,192. https://www.sec.gov/Archives/edgar/data/1770450/000177045026000030/xrx-20260331.htm</t>
      </text>
    </comment>
    <comment ref="AA56" authorId="0" shapeId="0">
      <text>
        <t>Form 10-Q (period ended 2026-06-30; acc. 0001770450-26-000040, xrx-20260630.htm), Xerox Holdings Condensed Consolidated Balance Sheets (XBRL R4.htm), as of June 30, 2026: Additional paid-in capital = 1,200. https://www.sec.gov/Archives/edgar/data/1770450/000177045026000040/xrx-20260630.htm</t>
      </text>
    </comment>
    <comment ref="F57" authorId="0" shapeId="0">
      <text>
        <t>Form 10-Q (period ended 2021-03-31; acc. 0001770450-21-000025, xrx-20210331.htm), Xerox Holdings Condensed Consolidated Balance Sheets (XBRL R4.htm), as of March 31, 2021: Treasury stock, at cost = -162. https://www.sec.gov/Archives/edgar/data/1770450/000177045021000025/xrx-20210331.htm</t>
      </text>
    </comment>
    <comment ref="G57" authorId="0" shapeId="0">
      <text>
        <t>Form 10-Q (period ended 2021-06-30; acc. 0001770450-21-000036, xrx-20210630.htm), Xerox Holdings Condensed Consolidated Balance Sheets (XBRL R4.htm), as of June 30, 2021: Treasury stock, at cost = -159. https://www.sec.gov/Archives/edgar/data/1770450/000177045021000036/xrx-20210630.htm</t>
      </text>
    </comment>
    <comment ref="H57" authorId="0" shapeId="0">
      <text>
        <t>Form 10-Q (period ended 2021-09-30; acc. 0001770450-21-000050, xrx-20210930.htm), Xerox Holdings Condensed Consolidated Balance Sheets (XBRL R4.htm), as of September 30, 2021: Treasury stock, at cost = -87. https://www.sec.gov/Archives/edgar/data/1770450/000177045021000050/xrx-20210930.htm</t>
      </text>
    </comment>
    <comment ref="I57" authorId="0" shapeId="0">
      <text>
        <t>Form 10-K (period ended 2021-12-31; acc. 0001770450-22-000010, xrx-20211231.htm), Xerox Holdings Condensed Consolidated Balance Sheets (XBRL R5.htm), as of December 31, 2021: Treasury stock, at cost = -177. https://www.sec.gov/Archives/edgar/data/1770450/000177045022000010/xrx-20211231.htm</t>
      </text>
    </comment>
    <comment ref="J57" authorId="0" shapeId="0">
      <text>
        <t>Form 10-Q (period ended 2022-03-31; acc. 0001770450-22-000020, xrx-20220331.htm), Xerox Holdings Condensed Consolidated Balance Sheets (XBRL R4.htm), as of March 31, 2022: Treasury stock, at cost = -32. https://www.sec.gov/Archives/edgar/data/1770450/000177045022000020/xrx-20220331.htm</t>
      </text>
    </comment>
    <comment ref="K57" authorId="0" shapeId="0">
      <text>
        <t>Form 10-Q (period ended 2022-06-30; acc. 0001770450-22-000030, xrx-20220630.htm), Xerox Holdings Condensed Consolidated Balance Sheets (XBRL R4.htm), as of June 30, 2022: Treasury stock, at cost = 0. https://www.sec.gov/Archives/edgar/data/1770450/000177045022000030/xrx-20220630.htm</t>
      </text>
    </comment>
    <comment ref="L57" authorId="0" shapeId="0">
      <text>
        <t>Form 10-Q (period ended 2022-09-30; acc. 0001770450-22-000041, xrx-20220930.htm), Xerox Holdings Condensed Consolidated Balance Sheets (XBRL R4.htm), as of September 30, 2022: Treasury stock, at cost = 0. https://www.sec.gov/Archives/edgar/data/1770450/000177045022000041/xrx-20220930.htm</t>
      </text>
    </comment>
    <comment ref="M57" authorId="0" shapeId="0">
      <text>
        <t>Form 10-K (period ended 2022-12-31; acc. 0001770450-23-000011, xrx-20221231.htm), Xerox Holdings Condensed Consolidated Balance Sheets (XBRL R5.htm), as of December 31, 2022: Treasury stock, at cost = 0. https://www.sec.gov/Archives/edgar/data/1770450/000177045023000011/xrx-20221231.htm</t>
      </text>
    </comment>
    <comment ref="N57" authorId="0" shapeId="0">
      <text>
        <t>Form 10-Q (period ended 2023-03-31; acc. 0001770450-23-000032, xrx-20230331.htm), Xerox Holdings Condensed Consolidated Balance Sheets (XBRL R4.htm), as of March 31, 2023: Treasury stock, at cost = 0. https://www.sec.gov/Archives/edgar/data/1770450/000177045023000032/xrx-20230331.htm Line not presented in this filing; zero.</t>
      </text>
    </comment>
    <comment ref="O57" authorId="0" shapeId="0">
      <text>
        <t>Form 10-Q (period ended 2023-06-30; acc. 0001770450-23-000042, xrx-20230630.htm), Xerox Holdings Condensed Consolidated Balance Sheets (XBRL R4.htm), as of June 30, 2023: Treasury stock, at cost = 0. https://www.sec.gov/Archives/edgar/data/1770450/000177045023000042/xrx-20230630.htm Line not presented in this filing; zero.</t>
      </text>
    </comment>
    <comment ref="P57" authorId="0" shapeId="0">
      <text>
        <t>Form 10-Q (period ended 2023-09-30; acc. 0001770450-23-000050, xrx-20230930.htm), Xerox Holdings Condensed Consolidated Balance Sheets (XBRL R4.htm), as of September 30, 2023: Treasury stock, at cost = -553. https://www.sec.gov/Archives/edgar/data/1770450/000177045023000050/xrx-20230930.htm</t>
      </text>
    </comment>
    <comment ref="Q57" authorId="0" shapeId="0">
      <text>
        <t>Form 10-K (period ended 2023-12-31; acc. 0001770450-24-000012, xrx-20231231.htm), Xerox Holdings Condensed Consolidated Balance Sheets (XBRL R5.htm), as of December 31, 2023: Treasury stock, at cost = 0. https://www.sec.gov/Archives/edgar/data/1770450/000177045024000012/xrx-20231231.htm Line not presented in this filing; zero.</t>
      </text>
    </comment>
    <comment ref="R57" authorId="0" shapeId="0">
      <text>
        <t>Form 10-Q (period ended 2024-03-31; acc. 0001770450-24-000031, xrx-20240331.htm), Xerox Holdings Condensed Consolidated Balance Sheets (XBRL R4.htm), as of March 31, 2024: Treasury stock, at cost = 0. https://www.sec.gov/Archives/edgar/data/1770450/000177045024000031/xrx-20240331.htm Line not presented in this filing; zero.</t>
      </text>
    </comment>
    <comment ref="S57" authorId="0" shapeId="0">
      <text>
        <t>Form 10-Q (period ended 2024-06-30; acc. 0001770450-24-000042, xrx-20240630.htm), Xerox Holdings Condensed Consolidated Balance Sheets (XBRL R4.htm), as of June 30, 2024: Treasury stock, at cost = 0. https://www.sec.gov/Archives/edgar/data/1770450/000177045024000042/xrx-20240630.htm Line not presented in this filing; zero.</t>
      </text>
    </comment>
    <comment ref="T57" authorId="0" shapeId="0">
      <text>
        <t>Form 10-Q (period ended 2024-09-30; acc. 0001770450-24-000050, xrx-20240930.htm), Xerox Holdings Condensed Consolidated Balance Sheets (XBRL R4.htm), as of September 30, 2024: Treasury stock, at cost = 0. https://www.sec.gov/Archives/edgar/data/1770450/000177045024000050/xrx-20240930.htm Line not presented in this filing; zero.</t>
      </text>
    </comment>
    <comment ref="U57" authorId="0" shapeId="0">
      <text>
        <t>Form 10-K (period ended 2024-12-31; acc. 0001770450-25-000010, xrx-20241231.htm), Xerox Holdings Condensed Consolidated Balance Sheets (XBRL R5.htm), as of December 31, 2024: Treasury stock, at cost = 0. https://www.sec.gov/Archives/edgar/data/1770450/000177045025000010/xrx-20241231.htm Line not presented in this filing; zero.</t>
      </text>
    </comment>
    <comment ref="V57" authorId="0" shapeId="0">
      <text>
        <t>Form 10-Q (period ended 2025-03-31; acc. 0001770450-25-000026, xrx-20250331.htm), Xerox Holdings Condensed Consolidated Balance Sheets (XBRL R4.htm), as of March 31, 2025: Treasury stock, at cost = 0. https://www.sec.gov/Archives/edgar/data/1770450/000177045025000026/xrx-20250331.htm Line not presented in this filing; zero.</t>
      </text>
    </comment>
    <comment ref="W57" authorId="0" shapeId="0">
      <text>
        <t>Form 10-Q (period ended 2025-06-30; acc. 0001628280-25-038980, xrx-20250630.htm), Xerox Holdings Condensed Consolidated Balance Sheets (XBRL R4.htm), as of June 30, 2025: Treasury stock, at cost = 0. https://www.sec.gov/Archives/edgar/data/1770450/000162828025038980/xrx-20250630.htm Line not presented in this filing; zero.</t>
      </text>
    </comment>
    <comment ref="X57" authorId="0" shapeId="0">
      <text>
        <t>Form 10-Q (period ended 2025-09-30; acc. 0001770450-25-000037, xrx-20250930.htm), Xerox Holdings Condensed Consolidated Balance Sheets (XBRL R4.htm), as of September 30, 2025: Treasury stock, at cost = 0. https://www.sec.gov/Archives/edgar/data/1770450/000177045025000037/xrx-20250930.htm Line not presented in this filing; zero.</t>
      </text>
    </comment>
    <comment ref="Y57" authorId="0" shapeId="0">
      <text>
        <t>Form 10-K (period ended 2025-12-31; acc. 0001770450-26-000009, xrx-20251231.htm), Xerox Holdings Condensed Consolidated Balance Sheets (XBRL R5.htm), as of December 31, 2025: Treasury stock, at cost = 0. https://www.sec.gov/Archives/edgar/data/1770450/000177045026000009/xrx-20251231.htm Line not presented in this filing; zero.</t>
      </text>
    </comment>
    <comment ref="Z57" authorId="0" shapeId="0">
      <text>
        <t>Form 10-Q (period ended 2026-03-31; acc. 0001770450-26-000030, xrx-20260331.htm), Xerox Holdings Condensed Consolidated Balance Sheets (XBRL R4.htm), as of March 31, 2026: Treasury stock, at cost = 0. https://www.sec.gov/Archives/edgar/data/1770450/000177045026000030/xrx-20260331.htm Line not presented in this filing; zero.</t>
      </text>
    </comment>
    <comment ref="AA57" authorId="0" shapeId="0">
      <text>
        <t>Form 10-Q (period ended 2026-06-30; acc. 0001770450-26-000040, xrx-20260630.htm), Xerox Holdings Condensed Consolidated Balance Sheets (XBRL R4.htm), as of June 30, 2026: Treasury stock, at cost = 0. https://www.sec.gov/Archives/edgar/data/1770450/000177045026000040/xrx-20260630.htm Line not presented in this filing; zero.</t>
      </text>
    </comment>
    <comment ref="F58" authorId="0" shapeId="0">
      <text>
        <t>Form 10-Q (period ended 2021-03-31; acc. 0001770450-21-000025, xrx-20210331.htm), Xerox Holdings Condensed Consolidated Balance Sheets (XBRL R4.htm), as of March 31, 2021: Retained earnings = 6,267. https://www.sec.gov/Archives/edgar/data/1770450/000177045021000025/xrx-20210331.htm</t>
      </text>
    </comment>
    <comment ref="G58" authorId="0" shapeId="0">
      <text>
        <t>Form 10-Q (period ended 2021-06-30; acc. 0001770450-21-000036, xrx-20210630.htm), Xerox Holdings Condensed Consolidated Balance Sheets (XBRL R4.htm), as of June 30, 2021: Retained earnings = 6,308. https://www.sec.gov/Archives/edgar/data/1770450/000177045021000036/xrx-20210630.htm</t>
      </text>
    </comment>
    <comment ref="H58" authorId="0" shapeId="0">
      <text>
        <t>Form 10-Q (period ended 2021-09-30; acc. 0001770450-21-000050, xrx-20210930.htm), Xerox Holdings Condensed Consolidated Balance Sheets (XBRL R4.htm), as of September 30, 2021: Retained earnings = 6,348. https://www.sec.gov/Archives/edgar/data/1770450/000177045021000050/xrx-20210930.htm</t>
      </text>
    </comment>
    <comment ref="I58" authorId="0" shapeId="0">
      <text>
        <t>Form 10-K (period ended 2021-12-31; acc. 0001770450-22-000010, xrx-20211231.htm), Xerox Holdings Condensed Consolidated Balance Sheets (XBRL R5.htm), as of December 31, 2021: Retained earnings = 5,631. https://www.sec.gov/Archives/edgar/data/1770450/000177045022000010/xrx-20211231.htm</t>
      </text>
    </comment>
    <comment ref="J58" authorId="0" shapeId="0">
      <text>
        <t>Form 10-Q (period ended 2022-03-31; acc. 0001770450-22-000020, xrx-20220331.htm), Xerox Holdings Condensed Consolidated Balance Sheets (XBRL R4.htm), as of March 31, 2022: Retained earnings = 5,532. https://www.sec.gov/Archives/edgar/data/1770450/000177045022000020/xrx-20220331.htm</t>
      </text>
    </comment>
    <comment ref="K58" authorId="0" shapeId="0">
      <text>
        <t>Form 10-Q (period ended 2022-06-30; acc. 0001770450-22-000030, xrx-20220630.htm), Xerox Holdings Condensed Consolidated Balance Sheets (XBRL R4.htm), as of June 30, 2022: Retained earnings = 5,484. https://www.sec.gov/Archives/edgar/data/1770450/000177045022000030/xrx-20220630.htm</t>
      </text>
    </comment>
    <comment ref="L58" authorId="0" shapeId="0">
      <text>
        <t>Form 10-Q (period ended 2022-09-30; acc. 0001770450-22-000041, xrx-20220930.htm), Xerox Holdings Condensed Consolidated Balance Sheets (XBRL R4.htm), as of September 30, 2022: Retained earnings = 5,057. https://www.sec.gov/Archives/edgar/data/1770450/000177045022000041/xrx-20220930.htm</t>
      </text>
    </comment>
    <comment ref="M58" authorId="0" shapeId="0">
      <text>
        <t>Form 10-K (period ended 2022-12-31; acc. 0001770450-23-000011, xrx-20221231.htm), Xerox Holdings Condensed Consolidated Balance Sheets (XBRL R5.htm), as of December 31, 2022: Retained earnings = 5,136. https://www.sec.gov/Archives/edgar/data/1770450/000177045023000011/xrx-20221231.htm</t>
      </text>
    </comment>
    <comment ref="N58" authorId="0" shapeId="0">
      <text>
        <t>Form 10-Q (period ended 2023-03-31; acc. 0001770450-23-000032, xrx-20230331.htm), Xerox Holdings Condensed Consolidated Balance Sheets (XBRL R4.htm), as of March 31, 2023: Retained earnings = 5,162. https://www.sec.gov/Archives/edgar/data/1770450/000177045023000032/xrx-20230331.htm</t>
      </text>
    </comment>
    <comment ref="O58" authorId="0" shapeId="0">
      <text>
        <t>Form 10-Q (period ended 2023-06-30; acc. 0001770450-23-000042, xrx-20230630.htm), Xerox Holdings Condensed Consolidated Balance Sheets (XBRL R4.htm), as of June 30, 2023: Retained earnings = 5,057. https://www.sec.gov/Archives/edgar/data/1770450/000177045023000042/xrx-20230630.htm</t>
      </text>
    </comment>
    <comment ref="P58" authorId="0" shapeId="0">
      <text>
        <t>Form 10-Q (period ended 2023-09-30; acc. 0001770450-23-000050, xrx-20230930.htm), Xerox Holdings Condensed Consolidated Balance Sheets (XBRL R4.htm), as of September 30, 2023: Retained earnings = 5,070. https://www.sec.gov/Archives/edgar/data/1770450/000177045023000050/xrx-20230930.htm</t>
      </text>
    </comment>
    <comment ref="Q58" authorId="0" shapeId="0">
      <text>
        <t>Form 10-K (period ended 2023-12-31; acc. 0001770450-24-000012, xrx-20231231.htm), Xerox Holdings Condensed Consolidated Balance Sheets (XBRL R5.htm), as of December 31, 2023: Retained earnings = 4,977. https://www.sec.gov/Archives/edgar/data/1770450/000177045024000012/xrx-20231231.htm</t>
      </text>
    </comment>
    <comment ref="R58" authorId="0" shapeId="0">
      <text>
        <t>Form 10-Q (period ended 2024-03-31; acc. 0001770450-24-000031, xrx-20240331.htm), Xerox Holdings Condensed Consolidated Balance Sheets (XBRL R4.htm), as of March 31, 2024: Retained earnings = 4,828. https://www.sec.gov/Archives/edgar/data/1770450/000177045024000031/xrx-20240331.htm</t>
      </text>
    </comment>
    <comment ref="S58" authorId="0" shapeId="0">
      <text>
        <t>Form 10-Q (period ended 2024-06-30; acc. 0001770450-24-000042, xrx-20240630.htm), Xerox Holdings Condensed Consolidated Balance Sheets (XBRL R4.htm), as of June 30, 2024: Retained earnings = 4,810. https://www.sec.gov/Archives/edgar/data/1770450/000177045024000042/xrx-20240630.htm</t>
      </text>
    </comment>
    <comment ref="T58" authorId="0" shapeId="0">
      <text>
        <t>Form 10-Q (period ended 2024-09-30; acc. 0001770450-24-000050, xrx-20240930.htm), Xerox Holdings Condensed Consolidated Balance Sheets (XBRL R4.htm), as of September 30, 2024: Retained earnings = 3,570. https://www.sec.gov/Archives/edgar/data/1770450/000177045024000050/xrx-20240930.htm</t>
      </text>
    </comment>
    <comment ref="U58" authorId="0" shapeId="0">
      <text>
        <t>Form 10-K (period ended 2024-12-31; acc. 0001770450-25-000010, xrx-20241231.htm), Xerox Holdings Condensed Consolidated Balance Sheets (XBRL R5.htm), as of December 31, 2024: Retained earnings = 3,514. https://www.sec.gov/Archives/edgar/data/1770450/000177045025000010/xrx-20241231.htm</t>
      </text>
    </comment>
    <comment ref="V58" authorId="0" shapeId="0">
      <text>
        <t>Form 10-Q (period ended 2025-03-31; acc. 0001770450-25-000026, xrx-20250331.htm), Xerox Holdings Condensed Consolidated Balance Sheets (XBRL R4.htm), as of March 31, 2025: Retained earnings = 3,403. https://www.sec.gov/Archives/edgar/data/1770450/000177045025000026/xrx-20250331.htm</t>
      </text>
    </comment>
    <comment ref="W58" authorId="0" shapeId="0">
      <text>
        <t>Form 10-Q (period ended 2025-06-30; acc. 0001628280-25-038980, xrx-20250630.htm), Xerox Holdings Condensed Consolidated Balance Sheets (XBRL R4.htm), as of June 30, 2025: Retained earnings = 3,290. https://www.sec.gov/Archives/edgar/data/1770450/000162828025038980/xrx-20250630.htm</t>
      </text>
    </comment>
    <comment ref="X58" authorId="0" shapeId="0">
      <text>
        <t>Form 10-Q (period ended 2025-09-30; acc. 0001770450-25-000037, xrx-20250930.htm), Xerox Holdings Condensed Consolidated Balance Sheets (XBRL R4.htm), as of September 30, 2025: Retained earnings = 2,523. https://www.sec.gov/Archives/edgar/data/1770450/000177045025000037/xrx-20250930.htm</t>
      </text>
    </comment>
    <comment ref="Y58" authorId="0" shapeId="0">
      <text>
        <t>Form 10-K (period ended 2025-12-31; acc. 0001770450-26-000009, xrx-20251231.htm), Xerox Holdings Condensed Consolidated Balance Sheets (XBRL R5.htm), as of December 31, 2025: Retained earnings = 2,444. https://www.sec.gov/Archives/edgar/data/1770450/000177045026000009/xrx-20251231.htm</t>
      </text>
    </comment>
    <comment ref="Z58" authorId="0" shapeId="0">
      <text>
        <t>Form 10-Q (period ended 2026-03-31; acc. 0001770450-26-000030, xrx-20260331.htm), Xerox Holdings Condensed Consolidated Balance Sheets (XBRL R4.htm), as of March 31, 2026: Retained earnings = 2,320. https://www.sec.gov/Archives/edgar/data/1770450/000177045026000030/xrx-20260331.htm</t>
      </text>
    </comment>
    <comment ref="AA58" authorId="0" shapeId="0">
      <text>
        <t>Form 10-Q (period ended 2026-06-30; acc. 0001770450-26-000040, xrx-20260630.htm), Xerox Holdings Condensed Consolidated Balance Sheets (XBRL R4.htm), as of June 30, 2026: Retained earnings = 2,326. https://www.sec.gov/Archives/edgar/data/1770450/000177045026000040/xrx-20260630.htm</t>
      </text>
    </comment>
    <comment ref="F59" authorId="0" shapeId="0">
      <text>
        <t>Form 10-Q (period ended 2021-03-31; acc. 0001770450-21-000025, xrx-20210331.htm), Xerox Holdings Condensed Consolidated Balance Sheets (XBRL R4.htm), as of March 31, 2021: Accumulated other comprehensive loss = -3,335. https://www.sec.gov/Archives/edgar/data/1770450/000177045021000025/xrx-20210331.htm</t>
      </text>
    </comment>
    <comment ref="G59" authorId="0" shapeId="0">
      <text>
        <t>Form 10-Q (period ended 2021-06-30; acc. 0001770450-21-000036, xrx-20210630.htm), Xerox Holdings Condensed Consolidated Balance Sheets (XBRL R4.htm), as of June 30, 2021: Accumulated other comprehensive loss = -3,265. https://www.sec.gov/Archives/edgar/data/1770450/000177045021000036/xrx-20210630.htm</t>
      </text>
    </comment>
    <comment ref="H59" authorId="0" shapeId="0">
      <text>
        <t>Form 10-Q (period ended 2021-09-30; acc. 0001770450-21-000050, xrx-20210930.htm), Xerox Holdings Condensed Consolidated Balance Sheets (XBRL R4.htm), as of September 30, 2021: Accumulated other comprehensive loss = -3,335. https://www.sec.gov/Archives/edgar/data/1770450/000177045021000050/xrx-20210930.htm</t>
      </text>
    </comment>
    <comment ref="I59" authorId="0" shapeId="0">
      <text>
        <t>Form 10-K (period ended 2021-12-31; acc. 0001770450-22-000010, xrx-20211231.htm), Xerox Holdings Condensed Consolidated Balance Sheets (XBRL R5.htm), as of December 31, 2021: Accumulated other comprehensive loss = -2,988. https://www.sec.gov/Archives/edgar/data/1770450/000177045022000010/xrx-20211231.htm</t>
      </text>
    </comment>
    <comment ref="J59" authorId="0" shapeId="0">
      <text>
        <t>Form 10-Q (period ended 2022-03-31; acc. 0001770450-22-000020, xrx-20220331.htm), Xerox Holdings Condensed Consolidated Balance Sheets (XBRL R4.htm), as of March 31, 2022: Accumulated other comprehensive loss = -3,032. https://www.sec.gov/Archives/edgar/data/1770450/000177045022000020/xrx-20220331.htm</t>
      </text>
    </comment>
    <comment ref="K59" authorId="0" shapeId="0">
      <text>
        <t>Form 10-Q (period ended 2022-06-30; acc. 0001770450-22-000030, xrx-20220630.htm), Xerox Holdings Condensed Consolidated Balance Sheets (XBRL R4.htm), as of June 30, 2022: Accumulated other comprehensive loss = -3,330. https://www.sec.gov/Archives/edgar/data/1770450/000177045022000030/xrx-20220630.htm</t>
      </text>
    </comment>
    <comment ref="L59" authorId="0" shapeId="0">
      <text>
        <t>Form 10-Q (period ended 2022-09-30; acc. 0001770450-22-000041, xrx-20220930.htm), Xerox Holdings Condensed Consolidated Balance Sheets (XBRL R4.htm), as of September 30, 2022: Accumulated other comprehensive loss = -3,547. https://www.sec.gov/Archives/edgar/data/1770450/000177045022000041/xrx-20220930.htm</t>
      </text>
    </comment>
    <comment ref="M59" authorId="0" shapeId="0">
      <text>
        <t>Form 10-K (period ended 2022-12-31; acc. 0001770450-23-000011, xrx-20221231.htm), Xerox Holdings Condensed Consolidated Balance Sheets (XBRL R5.htm), as of December 31, 2022: Accumulated other comprehensive loss = -3,537. https://www.sec.gov/Archives/edgar/data/1770450/000177045023000011/xrx-20221231.htm</t>
      </text>
    </comment>
    <comment ref="N59" authorId="0" shapeId="0">
      <text>
        <t>Form 10-Q (period ended 2023-03-31; acc. 0001770450-23-000032, xrx-20230331.htm), Xerox Holdings Condensed Consolidated Balance Sheets (XBRL R4.htm), as of March 31, 2023: Accumulated other comprehensive loss = -3,454. https://www.sec.gov/Archives/edgar/data/1770450/000177045023000032/xrx-20230331.htm</t>
      </text>
    </comment>
    <comment ref="O59" authorId="0" shapeId="0">
      <text>
        <t>Form 10-Q (period ended 2023-06-30; acc. 0001770450-23-000042, xrx-20230630.htm), Xerox Holdings Condensed Consolidated Balance Sheets (XBRL R4.htm), as of June 30, 2023: Accumulated other comprehensive loss = -3,437. https://www.sec.gov/Archives/edgar/data/1770450/000177045023000042/xrx-20230630.htm</t>
      </text>
    </comment>
    <comment ref="P59" authorId="0" shapeId="0">
      <text>
        <t>Form 10-Q (period ended 2023-09-30; acc. 0001770450-23-000050, xrx-20230930.htm), Xerox Holdings Condensed Consolidated Balance Sheets (XBRL R4.htm), as of September 30, 2023: Accumulated other comprehensive loss = -3,504. https://www.sec.gov/Archives/edgar/data/1770450/000177045023000050/xrx-20230930.htm</t>
      </text>
    </comment>
    <comment ref="Q59" authorId="0" shapeId="0">
      <text>
        <t>Form 10-K (period ended 2023-12-31; acc. 0001770450-24-000012, xrx-20231231.htm), Xerox Holdings Condensed Consolidated Balance Sheets (XBRL R5.htm), as of December 31, 2023: Accumulated other comprehensive loss = -3,676. https://www.sec.gov/Archives/edgar/data/1770450/000177045024000012/xrx-20231231.htm</t>
      </text>
    </comment>
    <comment ref="R59" authorId="0" shapeId="0">
      <text>
        <t>Form 10-Q (period ended 2024-03-31; acc. 0001770450-24-000031, xrx-20240331.htm), Xerox Holdings Condensed Consolidated Balance Sheets (XBRL R4.htm), as of March 31, 2024: Accumulated other comprehensive loss = -3,673. https://www.sec.gov/Archives/edgar/data/1770450/000177045024000031/xrx-20240331.htm</t>
      </text>
    </comment>
    <comment ref="S59" authorId="0" shapeId="0">
      <text>
        <t>Form 10-Q (period ended 2024-06-30; acc. 0001770450-24-000042, xrx-20240630.htm), Xerox Holdings Condensed Consolidated Balance Sheets (XBRL R4.htm), as of June 30, 2024: Accumulated other comprehensive loss = -3,687. https://www.sec.gov/Archives/edgar/data/1770450/000177045024000042/xrx-20240630.htm</t>
      </text>
    </comment>
    <comment ref="T59" authorId="0" shapeId="0">
      <text>
        <t>Form 10-Q (period ended 2024-09-30; acc. 0001770450-24-000050, xrx-20240930.htm), Xerox Holdings Condensed Consolidated Balance Sheets (XBRL R4.htm), as of September 30, 2024: Accumulated other comprehensive loss = -3,514. https://www.sec.gov/Archives/edgar/data/1770450/000177045024000050/xrx-20240930.htm</t>
      </text>
    </comment>
    <comment ref="U59" authorId="0" shapeId="0">
      <text>
        <t>Form 10-K (period ended 2024-12-31; acc. 0001770450-25-000010, xrx-20241231.htm), Xerox Holdings Condensed Consolidated Balance Sheets (XBRL R5.htm), as of December 31, 2024: Accumulated other comprehensive loss = -3,699. https://www.sec.gov/Archives/edgar/data/1770450/000177045025000010/xrx-20241231.htm</t>
      </text>
    </comment>
    <comment ref="V59" authorId="0" shapeId="0">
      <text>
        <t>Form 10-Q (period ended 2025-03-31; acc. 0001770450-25-000026, xrx-20250331.htm), Xerox Holdings Condensed Consolidated Balance Sheets (XBRL R4.htm), as of March 31, 2025: Accumulated other comprehensive loss = -3,617. https://www.sec.gov/Archives/edgar/data/1770450/000177045025000026/xrx-20250331.htm</t>
      </text>
    </comment>
    <comment ref="W59" authorId="0" shapeId="0">
      <text>
        <t>Form 10-Q (period ended 2025-06-30; acc. 0001628280-25-038980, xrx-20250630.htm), Xerox Holdings Condensed Consolidated Balance Sheets (XBRL R4.htm), as of June 30, 2025: Accumulated other comprehensive loss = -3,448. https://www.sec.gov/Archives/edgar/data/1770450/000162828025038980/xrx-20250630.htm</t>
      </text>
    </comment>
    <comment ref="X59" authorId="0" shapeId="0">
      <text>
        <t>Form 10-Q (period ended 2025-09-30; acc. 0001770450-25-000037, xrx-20250930.htm), Xerox Holdings Condensed Consolidated Balance Sheets (XBRL R4.htm), as of September 30, 2025: Accumulated other comprehensive loss = -3,457. https://www.sec.gov/Archives/edgar/data/1770450/000177045025000037/xrx-20250930.htm</t>
      </text>
    </comment>
    <comment ref="Y59" authorId="0" shapeId="0">
      <text>
        <t>Form 10-K (period ended 2025-12-31; acc. 0001770450-26-000009, xrx-20251231.htm), Xerox Holdings Condensed Consolidated Balance Sheets (XBRL R5.htm), as of December 31, 2025: Accumulated other comprehensive loss = -3,311. https://www.sec.gov/Archives/edgar/data/1770450/000177045026000009/xrx-20251231.htm</t>
      </text>
    </comment>
    <comment ref="Z59" authorId="0" shapeId="0">
      <text>
        <t>Form 10-Q (period ended 2026-03-31; acc. 0001770450-26-000030, xrx-20260331.htm), Xerox Holdings Condensed Consolidated Balance Sheets (XBRL R4.htm), as of March 31, 2026: Accumulated other comprehensive loss = -3,344. https://www.sec.gov/Archives/edgar/data/1770450/000177045026000030/xrx-20260331.htm</t>
      </text>
    </comment>
    <comment ref="AA59" authorId="0" shapeId="0">
      <text>
        <t>Form 10-Q (period ended 2026-06-30; acc. 0001770450-26-000040, xrx-20260630.htm), Xerox Holdings Condensed Consolidated Balance Sheets (XBRL R4.htm), as of June 30, 2026: Accumulated other comprehensive loss = -3,334. https://www.sec.gov/Archives/edgar/data/1770450/000177045026000040/xrx-20260630.htm</t>
      </text>
    </comment>
    <comment ref="F61" authorId="0" shapeId="0">
      <text>
        <t>Reported subtotal. Form 10-Q (period ended 2021-03-31; acc. 0001770450-21-000025, xrx-20210331.htm), Xerox Holdings Condensed Consolidated Balance Sheets (XBRL R4.htm), as of March 31, 2021: Xerox Holdings shareholders' equity = 5,425. https://www.sec.gov/Archives/edgar/data/1770450/000177045021000025/xrx-20210331.htm</t>
      </text>
    </comment>
    <comment ref="G61" authorId="0" shapeId="0">
      <text>
        <t>Reported subtotal. Form 10-Q (period ended 2021-06-30; acc. 0001770450-21-000036, xrx-20210630.htm), Xerox Holdings Condensed Consolidated Balance Sheets (XBRL R4.htm), as of June 30, 2021: Xerox Holdings shareholders' equity = 5,287. https://www.sec.gov/Archives/edgar/data/1770450/000177045021000036/xrx-20210630.htm</t>
      </text>
    </comment>
    <comment ref="H61" authorId="0" shapeId="0">
      <text>
        <t>Reported subtotal. Form 10-Q (period ended 2021-09-30; acc. 0001770450-21-000050, xrx-20210930.htm), Xerox Holdings Condensed Consolidated Balance Sheets (XBRL R4.htm), as of September 30, 2021: Xerox Holdings shareholders' equity = 5,188. https://www.sec.gov/Archives/edgar/data/1770450/000177045021000050/xrx-20210930.htm</t>
      </text>
    </comment>
    <comment ref="I61" authorId="0" shapeId="0">
      <text>
        <t>Reported subtotal. Form 10-K (period ended 2021-12-31; acc. 0001770450-22-000010, xrx-20211231.htm), Xerox Holdings Condensed Consolidated Balance Sheets (XBRL R5.htm), as of December 31, 2021: Xerox Holdings shareholders' equity = 4,436. https://www.sec.gov/Archives/edgar/data/1770450/000177045022000010/xrx-20211231.htm</t>
      </text>
    </comment>
    <comment ref="J61" authorId="0" shapeId="0">
      <text>
        <t>Reported subtotal. Form 10-Q (period ended 2022-03-31; acc. 0001770450-22-000020, xrx-20220331.htm), Xerox Holdings Condensed Consolidated Balance Sheets (XBRL R4.htm), as of March 31, 2022: Xerox Holdings shareholders' equity = 4,184. https://www.sec.gov/Archives/edgar/data/1770450/000177045022000020/xrx-20220331.htm</t>
      </text>
    </comment>
    <comment ref="K61" authorId="0" shapeId="0">
      <text>
        <t>Reported subtotal. Form 10-Q (period ended 2022-06-30; acc. 0001770450-22-000030, xrx-20220630.htm), Xerox Holdings Condensed Consolidated Balance Sheets (XBRL R4.htm), as of June 30, 2022: Xerox Holdings shareholders' equity = 3,873. https://www.sec.gov/Archives/edgar/data/1770450/000177045022000030/xrx-20220630.htm</t>
      </text>
    </comment>
    <comment ref="L61" authorId="0" shapeId="0">
      <text>
        <t>Reported subtotal. Form 10-Q (period ended 2022-09-30; acc. 0001770450-22-000041, xrx-20220930.htm), Xerox Holdings Condensed Consolidated Balance Sheets (XBRL R4.htm), as of September 30, 2022: Xerox Holdings shareholders' equity = 3,243. https://www.sec.gov/Archives/edgar/data/1770450/000177045022000041/xrx-20220930.htm</t>
      </text>
    </comment>
    <comment ref="M61" authorId="0" shapeId="0">
      <text>
        <t>Reported subtotal. Form 10-K (period ended 2022-12-31; acc. 0001770450-23-000011, xrx-20221231.htm), Xerox Holdings Condensed Consolidated Balance Sheets (XBRL R5.htm), as of December 31, 2022: Xerox Holdings shareholders' equity = 3,343. https://www.sec.gov/Archives/edgar/data/1770450/000177045023000011/xrx-20221231.htm</t>
      </text>
    </comment>
    <comment ref="N61" authorId="0" shapeId="0">
      <text>
        <t>Reported subtotal. Form 10-Q (period ended 2023-03-31; acc. 0001770450-23-000032, xrx-20230331.htm), Xerox Holdings Condensed Consolidated Balance Sheets (XBRL R4.htm), as of March 31, 2023: Xerox Holdings shareholders' equity = 3,459. https://www.sec.gov/Archives/edgar/data/1770450/000177045023000032/xrx-20230331.htm</t>
      </text>
    </comment>
    <comment ref="O61" authorId="0" shapeId="0">
      <text>
        <t>Reported subtotal. Form 10-Q (period ended 2023-06-30; acc. 0001770450-23-000042, xrx-20230630.htm), Xerox Holdings Condensed Consolidated Balance Sheets (XBRL R4.htm), as of June 30, 2023: Xerox Holdings shareholders' equity = 3,384. https://www.sec.gov/Archives/edgar/data/1770450/000177045023000042/xrx-20230630.htm</t>
      </text>
    </comment>
    <comment ref="P61" authorId="0" shapeId="0">
      <text>
        <t>Reported subtotal. Form 10-Q (period ended 2023-09-30; acc. 0001770450-23-000050, xrx-20230930.htm), Xerox Holdings Condensed Consolidated Balance Sheets (XBRL R4.htm), as of September 30, 2023: Xerox Holdings shareholders' equity = 2,789. https://www.sec.gov/Archives/edgar/data/1770450/000177045023000050/xrx-20230930.htm</t>
      </text>
    </comment>
    <comment ref="Q61" authorId="0" shapeId="0">
      <text>
        <t>Reported subtotal. Form 10-K (period ended 2023-12-31; acc. 0001770450-24-000012, xrx-20231231.htm), Xerox Holdings Condensed Consolidated Balance Sheets (XBRL R5.htm), as of December 31, 2023: Xerox Holdings shareholders' equity = 2,538. https://www.sec.gov/Archives/edgar/data/1770450/000177045024000012/xrx-20231231.htm</t>
      </text>
    </comment>
    <comment ref="R61" authorId="0" shapeId="0">
      <text>
        <t>Reported subtotal. Form 10-Q (period ended 2024-03-31; acc. 0001770450-24-000031, xrx-20240331.htm), Xerox Holdings Condensed Consolidated Balance Sheets (XBRL R4.htm), as of March 31, 2024: Xerox Holdings shareholders' equity = 2,378. https://www.sec.gov/Archives/edgar/data/1770450/000177045024000031/xrx-20240331.htm</t>
      </text>
    </comment>
    <comment ref="S61" authorId="0" shapeId="0">
      <text>
        <t>Reported subtotal. Form 10-Q (period ended 2024-06-30; acc. 0001770450-24-000042, xrx-20240630.htm), Xerox Holdings Condensed Consolidated Balance Sheets (XBRL R4.htm), as of June 30, 2024: Xerox Holdings shareholders' equity = 2,361. https://www.sec.gov/Archives/edgar/data/1770450/000177045024000042/xrx-20240630.htm</t>
      </text>
    </comment>
    <comment ref="T61" authorId="0" shapeId="0">
      <text>
        <t>Reported subtotal. Form 10-Q (period ended 2024-09-30; acc. 0001770450-24-000050, xrx-20240930.htm), Xerox Holdings Condensed Consolidated Balance Sheets (XBRL R4.htm), as of September 30, 2024: Xerox Holdings shareholders' equity = 1,303. https://www.sec.gov/Archives/edgar/data/1770450/000177045024000050/xrx-20240930.htm</t>
      </text>
    </comment>
    <comment ref="U61" authorId="0" shapeId="0">
      <text>
        <t>Reported subtotal. Form 10-K (period ended 2024-12-31; acc. 0001770450-25-000010, xrx-20241231.htm), Xerox Holdings Condensed Consolidated Balance Sheets (XBRL R5.htm), as of December 31, 2024: Xerox Holdings shareholders' equity = 1,076. https://www.sec.gov/Archives/edgar/data/1770450/000177045025000010/xrx-20241231.htm</t>
      </text>
    </comment>
    <comment ref="V61" authorId="0" shapeId="0">
      <text>
        <t>Reported subtotal. Form 10-Q (period ended 2025-03-31; acc. 0001770450-25-000026, xrx-20250331.htm), Xerox Holdings Condensed Consolidated Balance Sheets (XBRL R4.htm), as of March 31, 2025: Xerox Holdings shareholders' equity = 1,053. https://www.sec.gov/Archives/edgar/data/1770450/000177045025000026/xrx-20250331.htm</t>
      </text>
    </comment>
    <comment ref="W61" authorId="0" shapeId="0">
      <text>
        <t>Reported subtotal. Form 10-Q (period ended 2025-06-30; acc. 0001628280-25-038980, xrx-20250630.htm), Xerox Holdings Condensed Consolidated Balance Sheets (XBRL R4.htm), as of June 30, 2025: Xerox Holdings shareholders' equity = 1,122. https://www.sec.gov/Archives/edgar/data/1770450/000162828025038980/xrx-20250630.htm</t>
      </text>
    </comment>
    <comment ref="X61" authorId="0" shapeId="0">
      <text>
        <t>Reported subtotal. Form 10-Q (period ended 2025-09-30; acc. 0001770450-25-000037, xrx-20250930.htm), Xerox Holdings Condensed Consolidated Balance Sheets (XBRL R4.htm), as of September 30, 2025: Xerox Holdings shareholders' equity = 365. https://www.sec.gov/Archives/edgar/data/1770450/000177045025000037/xrx-20250930.htm</t>
      </text>
    </comment>
    <comment ref="Y61" authorId="0" shapeId="0">
      <text>
        <t>Reported subtotal. Form 10-K (period ended 2025-12-31; acc. 0001770450-26-000009, xrx-20251231.htm), Xerox Holdings Condensed Consolidated Balance Sheets (XBRL R5.htm), as of December 31, 2025: Xerox Holdings shareholders' equity = 444. https://www.sec.gov/Archives/edgar/data/1770450/000177045026000009/xrx-20251231.htm</t>
      </text>
    </comment>
    <comment ref="Z61" authorId="0" shapeId="0">
      <text>
        <t>Reported subtotal. Form 10-Q (period ended 2026-03-31; acc. 0001770450-26-000030, xrx-20260331.htm), Xerox Holdings Condensed Consolidated Balance Sheets (XBRL R4.htm), as of March 31, 2026: Xerox Holdings shareholders' equity = 299. https://www.sec.gov/Archives/edgar/data/1770450/000177045026000030/xrx-20260331.htm</t>
      </text>
    </comment>
    <comment ref="AA61" authorId="0" shapeId="0">
      <text>
        <t>Reported subtotal. Form 10-Q (period ended 2026-06-30; acc. 0001770450-26-000040, xrx-20260630.htm), Xerox Holdings Condensed Consolidated Balance Sheets (XBRL R4.htm), as of June 30, 2026: Xerox Holdings shareholders' equity = 323. https://www.sec.gov/Archives/edgar/data/1770450/000177045026000040/xrx-20260630.htm</t>
      </text>
    </comment>
    <comment ref="F63" authorId="0" shapeId="0">
      <text>
        <t>Form 10-Q (period ended 2021-03-31; acc. 0001770450-21-000025, xrx-20210331.htm), Xerox Holdings Condensed Consolidated Balance Sheets (XBRL R4.htm), as of March 31, 2021: Noncontrolling interests = 4. https://www.sec.gov/Archives/edgar/data/1770450/000177045021000025/xrx-20210331.htm</t>
      </text>
    </comment>
    <comment ref="G63" authorId="0" shapeId="0">
      <text>
        <t>Form 10-Q (period ended 2021-06-30; acc. 0001770450-21-000036, xrx-20210630.htm), Xerox Holdings Condensed Consolidated Balance Sheets (XBRL R4.htm), as of June 30, 2021: Noncontrolling interests = 8. https://www.sec.gov/Archives/edgar/data/1770450/000177045021000036/xrx-20210630.htm</t>
      </text>
    </comment>
    <comment ref="H63" authorId="0" shapeId="0">
      <text>
        <t>Form 10-Q (period ended 2021-09-30; acc. 0001770450-21-000050, xrx-20210930.htm), Xerox Holdings Condensed Consolidated Balance Sheets (XBRL R4.htm), as of September 30, 2021: Noncontrolling interests = 7. https://www.sec.gov/Archives/edgar/data/1770450/000177045021000050/xrx-20210930.htm</t>
      </text>
    </comment>
    <comment ref="I63" authorId="0" shapeId="0">
      <text>
        <t>Form 10-K (period ended 2021-12-31; acc. 0001770450-22-000010, xrx-20211231.htm), Xerox Holdings Condensed Consolidated Balance Sheets (XBRL R5.htm), as of December 31, 2021: Noncontrolling interests = 7. https://www.sec.gov/Archives/edgar/data/1770450/000177045022000010/xrx-20211231.htm</t>
      </text>
    </comment>
    <comment ref="J63" authorId="0" shapeId="0">
      <text>
        <t>Form 10-Q (period ended 2022-03-31; acc. 0001770450-22-000020, xrx-20220331.htm), Xerox Holdings Condensed Consolidated Balance Sheets (XBRL R4.htm), as of March 31, 2022: Noncontrolling interests = 5. https://www.sec.gov/Archives/edgar/data/1770450/000177045022000020/xrx-20220331.htm</t>
      </text>
    </comment>
    <comment ref="K63" authorId="0" shapeId="0">
      <text>
        <t>Form 10-Q (period ended 2022-06-30; acc. 0001770450-22-000030, xrx-20220630.htm), Xerox Holdings Condensed Consolidated Balance Sheets (XBRL R4.htm), as of June 30, 2022: Noncontrolling interests = 9. https://www.sec.gov/Archives/edgar/data/1770450/000177045022000030/xrx-20220630.htm</t>
      </text>
    </comment>
    <comment ref="L63" authorId="0" shapeId="0">
      <text>
        <t>Form 10-Q (period ended 2022-09-30; acc. 0001770450-22-000041, xrx-20220930.htm), Xerox Holdings Condensed Consolidated Balance Sheets (XBRL R4.htm), as of September 30, 2022: Noncontrolling interests = 11. https://www.sec.gov/Archives/edgar/data/1770450/000177045022000041/xrx-20220930.htm</t>
      </text>
    </comment>
    <comment ref="M63" authorId="0" shapeId="0">
      <text>
        <t>Form 10-K (period ended 2022-12-31; acc. 0001770450-23-000011, xrx-20221231.htm), Xerox Holdings Condensed Consolidated Balance Sheets (XBRL R5.htm), as of December 31, 2022: Noncontrolling interests = 10. https://www.sec.gov/Archives/edgar/data/1770450/000177045023000011/xrx-20221231.htm</t>
      </text>
    </comment>
    <comment ref="N63" authorId="0" shapeId="0">
      <text>
        <t>Form 10-Q (period ended 2023-03-31; acc. 0001770450-23-000032, xrx-20230331.htm), Xerox Holdings Condensed Consolidated Balance Sheets (XBRL R4.htm), as of March 31, 2023: Noncontrolling interests = 8. https://www.sec.gov/Archives/edgar/data/1770450/000177045023000032/xrx-20230331.htm</t>
      </text>
    </comment>
    <comment ref="O63" authorId="0" shapeId="0">
      <text>
        <t>Form 10-Q (period ended 2023-06-30; acc. 0001770450-23-000042, xrx-20230630.htm), Xerox Holdings Condensed Consolidated Balance Sheets (XBRL R4.htm), as of June 30, 2023: Noncontrolling interests = 8. https://www.sec.gov/Archives/edgar/data/1770450/000177045023000042/xrx-20230630.htm</t>
      </text>
    </comment>
    <comment ref="P63" authorId="0" shapeId="0">
      <text>
        <t>Form 10-Q (period ended 2023-09-30; acc. 0001770450-23-000050, xrx-20230930.htm), Xerox Holdings Condensed Consolidated Balance Sheets (XBRL R4.htm), as of September 30, 2023: Noncontrolling interests = 9. https://www.sec.gov/Archives/edgar/data/1770450/000177045023000050/xrx-20230930.htm</t>
      </text>
    </comment>
    <comment ref="Q63" authorId="0" shapeId="0">
      <text>
        <t>Form 10-K (period ended 2023-12-31; acc. 0001770450-24-000012, xrx-20231231.htm), Xerox Holdings Condensed Consolidated Balance Sheets (XBRL R5.htm), as of December 31, 2023: Noncontrolling interests = 10. https://www.sec.gov/Archives/edgar/data/1770450/000177045024000012/xrx-20231231.htm</t>
      </text>
    </comment>
    <comment ref="R63" authorId="0" shapeId="0">
      <text>
        <t>Form 10-Q (period ended 2024-03-31; acc. 0001770450-24-000031, xrx-20240331.htm), Xerox Holdings Condensed Consolidated Balance Sheets (XBRL R4.htm), as of March 31, 2024: Noncontrolling interests = 3. https://www.sec.gov/Archives/edgar/data/1770450/000177045024000031/xrx-20240331.htm</t>
      </text>
    </comment>
    <comment ref="S63" authorId="0" shapeId="0">
      <text>
        <t>Form 10-Q (period ended 2024-06-30; acc. 0001770450-24-000042, xrx-20240630.htm), Xerox Holdings Condensed Consolidated Balance Sheets (XBRL R4.htm), as of June 30, 2024: Noncontrolling interests = 4. https://www.sec.gov/Archives/edgar/data/1770450/000177045024000042/xrx-20240630.htm</t>
      </text>
    </comment>
    <comment ref="T63" authorId="0" shapeId="0">
      <text>
        <t>Form 10-Q (period ended 2024-09-30; acc. 0001770450-24-000050, xrx-20240930.htm), Xerox Holdings Condensed Consolidated Balance Sheets (XBRL R4.htm), as of September 30, 2024: Noncontrolling interests = 4. https://www.sec.gov/Archives/edgar/data/1770450/000177045024000050/xrx-20240930.htm</t>
      </text>
    </comment>
    <comment ref="U63" authorId="0" shapeId="0">
      <text>
        <t>Form 10-K (period ended 2024-12-31; acc. 0001770450-25-000010, xrx-20241231.htm), Xerox Holdings Condensed Consolidated Balance Sheets (XBRL R5.htm), as of December 31, 2024: Noncontrolling interests = 4. https://www.sec.gov/Archives/edgar/data/1770450/000177045025000010/xrx-20241231.htm</t>
      </text>
    </comment>
    <comment ref="V63" authorId="0" shapeId="0">
      <text>
        <t>Form 10-Q (period ended 2025-03-31; acc. 0001770450-25-000026, xrx-20250331.htm), Xerox Holdings Condensed Consolidated Balance Sheets (XBRL R4.htm), as of March 31, 2025: Noncontrolling interests = 4. https://www.sec.gov/Archives/edgar/data/1770450/000177045025000026/xrx-20250331.htm</t>
      </text>
    </comment>
    <comment ref="W63" authorId="0" shapeId="0">
      <text>
        <t>Form 10-Q (period ended 2025-06-30; acc. 0001628280-25-038980, xrx-20250630.htm), Xerox Holdings Condensed Consolidated Balance Sheets (XBRL R4.htm), as of June 30, 2025: Noncontrolling interests = 5. https://www.sec.gov/Archives/edgar/data/1770450/000162828025038980/xrx-20250630.htm</t>
      </text>
    </comment>
    <comment ref="X63" authorId="0" shapeId="0">
      <text>
        <t>Form 10-Q (period ended 2025-09-30; acc. 0001770450-25-000037, xrx-20250930.htm), Xerox Holdings Condensed Consolidated Balance Sheets (XBRL R4.htm), as of September 30, 2025: Noncontrolling interests = 5. https://www.sec.gov/Archives/edgar/data/1770450/000177045025000037/xrx-20250930.htm</t>
      </text>
    </comment>
    <comment ref="Y63" authorId="0" shapeId="0">
      <text>
        <t>Form 10-K (period ended 2025-12-31; acc. 0001770450-26-000009, xrx-20251231.htm), Xerox Holdings Condensed Consolidated Balance Sheets (XBRL R5.htm), as of December 31, 2025: Noncontrolling interests = 5. https://www.sec.gov/Archives/edgar/data/1770450/000177045026000009/xrx-20251231.htm</t>
      </text>
    </comment>
    <comment ref="Z63" authorId="0" shapeId="0">
      <text>
        <t>Form 10-Q (period ended 2026-03-31; acc. 0001770450-26-000030, xrx-20260331.htm), Xerox Holdings Condensed Consolidated Balance Sheets (XBRL R4.htm), as of March 31, 2026: Noncontrolling interests = 6. https://www.sec.gov/Archives/edgar/data/1770450/000177045026000030/xrx-20260331.htm</t>
      </text>
    </comment>
    <comment ref="AA63" authorId="0" shapeId="0">
      <text>
        <t>Form 10-Q (period ended 2026-06-30; acc. 0001770450-26-000040, xrx-20260630.htm), Xerox Holdings Condensed Consolidated Balance Sheets (XBRL R4.htm), as of June 30, 2026: Noncontrolling interests = 7. https://www.sec.gov/Archives/edgar/data/1770450/000177045026000040/xrx-20260630.htm</t>
      </text>
    </comment>
    <comment ref="F65" authorId="0" shapeId="0">
      <text>
        <t>Reported subtotal. Form 10-Q (period ended 2021-03-31; acc. 0001770450-21-000025, xrx-20210331.htm), Xerox Holdings Condensed Consolidated Balance Sheets (XBRL R4.htm), as of March 31, 2021: Total equity = 5,429. https://www.sec.gov/Archives/edgar/data/1770450/000177045021000025/xrx-20210331.htm</t>
      </text>
    </comment>
    <comment ref="G65" authorId="0" shapeId="0">
      <text>
        <t>Reported subtotal. Form 10-Q (period ended 2021-06-30; acc. 0001770450-21-000036, xrx-20210630.htm), Xerox Holdings Condensed Consolidated Balance Sheets (XBRL R4.htm), as of June 30, 2021: Total equity = 5,295. https://www.sec.gov/Archives/edgar/data/1770450/000177045021000036/xrx-20210630.htm</t>
      </text>
    </comment>
    <comment ref="H65" authorId="0" shapeId="0">
      <text>
        <t>Reported subtotal. Form 10-Q (period ended 2021-09-30; acc. 0001770450-21-000050, xrx-20210930.htm), Xerox Holdings Condensed Consolidated Balance Sheets (XBRL R4.htm), as of September 30, 2021: Total equity = 5,195. https://www.sec.gov/Archives/edgar/data/1770450/000177045021000050/xrx-20210930.htm</t>
      </text>
    </comment>
    <comment ref="I65" authorId="0" shapeId="0">
      <text>
        <t>Reported subtotal. Form 10-K (period ended 2021-12-31; acc. 0001770450-22-000010, xrx-20211231.htm), Xerox Holdings Condensed Consolidated Balance Sheets (XBRL R5.htm), as of December 31, 2021: Total equity = 4,443. https://www.sec.gov/Archives/edgar/data/1770450/000177045022000010/xrx-20211231.htm</t>
      </text>
    </comment>
    <comment ref="J65" authorId="0" shapeId="0">
      <text>
        <t>Reported subtotal. Form 10-Q (period ended 2022-03-31; acc. 0001770450-22-000020, xrx-20220331.htm), Xerox Holdings Condensed Consolidated Balance Sheets (XBRL R4.htm), as of March 31, 2022: Total equity = 4,189. https://www.sec.gov/Archives/edgar/data/1770450/000177045022000020/xrx-20220331.htm</t>
      </text>
    </comment>
    <comment ref="K65" authorId="0" shapeId="0">
      <text>
        <t>Reported subtotal. Form 10-Q (period ended 2022-06-30; acc. 0001770450-22-000030, xrx-20220630.htm), Xerox Holdings Condensed Consolidated Balance Sheets (XBRL R4.htm), as of June 30, 2022: Total equity = 3,882. https://www.sec.gov/Archives/edgar/data/1770450/000177045022000030/xrx-20220630.htm</t>
      </text>
    </comment>
    <comment ref="L65" authorId="0" shapeId="0">
      <text>
        <t>Reported subtotal. Form 10-Q (period ended 2022-09-30; acc. 0001770450-22-000041, xrx-20220930.htm), Xerox Holdings Condensed Consolidated Balance Sheets (XBRL R4.htm), as of September 30, 2022: Total equity = 3,254. https://www.sec.gov/Archives/edgar/data/1770450/000177045022000041/xrx-20220930.htm</t>
      </text>
    </comment>
    <comment ref="M65" authorId="0" shapeId="0">
      <text>
        <t>Reported subtotal. Form 10-K (period ended 2022-12-31; acc. 0001770450-23-000011, xrx-20221231.htm), Xerox Holdings Condensed Consolidated Balance Sheets (XBRL R5.htm), as of December 31, 2022: Total equity = 3,353. https://www.sec.gov/Archives/edgar/data/1770450/000177045023000011/xrx-20221231.htm</t>
      </text>
    </comment>
    <comment ref="N65" authorId="0" shapeId="0">
      <text>
        <t>Reported subtotal. Form 10-Q (period ended 2023-03-31; acc. 0001770450-23-000032, xrx-20230331.htm), Xerox Holdings Condensed Consolidated Balance Sheets (XBRL R4.htm), as of March 31, 2023: Total equity = 3,467. https://www.sec.gov/Archives/edgar/data/1770450/000177045023000032/xrx-20230331.htm</t>
      </text>
    </comment>
    <comment ref="O65" authorId="0" shapeId="0">
      <text>
        <t>Reported subtotal. Form 10-Q (period ended 2023-06-30; acc. 0001770450-23-000042, xrx-20230630.htm), Xerox Holdings Condensed Consolidated Balance Sheets (XBRL R4.htm), as of June 30, 2023: Total equity = 3,392. https://www.sec.gov/Archives/edgar/data/1770450/000177045023000042/xrx-20230630.htm</t>
      </text>
    </comment>
    <comment ref="P65" authorId="0" shapeId="0">
      <text>
        <t>Reported subtotal. Form 10-Q (period ended 2023-09-30; acc. 0001770450-23-000050, xrx-20230930.htm), Xerox Holdings Condensed Consolidated Balance Sheets (XBRL R4.htm), as of September 30, 2023: Total equity = 2,798. https://www.sec.gov/Archives/edgar/data/1770450/000177045023000050/xrx-20230930.htm</t>
      </text>
    </comment>
    <comment ref="Q65" authorId="0" shapeId="0">
      <text>
        <t>Reported subtotal. Form 10-K (period ended 2023-12-31; acc. 0001770450-24-000012, xrx-20231231.htm), Xerox Holdings Condensed Consolidated Balance Sheets (XBRL R5.htm), as of December 31, 2023: Total equity = 2,548. https://www.sec.gov/Archives/edgar/data/1770450/000177045024000012/xrx-20231231.htm</t>
      </text>
    </comment>
    <comment ref="R65" authorId="0" shapeId="0">
      <text>
        <t>Reported subtotal. Form 10-Q (period ended 2024-03-31; acc. 0001770450-24-000031, xrx-20240331.htm), Xerox Holdings Condensed Consolidated Balance Sheets (XBRL R4.htm), as of March 31, 2024: Total equity = 2,381. https://www.sec.gov/Archives/edgar/data/1770450/000177045024000031/xrx-20240331.htm</t>
      </text>
    </comment>
    <comment ref="S65" authorId="0" shapeId="0">
      <text>
        <t>Reported subtotal. Form 10-Q (period ended 2024-06-30; acc. 0001770450-24-000042, xrx-20240630.htm), Xerox Holdings Condensed Consolidated Balance Sheets (XBRL R4.htm), as of June 30, 2024: Total equity = 2,365. https://www.sec.gov/Archives/edgar/data/1770450/000177045024000042/xrx-20240630.htm</t>
      </text>
    </comment>
    <comment ref="T65" authorId="0" shapeId="0">
      <text>
        <t>Reported subtotal. Form 10-Q (period ended 2024-09-30; acc. 0001770450-24-000050, xrx-20240930.htm), Xerox Holdings Condensed Consolidated Balance Sheets (XBRL R4.htm), as of September 30, 2024: Total equity = 1,307. https://www.sec.gov/Archives/edgar/data/1770450/000177045024000050/xrx-20240930.htm</t>
      </text>
    </comment>
    <comment ref="U65" authorId="0" shapeId="0">
      <text>
        <t>Reported subtotal. Form 10-K (period ended 2024-12-31; acc. 0001770450-25-000010, xrx-20241231.htm), Xerox Holdings Condensed Consolidated Balance Sheets (XBRL R5.htm), as of December 31, 2024: Total equity = 1,080. https://www.sec.gov/Archives/edgar/data/1770450/000177045025000010/xrx-20241231.htm</t>
      </text>
    </comment>
    <comment ref="V65" authorId="0" shapeId="0">
      <text>
        <t>Reported subtotal. Form 10-Q (period ended 2025-03-31; acc. 0001770450-25-000026, xrx-20250331.htm), Xerox Holdings Condensed Consolidated Balance Sheets (XBRL R4.htm), as of March 31, 2025: Total equity = 1,057. https://www.sec.gov/Archives/edgar/data/1770450/000177045025000026/xrx-20250331.htm</t>
      </text>
    </comment>
    <comment ref="W65" authorId="0" shapeId="0">
      <text>
        <t>Reported subtotal. Form 10-Q (period ended 2025-06-30; acc. 0001628280-25-038980, xrx-20250630.htm), Xerox Holdings Condensed Consolidated Balance Sheets (XBRL R4.htm), as of June 30, 2025: Total equity = 1,127. https://www.sec.gov/Archives/edgar/data/1770450/000162828025038980/xrx-20250630.htm</t>
      </text>
    </comment>
    <comment ref="X65" authorId="0" shapeId="0">
      <text>
        <t>Reported subtotal. Form 10-Q (period ended 2025-09-30; acc. 0001770450-25-000037, xrx-20250930.htm), Xerox Holdings Condensed Consolidated Balance Sheets (XBRL R4.htm), as of September 30, 2025: Total equity = 370. https://www.sec.gov/Archives/edgar/data/1770450/000177045025000037/xrx-20250930.htm</t>
      </text>
    </comment>
    <comment ref="Y65" authorId="0" shapeId="0">
      <text>
        <t>Reported subtotal. Form 10-K (period ended 2025-12-31; acc. 0001770450-26-000009, xrx-20251231.htm), Xerox Holdings Condensed Consolidated Balance Sheets (XBRL R5.htm), as of December 31, 2025: Total equity = 449. https://www.sec.gov/Archives/edgar/data/1770450/000177045026000009/xrx-20251231.htm</t>
      </text>
    </comment>
    <comment ref="Z65" authorId="0" shapeId="0">
      <text>
        <t>Reported subtotal. Form 10-Q (period ended 2026-03-31; acc. 0001770450-26-000030, xrx-20260331.htm), Xerox Holdings Condensed Consolidated Balance Sheets (XBRL R4.htm), as of March 31, 2026: Total equity = 305. https://www.sec.gov/Archives/edgar/data/1770450/000177045026000030/xrx-20260331.htm</t>
      </text>
    </comment>
    <comment ref="AA65" authorId="0" shapeId="0">
      <text>
        <t>Reported subtotal. Form 10-Q (period ended 2026-06-30; acc. 0001770450-26-000040, xrx-20260630.htm), Xerox Holdings Condensed Consolidated Balance Sheets (XBRL R4.htm), as of June 30, 2026: Total equity = 330. https://www.sec.gov/Archives/edgar/data/1770450/000177045026000040/xrx-20260630.htm</t>
      </text>
    </comment>
    <comment ref="F69" authorId="0" shapeId="0">
      <text>
        <t>Reported subtotal. Form 10-Q (period ended 2021-03-31; acc. 0001770450-21-000025, xrx-20210331.htm), Xerox Holdings Condensed Consolidated Balance Sheets (XBRL R4.htm), as of March 31, 2021: Total liabilities and equity = 14,272. https://www.sec.gov/Archives/edgar/data/1770450/000177045021000025/xrx-20210331.htm</t>
      </text>
    </comment>
    <comment ref="G69" authorId="0" shapeId="0">
      <text>
        <t>Reported subtotal. Form 10-Q (period ended 2021-06-30; acc. 0001770450-21-000036, xrx-20210630.htm), Xerox Holdings Condensed Consolidated Balance Sheets (XBRL R4.htm), as of June 30, 2021: Total liabilities and equity = 14,110. https://www.sec.gov/Archives/edgar/data/1770450/000177045021000036/xrx-20210630.htm</t>
      </text>
    </comment>
    <comment ref="H69" authorId="0" shapeId="0">
      <text>
        <t>Reported subtotal. Form 10-Q (period ended 2021-09-30; acc. 0001770450-21-000050, xrx-20210930.htm), Xerox Holdings Condensed Consolidated Balance Sheets (XBRL R4.htm), as of September 30, 2021: Total liabilities and equity = 14,081. https://www.sec.gov/Archives/edgar/data/1770450/000177045021000050/xrx-20210930.htm</t>
      </text>
    </comment>
    <comment ref="I69" authorId="0" shapeId="0">
      <text>
        <t>Reported subtotal. Form 10-K (period ended 2021-12-31; acc. 0001770450-22-000010, xrx-20211231.htm), Xerox Holdings Condensed Consolidated Balance Sheets (XBRL R5.htm), as of December 31, 2021: Total liabilities and equity = 13,223. https://www.sec.gov/Archives/edgar/data/1770450/000177045022000010/xrx-20211231.htm</t>
      </text>
    </comment>
    <comment ref="J69" authorId="0" shapeId="0">
      <text>
        <t>Reported subtotal. Form 10-Q (period ended 2022-03-31; acc. 0001770450-22-000020, xrx-20220331.htm), Xerox Holdings Condensed Consolidated Balance Sheets (XBRL R4.htm), as of March 31, 2022: Total liabilities and equity = 13,082. https://www.sec.gov/Archives/edgar/data/1770450/000177045022000020/xrx-20220331.htm</t>
      </text>
    </comment>
    <comment ref="K69" authorId="0" shapeId="0">
      <text>
        <t>Reported subtotal. Form 10-Q (period ended 2022-06-30; acc. 0001770450-22-000030, xrx-20220630.htm), Xerox Holdings Condensed Consolidated Balance Sheets (XBRL R4.htm), as of June 30, 2022: Total liabilities and equity = 12,270. https://www.sec.gov/Archives/edgar/data/1770450/000177045022000030/xrx-20220630.htm</t>
      </text>
    </comment>
    <comment ref="L69" authorId="0" shapeId="0">
      <text>
        <t>Reported subtotal. Form 10-Q (period ended 2022-09-30; acc. 0001770450-22-000041, xrx-20220930.htm), Xerox Holdings Condensed Consolidated Balance Sheets (XBRL R4.htm), as of September 30, 2022: Total liabilities and equity = 11,420. https://www.sec.gov/Archives/edgar/data/1770450/000177045022000041/xrx-20220930.htm</t>
      </text>
    </comment>
    <comment ref="M69" authorId="0" shapeId="0">
      <text>
        <t>Reported subtotal. Form 10-K (period ended 2022-12-31; acc. 0001770450-23-000011, xrx-20221231.htm), Xerox Holdings Condensed Consolidated Balance Sheets (XBRL R5.htm), as of December 31, 2022: Total liabilities and equity = 11,543. https://www.sec.gov/Archives/edgar/data/1770450/000177045023000011/xrx-20221231.htm</t>
      </text>
    </comment>
    <comment ref="N69" authorId="0" shapeId="0">
      <text>
        <t>Reported subtotal. Form 10-Q (period ended 2023-03-31; acc. 0001770450-23-000032, xrx-20230331.htm), Xerox Holdings Condensed Consolidated Balance Sheets (XBRL R4.htm), as of March 31, 2023: Total liabilities and equity = 11,046. https://www.sec.gov/Archives/edgar/data/1770450/000177045023000032/xrx-20230331.htm</t>
      </text>
    </comment>
    <comment ref="O69" authorId="0" shapeId="0">
      <text>
        <t>Reported subtotal. Form 10-Q (period ended 2023-06-30; acc. 0001770450-23-000042, xrx-20230630.htm), Xerox Holdings Condensed Consolidated Balance Sheets (XBRL R4.htm), as of June 30, 2023: Total liabilities and equity = 10,569. https://www.sec.gov/Archives/edgar/data/1770450/000177045023000042/xrx-20230630.htm</t>
      </text>
    </comment>
    <comment ref="P69" authorId="0" shapeId="0">
      <text>
        <t>Reported subtotal. Form 10-Q (period ended 2023-09-30; acc. 0001770450-23-000050, xrx-20230930.htm), Xerox Holdings Condensed Consolidated Balance Sheets (XBRL R4.htm), as of September 30, 2023: Total liabilities and equity = 10,444. https://www.sec.gov/Archives/edgar/data/1770450/000177045023000050/xrx-20230930.htm</t>
      </text>
    </comment>
    <comment ref="Q69" authorId="0" shapeId="0">
      <text>
        <t>Reported subtotal. Form 10-K (period ended 2023-12-31; acc. 0001770450-24-000012, xrx-20231231.htm), Xerox Holdings Condensed Consolidated Balance Sheets (XBRL R5.htm), as of December 31, 2023: Total liabilities and equity = 10,008. https://www.sec.gov/Archives/edgar/data/1770450/000177045024000012/xrx-20231231.htm</t>
      </text>
    </comment>
    <comment ref="R69" authorId="0" shapeId="0">
      <text>
        <t>Reported subtotal. Form 10-Q (period ended 2024-03-31; acc. 0001770450-24-000031, xrx-20240331.htm), Xerox Holdings Condensed Consolidated Balance Sheets (XBRL R4.htm), as of March 31, 2024: Total liabilities and equity = 9,944. https://www.sec.gov/Archives/edgar/data/1770450/000177045024000031/xrx-20240331.htm</t>
      </text>
    </comment>
    <comment ref="S69" authorId="0" shapeId="0">
      <text>
        <t>Reported subtotal. Form 10-Q (period ended 2024-06-30; acc. 0001770450-24-000042, xrx-20240630.htm), Xerox Holdings Condensed Consolidated Balance Sheets (XBRL R4.htm), as of June 30, 2024: Total liabilities and equity = 9,491. https://www.sec.gov/Archives/edgar/data/1770450/000177045024000042/xrx-20240630.htm</t>
      </text>
    </comment>
    <comment ref="T69" authorId="0" shapeId="0">
      <text>
        <t>Reported subtotal. Form 10-Q (period ended 2024-09-30; acc. 0001770450-24-000050, xrx-20240930.htm), Xerox Holdings Condensed Consolidated Balance Sheets (XBRL R4.htm), as of September 30, 2024: Total liabilities and equity = 8,322. https://www.sec.gov/Archives/edgar/data/1770450/000177045024000050/xrx-20240930.htm</t>
      </text>
    </comment>
    <comment ref="U69" authorId="0" shapeId="0">
      <text>
        <t>Reported subtotal. Form 10-K (period ended 2024-12-31; acc. 0001770450-25-000010, xrx-20241231.htm), Xerox Holdings Condensed Consolidated Balance Sheets (XBRL R5.htm), as of December 31, 2024: Total liabilities and equity = 8,365. https://www.sec.gov/Archives/edgar/data/1770450/000177045025000010/xrx-20241231.htm</t>
      </text>
    </comment>
    <comment ref="V69" authorId="0" shapeId="0">
      <text>
        <t>Reported subtotal. Form 10-Q (period ended 2025-03-31; acc. 0001770450-25-000026, xrx-20250331.htm), Xerox Holdings Condensed Consolidated Balance Sheets (XBRL R4.htm), as of March 31, 2025: Total liabilities and equity = 8,211. https://www.sec.gov/Archives/edgar/data/1770450/000177045025000026/xrx-20250331.htm</t>
      </text>
    </comment>
    <comment ref="W69" authorId="0" shapeId="0">
      <text>
        <t>Reported subtotal. Form 10-Q (period ended 2025-06-30; acc. 0001628280-25-038980, xrx-20250630.htm), Xerox Holdings Condensed Consolidated Balance Sheets (XBRL R4.htm), as of June 30, 2025: Total liabilities and equity = 8,874. https://www.sec.gov/Archives/edgar/data/1770450/000162828025038980/xrx-20250630.htm</t>
      </text>
    </comment>
    <comment ref="X69" authorId="0" shapeId="0">
      <text>
        <t>Reported subtotal. Form 10-Q (period ended 2025-09-30; acc. 0001770450-25-000037, xrx-20250930.htm), Xerox Holdings Condensed Consolidated Balance Sheets (XBRL R4.htm), as of September 30, 2025: Total liabilities and equity = 10,068. https://www.sec.gov/Archives/edgar/data/1770450/000177045025000037/xrx-20250930.htm</t>
      </text>
    </comment>
    <comment ref="Y69" authorId="0" shapeId="0">
      <text>
        <t>Reported subtotal. Form 10-K (period ended 2025-12-31; acc. 0001770450-26-000009, xrx-20251231.htm), Xerox Holdings Condensed Consolidated Balance Sheets (XBRL R5.htm), as of December 31, 2025: Total liabilities and equity = 9,823. https://www.sec.gov/Archives/edgar/data/1770450/000177045026000009/xrx-20251231.htm</t>
      </text>
    </comment>
    <comment ref="Z69" authorId="0" shapeId="0">
      <text>
        <t>Reported subtotal. Form 10-Q (period ended 2026-03-31; acc. 0001770450-26-000030, xrx-20260331.htm), Xerox Holdings Condensed Consolidated Balance Sheets (XBRL R4.htm), as of March 31, 2026: Total liabilities and equity = 9,902. https://www.sec.gov/Archives/edgar/data/1770450/000177045026000030/xrx-20260331.htm</t>
      </text>
    </comment>
    <comment ref="AA69" authorId="0" shapeId="0">
      <text>
        <t>Reported subtotal. Form 10-Q (period ended 2026-06-30; acc. 0001770450-26-000040, xrx-20260630.htm), Xerox Holdings Condensed Consolidated Balance Sheets (XBRL R4.htm), as of June 30, 2026: Total liabilities and equity = 9,724. https://www.sec.gov/Archives/edgar/data/1770450/000177045026000040/xrx-20260630.htm</t>
      </text>
    </comment>
    <comment ref="D74" authorId="0" shapeId="0">
      <text>
        <t>Short-term debt and current portion of long-term debt plus long-term debt, as presented. Excludes the 2Q'26 financing liability from the tariff receivables monetization.</t>
      </text>
    </comment>
    <comment ref="D77" authorId="0" shapeId="0">
      <text>
        <t>Restricted cash is not shown on the face of the balance sheet (it sits in other current and long-term assets). Derived as the CFS ending cash, cash equivalents and restricted cash less BS cash and cash equivalents.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D54" authorId="0" shapeId="0">
      <text>
        <t>Links to IS Adjusted EBITDA: annual columns = fiscal-year Adj. EBITDA; quarter columns = LTM ending that quarter. FY2021 and FY2022 are rebuilt on the company definition. LTM 2Q'26 includes the $105M IEEPA benefit.</t>
      </text>
    </comment>
    <comment ref="D56" authorId="0" shapeId="0">
      <text>
        <t>Gross leverage = (short-term debt and current portion of LTD + long-term debt) / Adj. EBITDA (LTM). Net leverage deducts cash and cash equivalents.</t>
      </text>
    </comment>
  </commentList>
</comments>
</file>

<file path=xl/comments/comment5.xml><?xml version="1.0" encoding="utf-8"?>
<comments xmlns="http://schemas.openxmlformats.org/spreadsheetml/2006/main">
  <authors>
    <author>cap-structure skill</author>
  </authors>
  <commentList>
    <comment ref="D11" authorId="0" shapeId="0">
      <text>
        <t>Source: 2Q'26 10-Q (period 30 Jun 2026, filed 6 Aug 2026), Debt note: no borrowings outstanding under the ABL Facility; lender commitments $425m. https://www.sec.gov/Archives/edgar/data/1770450/000177045026000040/xrx-20260630.htm</t>
      </text>
    </comment>
    <comment ref="F11" authorId="0" shapeId="0">
      <text>
        <t>Source: S+150 per Xerox 2Q'26 earnings presentation debt table (30 Jul 2026), https://investors.xerox.com/static-files/b7e7fa5f-f76d-4673-ba78-520392c48dc3. Margin is availability-based; verify vs. ABL credit agreement.</t>
      </text>
    </comment>
    <comment ref="I11" authorId="0" shapeId="0">
      <text>
        <t>Source: 2Q'26 10-Q: ABL matures 22 May 2028; no scheduled principal payments before maturity. https://www.sec.gov/Archives/edgar/data/1770450/000177045026000040/xrx-20260630.htm</t>
      </text>
    </comment>
    <comment ref="Q11" authorId="0" shapeId="0">
      <text>
        <t>SOFR base rate
Source: SOFR 3.87% (13 Oct 2026) per sofrrate.com October 2026 table (https://www.sofrrate.com/sofr-rate/2026-10); confirm vs. NY Fed (https://www.newyorkfed.org/markets/reference-rates/sofr). Term SOFR used in the credit agreements may differ slightly. JV term loans carry a 3.00% SOFR floor and the TLB a 0.50% floor, both below current SOFR.</t>
      </text>
    </comment>
    <comment ref="D12" authorId="0" shapeId="0">
      <text>
        <t>Source: 1Q'26 &amp; 2Q'26 10-Q: on 17 Feb 2026 TPG-affiliated investors funded $405m senior secured 5-yr Term Loans to XRX Brandco Holdings LLC (IPCo, consolidated VIE), secured by IPCo assets incl. contributed IP; guaranteed by XRX Brandco LLC. Net proceeds $404m after $46m costs. https://www.sec.gov/Archives/edgar/data/1770450/000177045026000030/xrx-20260331.htm</t>
      </text>
    </comment>
    <comment ref="F12" authorId="0" shapeId="0">
      <text>
        <t>Source: 1Q'26 10-Q: Term SOFR (3.000% floor) + 8.125% (ABR + 7.125%). Note: secondary summaries of the 2Q'26 10-Q cite a different margin; analyst to confirm vs. the JV credit agreement. https://www.sec.gov/Archives/edgar/data/1770450/000177045026000030/xrx-20260331.htm</t>
      </text>
    </comment>
    <comment ref="I12" authorId="0" shapeId="0">
      <text>
        <t>Source: 10-Q: matures on 5th anniversary of the 17 Feb 2026 closing date; amortizes 4.50%/yr quarterly starting after the quarter ending 30 Sep 2026.</t>
      </text>
    </comment>
    <comment ref="D13" authorId="0" shapeId="0">
      <text>
        <t>Source: 1Q'26 10-Q: investors purchased $45m of Class A Units of IPCo Holdings; mandatory cumulative redemption expected in ~5 years, so classified with the Term Loans as indebtedness totaling $450m. https://www.sec.gov/Archives/edgar/data/1770450/000177045026000030/xrx-20260331.htm</t>
      </text>
    </comment>
    <comment ref="D14" authorId="0" shapeId="0">
      <text>
        <t>Source: Xerox 2Q'26 earnings presentation debt table (30 Jul 2026): Term Loan B $705m principal. Original $550m TLB (Nov 2023) + ~$327m incremental (1 Jul 2025, Lexmark), less amortization (5%/yr yrs 1-2, 7.5% yr 3, 10% thereafter). https://investors.xerox.com/static-files/b7e7fa5f-f76d-4673-ba78-520392c48dc3</t>
      </text>
    </comment>
    <comment ref="F14" authorId="0" shapeId="0">
      <text>
        <t>Source: Term SOFR (0.50% floor) + 4.00% per the Nov 2023 credit agreement / FY2025 10-K; 2Q'26 presentation shows S+400. https://www.sec.gov/Archives/edgar/data/1770450/000177045026000009/xrx-20251231.htm</t>
      </text>
    </comment>
    <comment ref="I14" authorId="0" shapeId="0">
      <text>
        <t>Source: Due in full 17 Nov 2029 (FY2025 10-K). https://www.sec.gov/Archives/edgar/data/1770450/000177045026000009/xrx-20251231.htm</t>
      </text>
    </comment>
    <comment ref="D15" authorId="0" shapeId="0">
      <text>
        <t>Source: Issued by Xerox Corporation Apr 2025 ($400m, Lexmark financing), guaranteed by Xerox Holdings; $400m outstanding per 2Q'26 earnings presentation. https://investors.xerox.com/static-files/b7e7fa5f-f76d-4673-ba78-520392c48dc3</t>
      </text>
    </comment>
    <comment ref="F15" authorId="0" shapeId="0">
      <text>
        <t>Source: 10.250% First Lien Senior Secured Notes due 2030 (Xerox press release, 'Successful Pricing of $800 million Senior Secured Notes', Mar 2025). https://investors.xerox.com/news-releases/news-release-details/xerox-corporation-announces-successful-pricing-800-million</t>
      </text>
    </comment>
    <comment ref="I15" authorId="0" shapeId="0">
      <text>
        <t>Source: 15 Oct 2030 (TradingView/FINRA XRX6042609; Cbonds ISIN USU9841NAP51). First call 15 Oct 2027 @ 105.125. https://cbonds.com/bonds/1825397/</t>
      </text>
    </comment>
    <comment ref="J15" authorId="0" shapeId="0">
      <text>
        <t>Source: Moody's instrument rating post Mar-2026 CFR downgrade not confirmed (NA). S&amp;P 'B' on first-lien notes (2025 action; 'other ratings unchanged' in Jun-2026 SD action). https://bondblox.com/news/xerox-downgraded-to-ccc-by-s-bonds-lose-half-their-value-in-2025</t>
      </text>
    </comment>
    <comment ref="D16" authorId="0" shapeId="0">
      <text>
        <t>Source: $400m issued Apr 2025 @ 98 + $100m add-on 9 May 2025 @ 95 = $500m; less ~$6m repurchased in 2Q'26 (2Q'26 10-Q / earnings call) = $494m. https://www.sec.gov/Archives/edgar/data/1770450/000177045026000040/xrx-20260630.htm</t>
      </text>
    </comment>
    <comment ref="F16" authorId="0" shapeId="0">
      <text>
        <t>Source: 13.500% Second Lien Senior Secured Notes due 2031 (2Q'25 10-Q / 8-K). https://www.sec.gov/Archives/edgar/data/1770450/000162828025038980/xrx-20250630.htm</t>
      </text>
    </comment>
    <comment ref="I16" authorId="0" shapeId="0">
      <text>
        <t>Source: Due 2031; interest paid 15 Apr / 15 Oct (8-K). Exact day not confirmed in sources reached; shown as Apr-31.</t>
      </text>
    </comment>
    <comment ref="J16" authorId="0" shapeId="0">
      <text>
        <t>Source: S&amp;P 'CCC+' second-lien (2025 action; unchanged in Jun-2026). Moody's NA. https://bondblox.com/news/xerox-downgraded-to-ccc-by-s-bonds-lose-half-their-value-in-2025</t>
      </text>
    </comment>
    <comment ref="D18" authorId="0" shapeId="0">
      <text>
        <t>Source: Xerox Holdings 5.50% notes ($750m original); ~$101m repurchased 1Q'26 (for ~$45m) and $93m repurchased 2Q'26 (for ~$54m) -&gt; $556m per 2Q'26 earnings presentation. https://investors.xerox.com/static-files/b7e7fa5f-f76d-4673-ba78-520392c48dc3</t>
      </text>
    </comment>
    <comment ref="F18" authorId="0" shapeId="0">
      <text>
        <t>Source: 5.50% Senior Unsecured Notes due Aug 2028 (2Q'26 10-Q). https://www.sec.gov/Archives/edgar/data/1770450/000177045026000040/xrx-20260630.htm</t>
      </text>
    </comment>
    <comment ref="I18" authorId="0" shapeId="0">
      <text>
        <t>Source: 15 Aug 2028 (10-K debt schedule).</t>
      </text>
    </comment>
    <comment ref="J18" authorId="0" shapeId="0">
      <text>
        <t>Source: S&amp;P cut this issue to 'D' on 11 Jun 2026 (below-par repurchase) and restored the issuer to CCC+ on 16 Jun 2026; post-upgrade issue rating not confirmed -&gt; NA. https://www.investing.com/news/stock-market-news/sp-downgrades-xerox-rating-on-belowpar-debt-repurchase-93CH-4738188</t>
      </text>
    </comment>
    <comment ref="K18" authorId="0" shapeId="0">
      <text>
        <t>Source: ~58.6 per TradingView (FINRA TRACE) quote, ~5 Oct 2026. Indicative only - refresh on Bloomberg. https://www.tradingview.com/symbols/NASDAQ-XRX/bonds/</t>
      </text>
    </comment>
    <comment ref="D19" authorId="0" shapeId="0">
      <text>
        <t>Source: Xerox Holdings 8.875% notes, $500m outstanding (2Q'26 earnings presentation; S&amp;P cited $500m due 2029 at 31 Mar 2026). https://investors.xerox.com/static-files/b7e7fa5f-f76d-4673-ba78-520392c48dc3</t>
      </text>
    </comment>
    <comment ref="F19" authorId="0" shapeId="0">
      <text>
        <t>Source: 8.875% Senior Notes due 30 Nov 2029 (Cbonds). https://cbonds.com/bonds/1647509/</t>
      </text>
    </comment>
    <comment ref="I19" authorId="0" shapeId="0">
      <text>
        <t>Source: 30 Nov 2029 (Cbonds). https://cbonds.com/bonds/1647509/</t>
      </text>
    </comment>
    <comment ref="J19" authorId="0" shapeId="0">
      <text>
        <t>Source: S&amp;P 'CCC' senior unsecured (2025 action). Moody's NA.</t>
      </text>
    </comment>
    <comment ref="K19" authorId="0" shapeId="0">
      <text>
        <t>Source: 40.939 clean, 7 Oct 2026 (sqxbonds, US98421MAC01). Indicative only. https://sqxbonds.com/bonds/US98421MAC01</t>
      </text>
    </comment>
    <comment ref="D20" authorId="0" shapeId="0">
      <text>
        <t>Source: Xerox Holdings 3.75% Convertible Senior Notes, $400m (2Q'26 earnings presentation). https://investors.xerox.com/static-files/b7e7fa5f-f76d-4673-ba78-520392c48dc3</t>
      </text>
    </comment>
    <comment ref="F20" authorId="0" shapeId="0">
      <text>
        <t>Source: 3.75% Convertible Senior Notes due 15 Mar 2030 (CUSIP 98421MAE6). https://public.com/bonds/corporate/xerox-holdings-corporation/xrx-3.75-03-15-2030-98421mae6</t>
      </text>
    </comment>
    <comment ref="I20" authorId="0" shapeId="0">
      <text>
        <t>Source: 15 Mar 2030. https://public.com/bonds/corporate/xerox-holdings-corporation/xrx-3.75-03-15-2030-98421mae6</t>
      </text>
    </comment>
    <comment ref="J20" authorId="0" shapeId="0">
      <text>
        <t>Source: S&amp;P 'CCC' senior unsecured (2025 action). Moody's NA.</t>
      </text>
    </comment>
    <comment ref="K20" authorId="0" shapeId="0">
      <text>
        <t>Source: NA - conflicting undated quotes (37.25 / 43.10).</t>
      </text>
    </comment>
    <comment ref="D21" authorId="0" shapeId="0">
      <text>
        <t>Source: Xerox Holdings issued $250m 13.00% Step Up Senior Notes due Jul 2030 on 1 Jul 2025 (Lexmark financing) (8-K / 3Q'25 10-Q). https://www.sec.gov/Archives/edgar/data/1770450/000177045025000037/xrx-20250930.htm</t>
      </text>
    </comment>
    <comment ref="F21" authorId="0" shapeId="0">
      <text>
        <t>Source: 13.00% at issue, stepping up: 13.500% from 1 Jul 2026, 14.000% from 1 Jul 2027 ... to 16.750% by Jul 2030 (10-Q). Shown at current 13.50%. Interest paid quarterly (1 Jan/Apr/Jul/Oct).</t>
      </text>
    </comment>
    <comment ref="I21" authorId="0" shapeId="0">
      <text>
        <t>Source: Due Jul 2030 (8-K); exact day not confirmed - shown as Jul-30.</t>
      </text>
    </comment>
    <comment ref="J21" authorId="0" shapeId="0">
      <text>
        <t>Source: Moody's assigned Caa3 to the step-up notes with the Mar-2026 CFR downgrade to Caa2. https://therecycler.com/posts/moodys-ratings-downgrades-xerox-to-caa2-outlook-negative/</t>
      </text>
    </comment>
    <comment ref="D22" authorId="0" shapeId="0">
      <text>
        <t>Source: Xerox Corporation 4.80% Senior Notes, $250m (2Q'26 earnings presentation). https://investors.xerox.com/static-files/b7e7fa5f-f76d-4673-ba78-520392c48dc3</t>
      </text>
    </comment>
    <comment ref="F22" authorId="0" shapeId="0">
      <text>
        <t>Source: 4.80% Senior Notes due 2035 (10-K debt schedule). https://www.sec.gov/Archives/edgar/data/1770450/000177045026000009/xrx-20251231.htm</t>
      </text>
    </comment>
    <comment ref="I22" authorId="0" shapeId="0">
      <text>
        <t>Source: 1 Mar 2035 (10-K debt schedule).</t>
      </text>
    </comment>
    <comment ref="J22" authorId="0" shapeId="0">
      <text>
        <t>Source: S&amp;P 'CCC' senior unsecured (2025 action). Moody's NA.</t>
      </text>
    </comment>
    <comment ref="D23" authorId="0" shapeId="0">
      <text>
        <t>Source: Xerox Corporation 6.75% Senior Notes, $350m (2Q'26 earnings presentation). https://investors.xerox.com/static-files/b7e7fa5f-f76d-4673-ba78-520392c48dc3</t>
      </text>
    </comment>
    <comment ref="F23" authorId="0" shapeId="0">
      <text>
        <t>Source: 6.75% Senior Notes due 15 Dec 2039 (Cbonds). https://cbonds.com/bonds/57689/</t>
      </text>
    </comment>
    <comment ref="I23" authorId="0" shapeId="0">
      <text>
        <t>Source: 15 Dec 2039 (Cbonds). https://cbonds.com/bonds/57689/</t>
      </text>
    </comment>
    <comment ref="J23" authorId="0" shapeId="0">
      <text>
        <t>Source: S&amp;P 'CCC' senior unsecured (2025 action). Moody's NA.</t>
      </text>
    </comment>
    <comment ref="K23" authorId="0" shapeId="0">
      <text>
        <t>Source: NA - Investing.com quote (~38-39) undated.</t>
      </text>
    </comment>
    <comment ref="D25" authorId="0" shapeId="0">
      <text>
        <t>Linked to model: BS!AA13 (2Q'26 cash and cash equivalents).
Source: 2Q'26 10-Q balance sheet, cash and cash equivalents $495m at 30 Jun 2026 (ties to RX Model BS!AA13). Excludes restricted cash (cash + restricted = $552m). https://www.sec.gov/Archives/edgar/data/1770450/000177045026000040/xrx-20260630.htm</t>
      </text>
    </comment>
    <comment ref="D27" authorId="0" shapeId="0">
      <text>
        <t>Source: 180,000 shares, $180m aggregate liquidation value; carried at $214m on the balance sheet (RX Model BS!AA53; 10-K equity note). https://www.sec.gov/Archives/edgar/data/1770450/000177045025000010/xrx-20241231.htm</t>
      </text>
    </comment>
    <comment ref="F27" authorId="0" shapeId="0">
      <text>
        <t>Source: 8% cumulative cash dividend, paid quarterly ($14m/yr); $20.00/share quarterly declared Feb 2026. Convertible into 37.4532 common shares/share (~$26.70 conversion price). https://investors.xerox.com/news-releases/news-release-details/xerox-holdings-corporation-declares-dividend-common-and-10</t>
      </text>
    </comment>
    <comment ref="I27" authorId="0" shapeId="0">
      <text>
        <t>Source: Perpetual - no maturity.</t>
      </text>
    </comment>
    <comment ref="D30" authorId="0" shapeId="0">
      <text>
        <t>Linked to model: IS!AI63 (LTM 2Q'26 Adjusted EBITDA).
Source: Xerox RX Model, IS tab cell AI63 (LTM 2Q'26 Adj. EBITDA = $719m), built from Xerox IR earnings slides 'Adjusted EBITDA and Margin Reconciliation' (2Q'26 deck, 30 Jul 2026, https://investors.xerox.com/static-files/b7e7fa5f-f76d-4673-ba78-520392c48dc3). Includes a $105m IEEPA tariff-refund benefit in 2Q'26; excl. that benefit LTM Adj. EBITDA = $614m (IS!AI68). Company-reported gross leverage 5.9x on this basis (2Q'26 earnings call).</t>
      </text>
    </comment>
    <comment ref="D32" authorId="0" shapeId="0">
      <text>
        <t>Source: 2Q'26 10-Q: ABL lender commitments $425m. https://www.sec.gov/Archives/edgar/data/1770450/000177045026000040/xrx-20260630.htm</t>
      </text>
    </comment>
    <comment ref="D33" authorId="0" shapeId="0">
      <text>
        <t>Source: 2Q'26 10-Q: as of 6 Aug 2026 ABL availability was $388m (borrowing-base constrained) before LCs; $388m - $425m = -$37m.</t>
      </text>
    </comment>
    <comment ref="D35" authorId="0" shapeId="0">
      <text>
        <t>Source: 2Q'26 10-Q: letters of credit of approximately $112m outstanding against the ABL (as of 6 Aug 2026).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0005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2</col>
      <colOff>0</colOff>
      <row>36</row>
      <rowOff>0</rowOff>
    </from>
    <to>
      <col>11</col>
      <colOff>0</colOff>
      <row>55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3</col>
      <colOff>0</colOff>
      <row>17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IS'!A1" TargetMode="External" Id="rId1"/><Relationship Type="http://schemas.openxmlformats.org/officeDocument/2006/relationships/hyperlink" Target="#'IS Out'!A1" TargetMode="External" Id="rId2"/><Relationship Type="http://schemas.openxmlformats.org/officeDocument/2006/relationships/hyperlink" Target="#'CFS'!A1" TargetMode="External" Id="rId3"/><Relationship Type="http://schemas.openxmlformats.org/officeDocument/2006/relationships/hyperlink" Target="#'CFS Out'!A1" TargetMode="External" Id="rId4"/><Relationship Type="http://schemas.openxmlformats.org/officeDocument/2006/relationships/hyperlink" Target="#'BS'!A1" TargetMode="External" Id="rId5"/><Relationship Type="http://schemas.openxmlformats.org/officeDocument/2006/relationships/hyperlink" Target="#'BS Out'!A1" TargetMode="External" Id="rId6"/><Relationship Type="http://schemas.openxmlformats.org/officeDocument/2006/relationships/hyperlink" Target="#'NWC'!A1" TargetMode="External" Id="rId7"/><Relationship Type="http://schemas.openxmlformats.org/officeDocument/2006/relationships/hyperlink" Target="#'Quarterly NWC'!A1" TargetMode="External" Id="rId8"/><Relationship Type="http://schemas.openxmlformats.org/officeDocument/2006/relationships/hyperlink" Target="#'Capital Structure'!A1" TargetMode="External" Id="rId9"/><Relationship Type="http://schemas.openxmlformats.org/officeDocument/2006/relationships/hyperlink" Target="#'Maturity Schedule'!A1" TargetMode="External" Id="rId10"/><Relationship Type="http://schemas.openxmlformats.org/officeDocument/2006/relationships/hyperlink" Target="#'Pricing'!A1" TargetMode="External" Id="rId11"/><Relationship Type="http://schemas.openxmlformats.org/officeDocument/2006/relationships/hyperlink" Target="#'Sources'!A1" TargetMode="External" Id="rId12"/><Relationship Type="http://schemas.openxmlformats.org/officeDocument/2006/relationships/drawing" Target="/xl/drawings/drawing1.xml" Id="rId13"/></Relationships>
</file>

<file path=xl/worksheets/_rels/sheet2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drawing" Target="/xl/drawings/drawing2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#'Cover Page'!A1" TargetMode="External" Id="rId1"/><Relationship Type="http://schemas.openxmlformats.org/officeDocument/2006/relationships/drawing" Target="/xl/drawings/drawing3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ver Pag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selection activeCell="A1" sqref="A1"/>
    </sheetView>
  </sheetViews>
  <sheetFormatPr baseColWidth="8" defaultRowHeight="15"/>
  <cols>
    <col width="1.7" customWidth="1" style="223" min="1" max="1"/>
    <col width="1.7" customWidth="1" style="223" min="2" max="2"/>
    <col width="22" customWidth="1" style="223" min="3" max="3"/>
    <col width="15.6" customWidth="1" style="223" min="4" max="4"/>
    <col width="15.6" customWidth="1" style="223" min="5" max="5"/>
    <col width="15.6" customWidth="1" style="223" min="6" max="6"/>
    <col width="1.7" customWidth="1" style="223" min="7" max="7"/>
    <col width="15.6" customWidth="1" style="223" min="8" max="8"/>
    <col width="15.6" customWidth="1" style="223" min="9" max="9"/>
    <col width="15.6" customWidth="1" style="223" min="10" max="10"/>
    <col width="15.6" customWidth="1" style="223" min="11" max="11"/>
  </cols>
  <sheetData>
    <row r="1">
      <c r="A1" s="569" t="inlineStr">
        <is>
          <t>Return to Cover</t>
        </is>
      </c>
    </row>
    <row r="2" ht="15" customHeight="1" s="223">
      <c r="C2" s="570" t="inlineStr">
        <is>
          <t>Xerox Holdings Corporation (NASDAQ: XRX) – Restructuring Model</t>
        </is>
      </c>
      <c r="D2" s="570" t="n"/>
      <c r="E2" s="570" t="n"/>
      <c r="F2" s="570" t="n"/>
      <c r="G2" s="570" t="n"/>
      <c r="H2" s="570" t="n"/>
      <c r="I2" s="570" t="n"/>
      <c r="J2" s="570" t="n"/>
      <c r="K2" s="570" t="n"/>
    </row>
    <row r="3">
      <c r="C3" s="571" t="inlineStr">
        <is>
          <t>All $ in Millions (USD), except Per-Share Values</t>
        </is>
      </c>
      <c r="D3" s="571" t="n"/>
      <c r="E3" s="571" t="n"/>
      <c r="F3" s="571" t="n"/>
      <c r="G3" s="571" t="n"/>
      <c r="H3" s="571" t="n"/>
      <c r="I3" s="571" t="n"/>
      <c r="J3" s="571" t="n"/>
      <c r="K3" s="571" t="n"/>
    </row>
    <row r="6" ht="30" customHeight="1" s="223">
      <c r="C6" s="572" t="inlineStr">
        <is>
          <t>XEROX HOLDINGS CORPORATION</t>
        </is>
      </c>
      <c r="D6" s="572" t="n"/>
      <c r="E6" s="572" t="n"/>
      <c r="F6" s="572" t="n"/>
      <c r="G6" s="572" t="n"/>
      <c r="H6" s="572" t="n"/>
      <c r="I6" s="572" t="n"/>
      <c r="J6" s="572" t="n"/>
      <c r="K6" s="572" t="n"/>
    </row>
    <row r="7">
      <c r="C7" s="573" t="inlineStr">
        <is>
          <t>Credit &amp; Restructuring Analysis</t>
        </is>
      </c>
      <c r="D7" s="573" t="n"/>
      <c r="E7" s="573" t="n"/>
      <c r="F7" s="573" t="n"/>
      <c r="G7" s="573" t="n"/>
      <c r="H7" s="573" t="n"/>
      <c r="I7" s="573" t="n"/>
      <c r="J7" s="573" t="n"/>
      <c r="K7" s="573" t="n"/>
    </row>
    <row r="13">
      <c r="C13" s="574" t="inlineStr">
        <is>
          <t>Last Updated</t>
        </is>
      </c>
      <c r="D13" s="575">
        <f>TODAY()</f>
        <v/>
      </c>
      <c r="E13" s="576" t="n"/>
      <c r="F13" s="576" t="n"/>
      <c r="G13" s="576" t="n"/>
      <c r="H13" s="574" t="inlineStr">
        <is>
          <t>Data As Of</t>
        </is>
      </c>
      <c r="I13" s="577" t="inlineStr">
        <is>
          <t>2Q'26 (June 30, 2026)</t>
        </is>
      </c>
      <c r="J13" s="578" t="n"/>
      <c r="K13" s="576" t="n"/>
    </row>
    <row r="15">
      <c r="C15" s="579" t="inlineStr">
        <is>
          <t>Color Coding</t>
        </is>
      </c>
      <c r="D15" s="580" t="inlineStr">
        <is>
          <t>R</t>
        </is>
      </c>
      <c r="E15" s="580" t="inlineStr">
        <is>
          <t>G</t>
        </is>
      </c>
      <c r="F15" s="580" t="inlineStr">
        <is>
          <t>B</t>
        </is>
      </c>
      <c r="H15" s="581" t="inlineStr">
        <is>
          <t>Links (Ctrl + [ to Jump to Sheet)</t>
        </is>
      </c>
      <c r="I15" s="581" t="n"/>
      <c r="J15" s="581" t="n"/>
      <c r="K15" s="581" t="n"/>
    </row>
    <row r="16">
      <c r="C16" s="582" t="inlineStr">
        <is>
          <t>Formulas</t>
        </is>
      </c>
      <c r="D16" s="583" t="n">
        <v>0</v>
      </c>
      <c r="E16" s="583" t="n">
        <v>0</v>
      </c>
      <c r="F16" s="583" t="n">
        <v>0</v>
      </c>
      <c r="H16" s="584" t="inlineStr">
        <is>
          <t>Financial Statements</t>
        </is>
      </c>
    </row>
    <row r="17">
      <c r="C17" s="585" t="inlineStr">
        <is>
          <t>Hard-Code</t>
        </is>
      </c>
      <c r="D17" s="583" t="n">
        <v>0</v>
      </c>
      <c r="E17" s="583" t="n">
        <v>0</v>
      </c>
      <c r="F17" s="583" t="n">
        <v>255</v>
      </c>
      <c r="H17" s="586">
        <f>'IS'!A1</f>
        <v/>
      </c>
    </row>
    <row r="18">
      <c r="C18" s="587" t="inlineStr">
        <is>
          <t>Link to Other Sheets</t>
        </is>
      </c>
      <c r="D18" s="583" t="n">
        <v>0</v>
      </c>
      <c r="E18" s="583" t="n">
        <v>128</v>
      </c>
      <c r="F18" s="583" t="n">
        <v>0</v>
      </c>
      <c r="H18" s="586">
        <f>'IS Out'!A1</f>
        <v/>
      </c>
    </row>
    <row r="19">
      <c r="C19" s="588" t="inlineStr">
        <is>
          <t>Highlight Value (Check)</t>
        </is>
      </c>
      <c r="D19" s="583" t="n">
        <v>255</v>
      </c>
      <c r="E19" s="583" t="n">
        <v>0</v>
      </c>
      <c r="F19" s="583" t="n">
        <v>0</v>
      </c>
      <c r="H19" s="586">
        <f>'CFS'!A1</f>
        <v/>
      </c>
    </row>
    <row r="20">
      <c r="H20" s="586">
        <f>'CFS Out'!A1</f>
        <v/>
      </c>
    </row>
    <row r="21">
      <c r="C21" s="589" t="inlineStr">
        <is>
          <t>Heading 1</t>
        </is>
      </c>
      <c r="D21" s="583" t="n">
        <v>0</v>
      </c>
      <c r="E21" s="583" t="n">
        <v>32</v>
      </c>
      <c r="F21" s="583" t="n">
        <v>96</v>
      </c>
      <c r="H21" s="586">
        <f>'BS'!A1</f>
        <v/>
      </c>
    </row>
    <row r="22">
      <c r="C22" s="590" t="inlineStr">
        <is>
          <t>Heading 2</t>
        </is>
      </c>
      <c r="D22" s="583" t="n">
        <v>128</v>
      </c>
      <c r="E22" s="583" t="n">
        <v>128</v>
      </c>
      <c r="F22" s="583" t="n">
        <v>128</v>
      </c>
      <c r="H22" s="586">
        <f>'BS Out'!A1</f>
        <v/>
      </c>
    </row>
    <row r="23">
      <c r="H23" s="584" t="inlineStr">
        <is>
          <t>Credit Analysis</t>
        </is>
      </c>
    </row>
    <row r="24">
      <c r="C24" s="591" t="inlineStr">
        <is>
          <t>Input/Driver</t>
        </is>
      </c>
      <c r="D24" s="583" t="n">
        <v>255</v>
      </c>
      <c r="E24" s="583" t="n">
        <v>242</v>
      </c>
      <c r="F24" s="583" t="n">
        <v>204</v>
      </c>
      <c r="H24" s="586">
        <f>'NWC'!A1</f>
        <v/>
      </c>
    </row>
    <row r="25">
      <c r="H25" s="586">
        <f>'Quarterly NWC'!A1</f>
        <v/>
      </c>
    </row>
    <row r="26">
      <c r="C26" s="592" t="inlineStr">
        <is>
          <t>Sources</t>
        </is>
      </c>
      <c r="D26" s="593" t="n"/>
      <c r="E26" s="593" t="n"/>
      <c r="F26" s="593" t="n"/>
      <c r="H26" s="586">
        <f>'Capital Structure'!A1</f>
        <v/>
      </c>
    </row>
    <row r="27">
      <c r="C27" s="594" t="inlineStr">
        <is>
          <t>SEC EDGAR – Xerox 10-K &amp; 10-Q Filings</t>
        </is>
      </c>
      <c r="H27" s="586">
        <f>'Maturity Schedule'!A1</f>
        <v/>
      </c>
    </row>
    <row r="28">
      <c r="C28" s="594" t="inlineStr">
        <is>
          <t>Xerox Investor Relations – Earnings Materials</t>
        </is>
      </c>
      <c r="H28" s="586">
        <f>'Pricing'!A1</f>
        <v/>
      </c>
    </row>
    <row r="29">
      <c r="C29" s="594" t="inlineStr">
        <is>
          <t>Moody's &amp; S&amp;P Rating Actions</t>
        </is>
      </c>
      <c r="H29" s="584" t="inlineStr">
        <is>
          <t>References</t>
        </is>
      </c>
    </row>
    <row r="30">
      <c r="C30" s="594" t="inlineStr">
        <is>
          <t>TRACE-Based Bond Quotes (Indicative)</t>
        </is>
      </c>
      <c r="H30" s="586">
        <f>'Sources'!A1</f>
        <v/>
      </c>
    </row>
    <row r="31">
      <c r="C31" s="594" t="inlineStr">
        <is>
          <t>Federal Reserve Bank of New York – SOFR</t>
        </is>
      </c>
    </row>
    <row r="32">
      <c r="C32" s="595" t="inlineStr">
        <is>
          <t>Note: All Financials Pulled from Xerox 10-Qs &amp; 10-Ks</t>
        </is>
      </c>
    </row>
  </sheetData>
  <hyperlinks>
    <hyperlink xmlns:r="http://schemas.openxmlformats.org/officeDocument/2006/relationships" ref="H17" r:id="rId1"/>
    <hyperlink xmlns:r="http://schemas.openxmlformats.org/officeDocument/2006/relationships" ref="H18" r:id="rId2"/>
    <hyperlink xmlns:r="http://schemas.openxmlformats.org/officeDocument/2006/relationships" ref="H19" r:id="rId3"/>
    <hyperlink xmlns:r="http://schemas.openxmlformats.org/officeDocument/2006/relationships" ref="H20" r:id="rId4"/>
    <hyperlink xmlns:r="http://schemas.openxmlformats.org/officeDocument/2006/relationships" ref="H21" r:id="rId5"/>
    <hyperlink xmlns:r="http://schemas.openxmlformats.org/officeDocument/2006/relationships" ref="H22" r:id="rId6"/>
    <hyperlink xmlns:r="http://schemas.openxmlformats.org/officeDocument/2006/relationships" ref="H24" r:id="rId7"/>
    <hyperlink xmlns:r="http://schemas.openxmlformats.org/officeDocument/2006/relationships" ref="H25" r:id="rId8"/>
    <hyperlink xmlns:r="http://schemas.openxmlformats.org/officeDocument/2006/relationships" ref="H26" r:id="rId9"/>
    <hyperlink xmlns:r="http://schemas.openxmlformats.org/officeDocument/2006/relationships" ref="H27" r:id="rId10"/>
    <hyperlink xmlns:r="http://schemas.openxmlformats.org/officeDocument/2006/relationships" ref="H28" r:id="rId11"/>
    <hyperlink xmlns:r="http://schemas.openxmlformats.org/officeDocument/2006/relationships" ref="H30" r:id="rId12"/>
  </hyperlinks>
  <pageMargins left="0.75" right="0.75" top="1" bottom="1" header="0.5" footer="0.5"/>
  <pageSetup orientation="landscape" fitToHeight="1" fitToWidth="1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24" customWidth="1" style="223" min="1" max="1"/>
  </cols>
  <sheetData>
    <row r="1">
      <c r="A1" s="596" t="inlineStr">
        <is>
          <t>Financial Statements &gt;</t>
        </is>
      </c>
      <c r="B1" s="597">
        <f>'Cover Page'!A1</f>
        <v/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I8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7" customWidth="1" style="222" min="1" max="3"/>
    <col width="52" customWidth="1" style="222" min="4" max="4"/>
    <col width="12.2" customWidth="1" style="222" min="5" max="26"/>
    <col width="10.5" customWidth="1" style="223" min="6" max="6"/>
    <col width="10.5" customWidth="1" style="223" min="7" max="7"/>
    <col width="10.5" customWidth="1" style="223" min="8" max="8"/>
    <col width="10.5" customWidth="1" style="223" min="9" max="9"/>
    <col width="10.5" customWidth="1" style="223" min="10" max="10"/>
    <col width="10.5" customWidth="1" style="223" min="11" max="11"/>
    <col width="10.5" customWidth="1" style="223" min="12" max="12"/>
    <col width="10.5" customWidth="1" style="223" min="13" max="13"/>
    <col width="10.5" customWidth="1" style="223" min="14" max="14"/>
    <col width="10.5" customWidth="1" style="223" min="15" max="15"/>
    <col width="10.5" customWidth="1" style="223" min="16" max="16"/>
    <col width="10.5" customWidth="1" style="223" min="17" max="17"/>
    <col width="10.5" customWidth="1" style="223" min="18" max="18"/>
    <col width="10.5" customWidth="1" style="223" min="19" max="19"/>
    <col width="10.5" customWidth="1" style="223" min="20" max="20"/>
    <col width="10.5" customWidth="1" style="223" min="21" max="21"/>
    <col width="10.5" customWidth="1" style="223" min="22" max="22"/>
    <col width="10.5" customWidth="1" style="223" min="23" max="23"/>
    <col width="10.5" customWidth="1" style="223" min="24" max="24"/>
    <col width="10.5" customWidth="1" style="223" min="25" max="25"/>
    <col width="10.5" customWidth="1" style="223" min="26" max="26"/>
    <col width="1.6" customWidth="1" style="222" min="27" max="27"/>
    <col width="12.2" customWidth="1" style="222" min="28" max="32"/>
    <col width="10.5" customWidth="1" style="223" min="29" max="29"/>
    <col width="10.5" customWidth="1" style="223" min="30" max="30"/>
    <col width="10.5" customWidth="1" style="223" min="31" max="31"/>
    <col width="10.5" customWidth="1" style="223" min="32" max="32"/>
    <col width="1.6" customWidth="1" style="222" min="33" max="33"/>
    <col width="12.6" customWidth="1" style="222" min="34" max="35"/>
    <col width="10.5" customWidth="1" style="223" min="35" max="35"/>
  </cols>
  <sheetData>
    <row r="1" ht="12.75" customHeight="1" s="223">
      <c r="A1" s="598">
        <f>D3</f>
        <v/>
      </c>
      <c r="B1" s="599">
        <f>'Cover Page'!A1</f>
        <v/>
      </c>
      <c r="C1" s="600" t="n"/>
      <c r="D1" s="600" t="n"/>
      <c r="E1" s="600" t="n"/>
      <c r="F1" s="600" t="n"/>
      <c r="G1" s="600" t="n"/>
      <c r="H1" s="600" t="n"/>
      <c r="I1" s="600" t="n"/>
      <c r="J1" s="600" t="n"/>
      <c r="K1" s="600" t="n"/>
      <c r="L1" s="600" t="n"/>
      <c r="M1" s="600" t="n"/>
      <c r="N1" s="600" t="n"/>
      <c r="O1" s="600" t="n"/>
      <c r="P1" s="600" t="n"/>
      <c r="Q1" s="600" t="n"/>
      <c r="R1" s="600" t="n"/>
      <c r="S1" s="600" t="n"/>
      <c r="T1" s="600" t="n"/>
      <c r="U1" s="600" t="n"/>
      <c r="V1" s="600" t="n"/>
      <c r="W1" s="600" t="n"/>
      <c r="X1" s="600" t="n"/>
      <c r="Y1" s="600" t="n"/>
      <c r="Z1" s="600" t="n"/>
      <c r="AA1" s="600" t="n"/>
      <c r="AB1" s="600" t="n"/>
      <c r="AC1" s="600" t="n"/>
      <c r="AD1" s="600" t="n"/>
      <c r="AE1" s="600" t="n"/>
      <c r="AF1" s="600" t="n"/>
      <c r="AG1" s="600" t="n"/>
      <c r="AH1" s="600" t="n"/>
      <c r="AI1" s="600" t="n"/>
    </row>
    <row r="2" ht="12.75" customHeight="1" s="223">
      <c r="A2" s="600" t="n"/>
      <c r="B2" s="600" t="n"/>
      <c r="C2" s="600" t="n"/>
      <c r="D2" s="600" t="n"/>
      <c r="E2" s="600" t="n"/>
      <c r="F2" s="600" t="n"/>
      <c r="G2" s="600" t="n"/>
      <c r="H2" s="600" t="n"/>
      <c r="I2" s="600" t="n"/>
      <c r="J2" s="600" t="n"/>
      <c r="K2" s="600" t="n"/>
      <c r="L2" s="600" t="n"/>
      <c r="M2" s="600" t="n"/>
      <c r="N2" s="600" t="n"/>
      <c r="O2" s="600" t="n"/>
      <c r="P2" s="600" t="n"/>
      <c r="Q2" s="600" t="n"/>
      <c r="R2" s="600" t="n"/>
      <c r="S2" s="600" t="n"/>
      <c r="T2" s="600" t="n"/>
      <c r="U2" s="600" t="n"/>
      <c r="V2" s="600" t="n"/>
      <c r="W2" s="600" t="n"/>
      <c r="X2" s="600" t="n"/>
      <c r="Y2" s="600" t="n"/>
      <c r="Z2" s="600" t="n"/>
      <c r="AA2" s="600" t="n"/>
      <c r="AB2" s="600" t="n"/>
      <c r="AC2" s="600" t="n"/>
      <c r="AD2" s="600" t="n"/>
      <c r="AE2" s="600" t="n"/>
      <c r="AF2" s="600" t="n"/>
      <c r="AG2" s="600" t="n"/>
      <c r="AH2" s="600" t="n"/>
      <c r="AI2" s="600" t="n"/>
    </row>
    <row r="3" ht="14.25" customHeight="1" s="223">
      <c r="A3" s="600" t="n"/>
      <c r="B3" s="600" t="n"/>
      <c r="C3" s="600" t="n"/>
      <c r="D3" s="601" t="inlineStr">
        <is>
          <t>Historical Income Statement</t>
        </is>
      </c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  <c r="S3" s="602" t="n"/>
      <c r="T3" s="602" t="n"/>
      <c r="U3" s="602" t="n"/>
      <c r="V3" s="602" t="n"/>
      <c r="W3" s="602" t="n"/>
      <c r="X3" s="602" t="n"/>
      <c r="Y3" s="602" t="n"/>
      <c r="Z3" s="602" t="n"/>
      <c r="AA3" s="602" t="n"/>
      <c r="AB3" s="602" t="n"/>
      <c r="AC3" s="602" t="n"/>
      <c r="AD3" s="602" t="n"/>
      <c r="AE3" s="602" t="n"/>
      <c r="AF3" s="602" t="n"/>
      <c r="AG3" s="602" t="n"/>
      <c r="AH3" s="602" t="n"/>
      <c r="AI3" s="603" t="n"/>
    </row>
    <row r="4" ht="12.75" customHeight="1" s="223">
      <c r="A4" s="600" t="n"/>
      <c r="B4" s="600" t="n"/>
      <c r="C4" s="600" t="n"/>
      <c r="D4" s="604" t="inlineStr">
        <is>
          <t>Xerox Holdings Corporation – All values in $ millions (USD), except per-share values. Data as of June 30, 2026 (2Q'26); fiscal year ends December 31.</t>
        </is>
      </c>
      <c r="E4" s="605" t="n"/>
      <c r="F4" s="605" t="n"/>
      <c r="G4" s="605" t="n"/>
      <c r="H4" s="605" t="n"/>
      <c r="I4" s="605" t="n"/>
      <c r="J4" s="605" t="n"/>
      <c r="K4" s="605" t="n"/>
      <c r="L4" s="605" t="n"/>
      <c r="M4" s="605" t="n"/>
      <c r="N4" s="605" t="n"/>
      <c r="O4" s="605" t="n"/>
      <c r="P4" s="605" t="n"/>
      <c r="Q4" s="605" t="n"/>
      <c r="R4" s="605" t="n"/>
      <c r="S4" s="605" t="n"/>
      <c r="T4" s="605" t="n"/>
      <c r="U4" s="605" t="n"/>
      <c r="V4" s="605" t="n"/>
      <c r="W4" s="605" t="n"/>
      <c r="X4" s="605" t="n"/>
      <c r="Y4" s="605" t="n"/>
      <c r="Z4" s="605" t="n"/>
      <c r="AA4" s="605" t="n"/>
      <c r="AB4" s="605" t="n"/>
      <c r="AC4" s="605" t="n"/>
      <c r="AD4" s="605" t="n"/>
      <c r="AE4" s="605" t="n"/>
      <c r="AF4" s="605" t="n"/>
      <c r="AG4" s="605" t="n"/>
      <c r="AH4" s="605" t="n"/>
      <c r="AI4" s="606" t="n"/>
    </row>
    <row r="5" ht="15" customHeight="1" s="223">
      <c r="A5" s="600" t="inlineStr">
        <is>
          <t>x</t>
        </is>
      </c>
      <c r="B5" s="600" t="n"/>
      <c r="C5" s="600" t="n"/>
      <c r="D5" s="607" t="inlineStr">
        <is>
          <t>Income Statement</t>
        </is>
      </c>
      <c r="E5" s="608" t="inlineStr">
        <is>
          <t>Quarter Ended</t>
        </is>
      </c>
      <c r="F5" s="608" t="n"/>
      <c r="G5" s="608" t="n"/>
      <c r="H5" s="608" t="n"/>
      <c r="I5" s="608" t="n"/>
      <c r="J5" s="608" t="n"/>
      <c r="K5" s="608" t="n"/>
      <c r="L5" s="608" t="n"/>
      <c r="M5" s="608" t="n"/>
      <c r="N5" s="608" t="n"/>
      <c r="O5" s="608" t="n"/>
      <c r="P5" s="608" t="n"/>
      <c r="Q5" s="608" t="n"/>
      <c r="R5" s="608" t="n"/>
      <c r="S5" s="608" t="n"/>
      <c r="T5" s="608" t="n"/>
      <c r="U5" s="608" t="n"/>
      <c r="V5" s="608" t="n"/>
      <c r="W5" s="608" t="n"/>
      <c r="X5" s="608" t="n"/>
      <c r="Y5" s="608" t="n"/>
      <c r="Z5" s="608" t="n"/>
      <c r="AA5" s="609" t="n"/>
      <c r="AB5" s="608" t="inlineStr">
        <is>
          <t>Fiscal Year Ended December 31,</t>
        </is>
      </c>
      <c r="AC5" s="608" t="n"/>
      <c r="AD5" s="608" t="n"/>
      <c r="AE5" s="608" t="n"/>
      <c r="AF5" s="608" t="n"/>
      <c r="AG5" s="609" t="n"/>
      <c r="AH5" s="608" t="inlineStr">
        <is>
          <t>LTM</t>
        </is>
      </c>
      <c r="AI5" s="608" t="n"/>
    </row>
    <row r="6" ht="15" customHeight="1" s="223">
      <c r="A6" s="600" t="n"/>
      <c r="B6" s="600" t="n"/>
      <c r="C6" s="600" t="n"/>
      <c r="D6" s="610" t="n"/>
      <c r="E6" s="611" t="n">
        <v>1</v>
      </c>
      <c r="F6" s="611" t="n">
        <v>2</v>
      </c>
      <c r="G6" s="611" t="n">
        <v>3</v>
      </c>
      <c r="H6" s="611" t="n">
        <v>4</v>
      </c>
      <c r="I6" s="611" t="n">
        <v>1</v>
      </c>
      <c r="J6" s="611" t="n">
        <v>2</v>
      </c>
      <c r="K6" s="611" t="n">
        <v>3</v>
      </c>
      <c r="L6" s="611" t="n">
        <v>4</v>
      </c>
      <c r="M6" s="611" t="n">
        <v>1</v>
      </c>
      <c r="N6" s="611" t="n">
        <v>2</v>
      </c>
      <c r="O6" s="611" t="n">
        <v>3</v>
      </c>
      <c r="P6" s="611" t="n">
        <v>4</v>
      </c>
      <c r="Q6" s="611" t="n">
        <v>1</v>
      </c>
      <c r="R6" s="611" t="n">
        <v>2</v>
      </c>
      <c r="S6" s="611" t="n">
        <v>3</v>
      </c>
      <c r="T6" s="611" t="n">
        <v>4</v>
      </c>
      <c r="U6" s="611" t="n">
        <v>1</v>
      </c>
      <c r="V6" s="611" t="n">
        <v>2</v>
      </c>
      <c r="W6" s="611" t="n">
        <v>3</v>
      </c>
      <c r="X6" s="611" t="n">
        <v>4</v>
      </c>
      <c r="Y6" s="611" t="n">
        <v>1</v>
      </c>
      <c r="Z6" s="611" t="n">
        <v>2</v>
      </c>
      <c r="AA6" s="610" t="n"/>
      <c r="AB6" s="611" t="n"/>
      <c r="AC6" s="611" t="n"/>
      <c r="AD6" s="611" t="n"/>
      <c r="AE6" s="611" t="n"/>
      <c r="AF6" s="611" t="n"/>
      <c r="AG6" s="610" t="n"/>
      <c r="AH6" s="611" t="n"/>
      <c r="AI6" s="611" t="n"/>
    </row>
    <row r="7" ht="15" customHeight="1" s="223">
      <c r="A7" s="600" t="n"/>
      <c r="B7" s="600" t="n"/>
      <c r="C7" s="600" t="n"/>
      <c r="D7" s="610" t="n"/>
      <c r="E7" s="611" t="n">
        <v>2021</v>
      </c>
      <c r="F7" s="611" t="n">
        <v>2021</v>
      </c>
      <c r="G7" s="611" t="n">
        <v>2021</v>
      </c>
      <c r="H7" s="611" t="n">
        <v>2021</v>
      </c>
      <c r="I7" s="611" t="n">
        <v>2022</v>
      </c>
      <c r="J7" s="611" t="n">
        <v>2022</v>
      </c>
      <c r="K7" s="611" t="n">
        <v>2022</v>
      </c>
      <c r="L7" s="611" t="n">
        <v>2022</v>
      </c>
      <c r="M7" s="611" t="n">
        <v>2023</v>
      </c>
      <c r="N7" s="611" t="n">
        <v>2023</v>
      </c>
      <c r="O7" s="611" t="n">
        <v>2023</v>
      </c>
      <c r="P7" s="611" t="n">
        <v>2023</v>
      </c>
      <c r="Q7" s="611" t="n">
        <v>2024</v>
      </c>
      <c r="R7" s="611" t="n">
        <v>2024</v>
      </c>
      <c r="S7" s="611" t="n">
        <v>2024</v>
      </c>
      <c r="T7" s="611" t="n">
        <v>2024</v>
      </c>
      <c r="U7" s="611" t="n">
        <v>2025</v>
      </c>
      <c r="V7" s="611" t="n">
        <v>2025</v>
      </c>
      <c r="W7" s="611" t="n">
        <v>2025</v>
      </c>
      <c r="X7" s="611" t="n">
        <v>2025</v>
      </c>
      <c r="Y7" s="611" t="n">
        <v>2026</v>
      </c>
      <c r="Z7" s="611" t="n">
        <v>2026</v>
      </c>
      <c r="AA7" s="610" t="n"/>
      <c r="AB7" s="611" t="n">
        <v>2021</v>
      </c>
      <c r="AC7" s="611" t="n">
        <v>2022</v>
      </c>
      <c r="AD7" s="611" t="n">
        <v>2023</v>
      </c>
      <c r="AE7" s="611" t="n">
        <v>2024</v>
      </c>
      <c r="AF7" s="611" t="n">
        <v>2025</v>
      </c>
      <c r="AG7" s="610" t="n"/>
      <c r="AH7" s="611" t="n"/>
      <c r="AI7" s="611" t="n"/>
    </row>
    <row r="8" ht="15" customHeight="1" s="223">
      <c r="A8" s="600" t="n"/>
      <c r="B8" s="600" t="n"/>
      <c r="C8" s="600" t="n"/>
      <c r="D8" s="610" t="n"/>
      <c r="E8" s="612" t="n">
        <v>44286</v>
      </c>
      <c r="F8" s="612" t="n">
        <v>44377</v>
      </c>
      <c r="G8" s="612" t="n">
        <v>44469</v>
      </c>
      <c r="H8" s="612" t="n">
        <v>44561</v>
      </c>
      <c r="I8" s="612" t="n">
        <v>44651</v>
      </c>
      <c r="J8" s="612" t="n">
        <v>44742</v>
      </c>
      <c r="K8" s="612" t="n">
        <v>44834</v>
      </c>
      <c r="L8" s="612" t="n">
        <v>44926</v>
      </c>
      <c r="M8" s="612" t="n">
        <v>45016</v>
      </c>
      <c r="N8" s="612" t="n">
        <v>45107</v>
      </c>
      <c r="O8" s="612" t="n">
        <v>45199</v>
      </c>
      <c r="P8" s="612" t="n">
        <v>45291</v>
      </c>
      <c r="Q8" s="612" t="n">
        <v>45382</v>
      </c>
      <c r="R8" s="612" t="n">
        <v>45473</v>
      </c>
      <c r="S8" s="612" t="n">
        <v>45565</v>
      </c>
      <c r="T8" s="612" t="n">
        <v>45657</v>
      </c>
      <c r="U8" s="612" t="n">
        <v>45747</v>
      </c>
      <c r="V8" s="612" t="n">
        <v>45838</v>
      </c>
      <c r="W8" s="612" t="n">
        <v>45930</v>
      </c>
      <c r="X8" s="612" t="n">
        <v>46022</v>
      </c>
      <c r="Y8" s="612" t="n">
        <v>46112</v>
      </c>
      <c r="Z8" s="612" t="n">
        <v>46203</v>
      </c>
      <c r="AA8" s="610" t="n"/>
      <c r="AB8" s="612" t="n">
        <v>44561</v>
      </c>
      <c r="AC8" s="612" t="n">
        <v>44926</v>
      </c>
      <c r="AD8" s="612" t="n">
        <v>45291</v>
      </c>
      <c r="AE8" s="612" t="n">
        <v>45657</v>
      </c>
      <c r="AF8" s="612" t="n">
        <v>46022</v>
      </c>
      <c r="AG8" s="610" t="n"/>
      <c r="AH8" s="612" t="n">
        <v>45838</v>
      </c>
      <c r="AI8" s="612" t="n">
        <v>46203</v>
      </c>
    </row>
    <row r="9" ht="15" customHeight="1" s="223">
      <c r="A9" s="600" t="n"/>
      <c r="B9" s="600" t="n"/>
      <c r="C9" s="600" t="n"/>
      <c r="D9" s="601" t="n"/>
      <c r="E9" s="613">
        <f>E6&amp;"Q'"&amp;RIGHT(E7,2)</f>
        <v/>
      </c>
      <c r="F9" s="613">
        <f>F6&amp;"Q'"&amp;RIGHT(F7,2)</f>
        <v/>
      </c>
      <c r="G9" s="613">
        <f>G6&amp;"Q'"&amp;RIGHT(G7,2)</f>
        <v/>
      </c>
      <c r="H9" s="613">
        <f>H6&amp;"Q'"&amp;RIGHT(H7,2)</f>
        <v/>
      </c>
      <c r="I9" s="613">
        <f>I6&amp;"Q'"&amp;RIGHT(I7,2)</f>
        <v/>
      </c>
      <c r="J9" s="613">
        <f>J6&amp;"Q'"&amp;RIGHT(J7,2)</f>
        <v/>
      </c>
      <c r="K9" s="613">
        <f>K6&amp;"Q'"&amp;RIGHT(K7,2)</f>
        <v/>
      </c>
      <c r="L9" s="613">
        <f>L6&amp;"Q'"&amp;RIGHT(L7,2)</f>
        <v/>
      </c>
      <c r="M9" s="613">
        <f>M6&amp;"Q'"&amp;RIGHT(M7,2)</f>
        <v/>
      </c>
      <c r="N9" s="613">
        <f>N6&amp;"Q'"&amp;RIGHT(N7,2)</f>
        <v/>
      </c>
      <c r="O9" s="613">
        <f>O6&amp;"Q'"&amp;RIGHT(O7,2)</f>
        <v/>
      </c>
      <c r="P9" s="613">
        <f>P6&amp;"Q'"&amp;RIGHT(P7,2)</f>
        <v/>
      </c>
      <c r="Q9" s="613">
        <f>Q6&amp;"Q'"&amp;RIGHT(Q7,2)</f>
        <v/>
      </c>
      <c r="R9" s="613">
        <f>R6&amp;"Q'"&amp;RIGHT(R7,2)</f>
        <v/>
      </c>
      <c r="S9" s="613">
        <f>S6&amp;"Q'"&amp;RIGHT(S7,2)</f>
        <v/>
      </c>
      <c r="T9" s="613">
        <f>T6&amp;"Q'"&amp;RIGHT(T7,2)</f>
        <v/>
      </c>
      <c r="U9" s="613">
        <f>U6&amp;"Q'"&amp;RIGHT(U7,2)</f>
        <v/>
      </c>
      <c r="V9" s="613">
        <f>V6&amp;"Q'"&amp;RIGHT(V7,2)</f>
        <v/>
      </c>
      <c r="W9" s="613">
        <f>W6&amp;"Q'"&amp;RIGHT(W7,2)</f>
        <v/>
      </c>
      <c r="X9" s="613">
        <f>X6&amp;"Q'"&amp;RIGHT(X7,2)</f>
        <v/>
      </c>
      <c r="Y9" s="613">
        <f>Y6&amp;"Q'"&amp;RIGHT(Y7,2)</f>
        <v/>
      </c>
      <c r="Z9" s="613">
        <f>Z6&amp;"Q'"&amp;RIGHT(Z7,2)</f>
        <v/>
      </c>
      <c r="AA9" s="601" t="n"/>
      <c r="AB9" s="613" t="inlineStr">
        <is>
          <t>FY2021</t>
        </is>
      </c>
      <c r="AC9" s="613" t="inlineStr">
        <is>
          <t>FY2022</t>
        </is>
      </c>
      <c r="AD9" s="613" t="inlineStr">
        <is>
          <t>FY2023</t>
        </is>
      </c>
      <c r="AE9" s="613" t="inlineStr">
        <is>
          <t>FY2024</t>
        </is>
      </c>
      <c r="AF9" s="613" t="inlineStr">
        <is>
          <t>FY2025</t>
        </is>
      </c>
      <c r="AG9" s="601" t="n"/>
      <c r="AH9" s="613" t="inlineStr">
        <is>
          <t>LTM 2Q'25</t>
        </is>
      </c>
      <c r="AI9" s="613" t="inlineStr">
        <is>
          <t>LTM 2Q'26</t>
        </is>
      </c>
    </row>
    <row r="10" ht="3" customHeight="1" s="223">
      <c r="A10" s="600" t="n"/>
      <c r="B10" s="600" t="n"/>
      <c r="C10" s="600" t="n"/>
      <c r="D10" s="600" t="n"/>
      <c r="E10" s="600" t="n"/>
      <c r="F10" s="600" t="n"/>
      <c r="G10" s="600" t="n"/>
      <c r="H10" s="600" t="n"/>
      <c r="I10" s="600" t="n"/>
      <c r="J10" s="600" t="n"/>
      <c r="K10" s="600" t="n"/>
      <c r="L10" s="600" t="n"/>
      <c r="M10" s="600" t="n"/>
      <c r="N10" s="600" t="n"/>
      <c r="O10" s="600" t="n"/>
      <c r="P10" s="600" t="n"/>
      <c r="Q10" s="600" t="n"/>
      <c r="R10" s="600" t="n"/>
      <c r="S10" s="600" t="n"/>
      <c r="T10" s="600" t="n"/>
      <c r="U10" s="600" t="n"/>
      <c r="V10" s="600" t="n"/>
      <c r="W10" s="600" t="n"/>
      <c r="X10" s="600" t="n"/>
      <c r="Y10" s="600" t="n"/>
      <c r="Z10" s="600" t="n"/>
      <c r="AA10" s="600" t="n"/>
      <c r="AB10" s="600" t="n"/>
      <c r="AC10" s="600" t="n"/>
      <c r="AD10" s="600" t="n"/>
      <c r="AE10" s="600" t="n"/>
      <c r="AF10" s="600" t="n"/>
      <c r="AG10" s="600" t="n"/>
      <c r="AH10" s="600" t="n"/>
      <c r="AI10" s="600" t="n"/>
    </row>
    <row r="11" ht="12.75" customHeight="1" s="223">
      <c r="A11" s="600" t="n"/>
      <c r="B11" s="600" t="n"/>
      <c r="C11" s="600" t="n"/>
      <c r="D11" s="600" t="inlineStr">
        <is>
          <t>Sales</t>
        </is>
      </c>
      <c r="E11" s="614" t="n">
        <v>602</v>
      </c>
      <c r="F11" s="614" t="n">
        <v>670</v>
      </c>
      <c r="G11" s="614" t="n">
        <v>657</v>
      </c>
      <c r="H11" s="615">
        <f>AB11-SUM(E11:G11)</f>
        <v/>
      </c>
      <c r="I11" s="614" t="n">
        <v>592</v>
      </c>
      <c r="J11" s="614" t="n">
        <v>667</v>
      </c>
      <c r="K11" s="614" t="n">
        <v>690</v>
      </c>
      <c r="L11" s="615">
        <f>AC11-SUM(I11:K11)</f>
        <v/>
      </c>
      <c r="M11" s="614" t="n">
        <v>659</v>
      </c>
      <c r="N11" s="614" t="n">
        <v>696</v>
      </c>
      <c r="O11" s="614" t="n">
        <v>644</v>
      </c>
      <c r="P11" s="615">
        <f>AD11-SUM(M11:O11)</f>
        <v/>
      </c>
      <c r="Q11" s="614" t="n">
        <v>523</v>
      </c>
      <c r="R11" s="614" t="n">
        <v>611</v>
      </c>
      <c r="S11" s="614" t="n">
        <v>588</v>
      </c>
      <c r="T11" s="615">
        <f>AE11-SUM(Q11:S11)</f>
        <v/>
      </c>
      <c r="U11" s="614" t="n">
        <v>557</v>
      </c>
      <c r="V11" s="614" t="n">
        <v>665</v>
      </c>
      <c r="W11" s="614" t="n">
        <v>993</v>
      </c>
      <c r="X11" s="615">
        <f>AF11-SUM(U11:W11)</f>
        <v/>
      </c>
      <c r="Y11" s="614" t="n">
        <v>920</v>
      </c>
      <c r="Z11" s="614" t="n">
        <v>996</v>
      </c>
      <c r="AA11" s="600" t="n"/>
      <c r="AB11" s="614" t="n">
        <v>2582</v>
      </c>
      <c r="AC11" s="614" t="n">
        <v>2800</v>
      </c>
      <c r="AD11" s="614" t="n">
        <v>2720</v>
      </c>
      <c r="AE11" s="614" t="n">
        <v>2378</v>
      </c>
      <c r="AF11" s="614" t="n">
        <v>3283</v>
      </c>
      <c r="AG11" s="600" t="n"/>
      <c r="AH11" s="615">
        <f>SUM(S11:V11)</f>
        <v/>
      </c>
      <c r="AI11" s="615">
        <f>SUM(W11:Z11)</f>
        <v/>
      </c>
    </row>
    <row r="12" ht="12.75" customHeight="1" s="223">
      <c r="A12" s="600" t="n"/>
      <c r="B12" s="600" t="n"/>
      <c r="C12" s="600" t="n"/>
      <c r="D12" s="600" t="inlineStr">
        <is>
          <t>Services, maintenance, rentals and other</t>
        </is>
      </c>
      <c r="E12" s="616">
        <f>1053+55</f>
        <v/>
      </c>
      <c r="F12" s="616">
        <f>1067+56</f>
        <v/>
      </c>
      <c r="G12" s="616">
        <f>1046+55</f>
        <v/>
      </c>
      <c r="H12" s="617">
        <f>AB12-SUM(E12:G12)</f>
        <v/>
      </c>
      <c r="I12" s="616">
        <f>1023+53</f>
        <v/>
      </c>
      <c r="J12" s="616">
        <f>1028+52</f>
        <v/>
      </c>
      <c r="K12" s="616">
        <f>1010+51</f>
        <v/>
      </c>
      <c r="L12" s="617">
        <f>AC12-SUM(I12:K12)</f>
        <v/>
      </c>
      <c r="M12" s="616">
        <f>1004+52</f>
        <v/>
      </c>
      <c r="N12" s="616">
        <f>1009+49</f>
        <v/>
      </c>
      <c r="O12" s="616">
        <f>962+46</f>
        <v/>
      </c>
      <c r="P12" s="617">
        <f>AD12-SUM(M12:O12)</f>
        <v/>
      </c>
      <c r="Q12" s="616" t="n">
        <v>979</v>
      </c>
      <c r="R12" s="616" t="n">
        <v>967</v>
      </c>
      <c r="S12" s="616" t="n">
        <v>940</v>
      </c>
      <c r="T12" s="617">
        <f>AE12-SUM(Q12:S12)</f>
        <v/>
      </c>
      <c r="U12" s="616" t="n">
        <v>900</v>
      </c>
      <c r="V12" s="616" t="n">
        <v>911</v>
      </c>
      <c r="W12" s="616" t="n">
        <v>968</v>
      </c>
      <c r="X12" s="617">
        <f>AF12-SUM(U12:W12)</f>
        <v/>
      </c>
      <c r="Y12" s="616" t="n">
        <v>926</v>
      </c>
      <c r="Z12" s="616" t="n">
        <v>926</v>
      </c>
      <c r="AA12" s="600" t="n"/>
      <c r="AB12" s="616">
        <f>4235+221</f>
        <v/>
      </c>
      <c r="AC12" s="616">
        <f>4100+207</f>
        <v/>
      </c>
      <c r="AD12" s="616" t="n">
        <v>4166</v>
      </c>
      <c r="AE12" s="616" t="n">
        <v>3843</v>
      </c>
      <c r="AF12" s="616" t="n">
        <v>3739</v>
      </c>
      <c r="AG12" s="600" t="n"/>
      <c r="AH12" s="617">
        <f>SUM(S12:V12)</f>
        <v/>
      </c>
      <c r="AI12" s="617">
        <f>SUM(W12:Z12)</f>
        <v/>
      </c>
    </row>
    <row r="13" ht="12.75" customHeight="1" s="223">
      <c r="A13" s="600" t="n"/>
      <c r="B13" s="600" t="n"/>
      <c r="C13" s="600" t="n"/>
      <c r="D13" s="618" t="inlineStr">
        <is>
          <t>Total revenues</t>
        </is>
      </c>
      <c r="E13" s="619">
        <f>E11+E12</f>
        <v/>
      </c>
      <c r="F13" s="619">
        <f>F11+F12</f>
        <v/>
      </c>
      <c r="G13" s="619">
        <f>G11+G12</f>
        <v/>
      </c>
      <c r="H13" s="619">
        <f>H11+H12</f>
        <v/>
      </c>
      <c r="I13" s="619">
        <f>I11+I12</f>
        <v/>
      </c>
      <c r="J13" s="619">
        <f>J11+J12</f>
        <v/>
      </c>
      <c r="K13" s="619">
        <f>K11+K12</f>
        <v/>
      </c>
      <c r="L13" s="619">
        <f>L11+L12</f>
        <v/>
      </c>
      <c r="M13" s="619">
        <f>M11+M12</f>
        <v/>
      </c>
      <c r="N13" s="619">
        <f>N11+N12</f>
        <v/>
      </c>
      <c r="O13" s="619">
        <f>O11+O12</f>
        <v/>
      </c>
      <c r="P13" s="619">
        <f>P11+P12</f>
        <v/>
      </c>
      <c r="Q13" s="619">
        <f>Q11+Q12</f>
        <v/>
      </c>
      <c r="R13" s="619">
        <f>R11+R12</f>
        <v/>
      </c>
      <c r="S13" s="619">
        <f>S11+S12</f>
        <v/>
      </c>
      <c r="T13" s="619">
        <f>T11+T12</f>
        <v/>
      </c>
      <c r="U13" s="619">
        <f>U11+U12</f>
        <v/>
      </c>
      <c r="V13" s="619">
        <f>V11+V12</f>
        <v/>
      </c>
      <c r="W13" s="619">
        <f>W11+W12</f>
        <v/>
      </c>
      <c r="X13" s="619">
        <f>X11+X12</f>
        <v/>
      </c>
      <c r="Y13" s="619">
        <f>Y11+Y12</f>
        <v/>
      </c>
      <c r="Z13" s="620">
        <f>Z11+Z12</f>
        <v/>
      </c>
      <c r="AA13" s="600" t="n"/>
      <c r="AB13" s="621">
        <f>AB11+AB12</f>
        <v/>
      </c>
      <c r="AC13" s="619">
        <f>AC11+AC12</f>
        <v/>
      </c>
      <c r="AD13" s="619">
        <f>AD11+AD12</f>
        <v/>
      </c>
      <c r="AE13" s="619">
        <f>AE11+AE12</f>
        <v/>
      </c>
      <c r="AF13" s="620">
        <f>AF11+AF12</f>
        <v/>
      </c>
      <c r="AG13" s="600" t="n"/>
      <c r="AH13" s="621">
        <f>AH11+AH12</f>
        <v/>
      </c>
      <c r="AI13" s="620">
        <f>AI11+AI12</f>
        <v/>
      </c>
    </row>
    <row r="14" ht="12.75" customHeight="1" s="223">
      <c r="A14" s="600" t="n"/>
      <c r="B14" s="600" t="n"/>
      <c r="C14" s="600" t="n"/>
      <c r="D14" s="622" t="inlineStr">
        <is>
          <t>Total revenues (reported)</t>
        </is>
      </c>
      <c r="E14" s="623" t="n">
        <v>1710</v>
      </c>
      <c r="F14" s="623" t="n">
        <v>1793</v>
      </c>
      <c r="G14" s="623" t="n">
        <v>1758</v>
      </c>
      <c r="H14" s="623" t="n">
        <v>1777</v>
      </c>
      <c r="I14" s="623" t="n">
        <v>1668</v>
      </c>
      <c r="J14" s="623" t="n">
        <v>1747</v>
      </c>
      <c r="K14" s="623" t="n">
        <v>1751</v>
      </c>
      <c r="L14" s="623" t="n">
        <v>1941</v>
      </c>
      <c r="M14" s="623" t="n">
        <v>1715</v>
      </c>
      <c r="N14" s="623" t="n">
        <v>1754</v>
      </c>
      <c r="O14" s="623" t="n">
        <v>1652</v>
      </c>
      <c r="P14" s="623" t="n">
        <v>1765</v>
      </c>
      <c r="Q14" s="623" t="n">
        <v>1502</v>
      </c>
      <c r="R14" s="623" t="n">
        <v>1578</v>
      </c>
      <c r="S14" s="623" t="n">
        <v>1528</v>
      </c>
      <c r="T14" s="623" t="n">
        <v>1613</v>
      </c>
      <c r="U14" s="623" t="n">
        <v>1457</v>
      </c>
      <c r="V14" s="623" t="n">
        <v>1576</v>
      </c>
      <c r="W14" s="623" t="n">
        <v>1961</v>
      </c>
      <c r="X14" s="623" t="n">
        <v>2028</v>
      </c>
      <c r="Y14" s="623" t="n">
        <v>1846</v>
      </c>
      <c r="Z14" s="623" t="n">
        <v>1922</v>
      </c>
      <c r="AA14" s="600" t="n"/>
      <c r="AB14" s="623" t="n">
        <v>7038</v>
      </c>
      <c r="AC14" s="623" t="n">
        <v>7107</v>
      </c>
      <c r="AD14" s="623" t="n">
        <v>6886</v>
      </c>
      <c r="AE14" s="623" t="n">
        <v>6221</v>
      </c>
      <c r="AF14" s="623" t="n">
        <v>7022</v>
      </c>
      <c r="AG14" s="600" t="n"/>
      <c r="AH14" s="617" t="n"/>
      <c r="AI14" s="617" t="n"/>
    </row>
    <row r="15" ht="12.75" customHeight="1" s="223">
      <c r="A15" s="600" t="n"/>
      <c r="B15" s="600" t="n"/>
      <c r="C15" s="600" t="n"/>
      <c r="D15" s="624" t="inlineStr">
        <is>
          <t>Check</t>
        </is>
      </c>
      <c r="E15" s="625">
        <f>E13-E14</f>
        <v/>
      </c>
      <c r="F15" s="625">
        <f>F13-F14</f>
        <v/>
      </c>
      <c r="G15" s="625">
        <f>G13-G14</f>
        <v/>
      </c>
      <c r="H15" s="625">
        <f>H13-H14</f>
        <v/>
      </c>
      <c r="I15" s="625">
        <f>I13-I14</f>
        <v/>
      </c>
      <c r="J15" s="625">
        <f>J13-J14</f>
        <v/>
      </c>
      <c r="K15" s="625">
        <f>K13-K14</f>
        <v/>
      </c>
      <c r="L15" s="625">
        <f>L13-L14</f>
        <v/>
      </c>
      <c r="M15" s="625">
        <f>M13-M14</f>
        <v/>
      </c>
      <c r="N15" s="625">
        <f>N13-N14</f>
        <v/>
      </c>
      <c r="O15" s="625">
        <f>O13-O14</f>
        <v/>
      </c>
      <c r="P15" s="625">
        <f>P13-P14</f>
        <v/>
      </c>
      <c r="Q15" s="625">
        <f>Q13-Q14</f>
        <v/>
      </c>
      <c r="R15" s="625">
        <f>R13-R14</f>
        <v/>
      </c>
      <c r="S15" s="625">
        <f>S13-S14</f>
        <v/>
      </c>
      <c r="T15" s="625">
        <f>T13-T14</f>
        <v/>
      </c>
      <c r="U15" s="625">
        <f>U13-U14</f>
        <v/>
      </c>
      <c r="V15" s="625">
        <f>V13-V14</f>
        <v/>
      </c>
      <c r="W15" s="625">
        <f>W13-W14</f>
        <v/>
      </c>
      <c r="X15" s="625">
        <f>X13-X14</f>
        <v/>
      </c>
      <c r="Y15" s="625">
        <f>Y13-Y14</f>
        <v/>
      </c>
      <c r="Z15" s="625">
        <f>Z13-Z14</f>
        <v/>
      </c>
      <c r="AA15" s="600" t="n"/>
      <c r="AB15" s="625">
        <f>AB13-AB14</f>
        <v/>
      </c>
      <c r="AC15" s="625">
        <f>AC13-AC14</f>
        <v/>
      </c>
      <c r="AD15" s="625">
        <f>AD13-AD14</f>
        <v/>
      </c>
      <c r="AE15" s="625">
        <f>AE13-AE14</f>
        <v/>
      </c>
      <c r="AF15" s="625">
        <f>AF13-AF14</f>
        <v/>
      </c>
      <c r="AG15" s="600" t="n"/>
      <c r="AH15" s="617" t="n"/>
      <c r="AI15" s="617" t="n"/>
    </row>
    <row r="16" ht="12.75" customHeight="1" s="223">
      <c r="A16" s="600" t="n"/>
      <c r="B16" s="600" t="n"/>
      <c r="C16" s="600" t="n"/>
      <c r="D16" s="600" t="n"/>
      <c r="E16" s="600" t="n"/>
      <c r="F16" s="600" t="n"/>
      <c r="G16" s="600" t="n"/>
      <c r="H16" s="600" t="n"/>
      <c r="I16" s="600" t="n"/>
      <c r="J16" s="600" t="n"/>
      <c r="K16" s="600" t="n"/>
      <c r="L16" s="600" t="n"/>
      <c r="M16" s="600" t="n"/>
      <c r="N16" s="600" t="n"/>
      <c r="O16" s="600" t="n"/>
      <c r="P16" s="600" t="n"/>
      <c r="Q16" s="600" t="n"/>
      <c r="R16" s="600" t="n"/>
      <c r="S16" s="600" t="n"/>
      <c r="T16" s="600" t="n"/>
      <c r="U16" s="600" t="n"/>
      <c r="V16" s="600" t="n"/>
      <c r="W16" s="600" t="n"/>
      <c r="X16" s="600" t="n"/>
      <c r="Y16" s="600" t="n"/>
      <c r="Z16" s="600" t="n"/>
      <c r="AA16" s="600" t="n"/>
      <c r="AB16" s="600" t="n"/>
      <c r="AC16" s="600" t="n"/>
      <c r="AD16" s="600" t="n"/>
      <c r="AE16" s="600" t="n"/>
      <c r="AF16" s="600" t="n"/>
      <c r="AG16" s="600" t="n"/>
      <c r="AH16" s="600" t="n"/>
      <c r="AI16" s="600" t="n"/>
    </row>
    <row r="17" ht="12.75" customHeight="1" s="223">
      <c r="A17" s="600" t="n"/>
      <c r="B17" s="600" t="n"/>
      <c r="C17" s="600" t="n"/>
      <c r="D17" s="600" t="inlineStr">
        <is>
          <t>Cost of sales</t>
        </is>
      </c>
      <c r="E17" s="616" t="n">
        <v>420</v>
      </c>
      <c r="F17" s="616" t="n">
        <v>468</v>
      </c>
      <c r="G17" s="616" t="n">
        <v>498</v>
      </c>
      <c r="H17" s="617">
        <f>AB17-SUM(E17:G17)</f>
        <v/>
      </c>
      <c r="I17" s="616" t="n">
        <v>435</v>
      </c>
      <c r="J17" s="616" t="n">
        <v>487</v>
      </c>
      <c r="K17" s="616" t="n">
        <v>508</v>
      </c>
      <c r="L17" s="617">
        <f>AC17-SUM(I17:K17)</f>
        <v/>
      </c>
      <c r="M17" s="616" t="n">
        <v>425</v>
      </c>
      <c r="N17" s="616" t="n">
        <v>452</v>
      </c>
      <c r="O17" s="616" t="n">
        <v>435</v>
      </c>
      <c r="P17" s="617">
        <f>AD17-SUM(M17:O17)</f>
        <v/>
      </c>
      <c r="Q17" s="616" t="n">
        <v>340</v>
      </c>
      <c r="R17" s="616" t="n">
        <v>387</v>
      </c>
      <c r="S17" s="616" t="n">
        <v>390</v>
      </c>
      <c r="T17" s="617">
        <f>AE17-SUM(Q17:S17)</f>
        <v/>
      </c>
      <c r="U17" s="616" t="n">
        <v>382</v>
      </c>
      <c r="V17" s="616" t="n">
        <v>480</v>
      </c>
      <c r="W17" s="616" t="n">
        <v>788</v>
      </c>
      <c r="X17" s="617">
        <f>AF17-SUM(U17:W17)</f>
        <v/>
      </c>
      <c r="Y17" s="616" t="n">
        <v>600</v>
      </c>
      <c r="Z17" s="616" t="n">
        <v>579</v>
      </c>
      <c r="AA17" s="600" t="n"/>
      <c r="AB17" s="616" t="n">
        <v>1862</v>
      </c>
      <c r="AC17" s="616" t="n">
        <v>2002</v>
      </c>
      <c r="AD17" s="616" t="n">
        <v>1778</v>
      </c>
      <c r="AE17" s="616" t="n">
        <v>1562</v>
      </c>
      <c r="AF17" s="616" t="n">
        <v>2367</v>
      </c>
      <c r="AG17" s="600" t="n"/>
      <c r="AH17" s="617">
        <f>SUM(S17:V17)</f>
        <v/>
      </c>
      <c r="AI17" s="617">
        <f>SUM(W17:Z17)</f>
        <v/>
      </c>
    </row>
    <row r="18" ht="12.75" customHeight="1" s="223">
      <c r="A18" s="600" t="n"/>
      <c r="B18" s="600" t="n"/>
      <c r="C18" s="600" t="n"/>
      <c r="D18" s="600" t="inlineStr">
        <is>
          <t>Cost of services, maintenance, rentals and other</t>
        </is>
      </c>
      <c r="E18" s="616">
        <f>651+28</f>
        <v/>
      </c>
      <c r="F18" s="616">
        <f>658+28</f>
        <v/>
      </c>
      <c r="G18" s="616">
        <f>662+29</f>
        <v/>
      </c>
      <c r="H18" s="617">
        <f>AB18-SUM(E18:G18)</f>
        <v/>
      </c>
      <c r="I18" s="616">
        <f>679+24</f>
        <v/>
      </c>
      <c r="J18" s="616">
        <f>677+26</f>
        <v/>
      </c>
      <c r="K18" s="616">
        <f>659+28</f>
        <v/>
      </c>
      <c r="L18" s="617">
        <f>AC18-SUM(I18:K18)</f>
        <v/>
      </c>
      <c r="M18" s="616">
        <f>665+36</f>
        <v/>
      </c>
      <c r="N18" s="616">
        <f>671+34</f>
        <v/>
      </c>
      <c r="O18" s="616">
        <f>651+30</f>
        <v/>
      </c>
      <c r="P18" s="617">
        <f>AD18-SUM(M18:O18)</f>
        <v/>
      </c>
      <c r="Q18" s="616" t="n">
        <v>719</v>
      </c>
      <c r="R18" s="616" t="n">
        <v>671</v>
      </c>
      <c r="S18" s="616" t="n">
        <v>643</v>
      </c>
      <c r="T18" s="617">
        <f>AE18-SUM(Q18:S18)</f>
        <v/>
      </c>
      <c r="U18" s="616" t="n">
        <v>649</v>
      </c>
      <c r="V18" s="616" t="n">
        <v>645</v>
      </c>
      <c r="W18" s="616" t="n">
        <v>728</v>
      </c>
      <c r="X18" s="617">
        <f>AF18-SUM(U18:W18)</f>
        <v/>
      </c>
      <c r="Y18" s="616" t="n">
        <v>697</v>
      </c>
      <c r="Z18" s="616" t="n">
        <v>655</v>
      </c>
      <c r="AA18" s="600" t="n"/>
      <c r="AB18" s="616">
        <f>2662+111</f>
        <v/>
      </c>
      <c r="AC18" s="616">
        <f>2679+108</f>
        <v/>
      </c>
      <c r="AD18" s="616" t="n">
        <v>2794</v>
      </c>
      <c r="AE18" s="616" t="n">
        <v>2699</v>
      </c>
      <c r="AF18" s="616" t="n">
        <v>2754</v>
      </c>
      <c r="AG18" s="600" t="n"/>
      <c r="AH18" s="617">
        <f>SUM(S18:V18)</f>
        <v/>
      </c>
      <c r="AI18" s="617">
        <f>SUM(W18:Z18)</f>
        <v/>
      </c>
    </row>
    <row r="19" ht="12.75" customHeight="1" s="223">
      <c r="A19" s="600" t="n"/>
      <c r="B19" s="600" t="n"/>
      <c r="C19" s="600" t="n"/>
      <c r="D19" s="626" t="inlineStr">
        <is>
          <t>Total cost of revenues</t>
        </is>
      </c>
      <c r="E19" s="627">
        <f>E17+E18</f>
        <v/>
      </c>
      <c r="F19" s="627">
        <f>F17+F18</f>
        <v/>
      </c>
      <c r="G19" s="627">
        <f>G17+G18</f>
        <v/>
      </c>
      <c r="H19" s="627">
        <f>H17+H18</f>
        <v/>
      </c>
      <c r="I19" s="627">
        <f>I17+I18</f>
        <v/>
      </c>
      <c r="J19" s="627">
        <f>J17+J18</f>
        <v/>
      </c>
      <c r="K19" s="627">
        <f>K17+K18</f>
        <v/>
      </c>
      <c r="L19" s="627">
        <f>L17+L18</f>
        <v/>
      </c>
      <c r="M19" s="627">
        <f>M17+M18</f>
        <v/>
      </c>
      <c r="N19" s="627">
        <f>N17+N18</f>
        <v/>
      </c>
      <c r="O19" s="627">
        <f>O17+O18</f>
        <v/>
      </c>
      <c r="P19" s="627">
        <f>P17+P18</f>
        <v/>
      </c>
      <c r="Q19" s="627">
        <f>Q17+Q18</f>
        <v/>
      </c>
      <c r="R19" s="627">
        <f>R17+R18</f>
        <v/>
      </c>
      <c r="S19" s="627">
        <f>S17+S18</f>
        <v/>
      </c>
      <c r="T19" s="627">
        <f>T17+T18</f>
        <v/>
      </c>
      <c r="U19" s="627">
        <f>U17+U18</f>
        <v/>
      </c>
      <c r="V19" s="627">
        <f>V17+V18</f>
        <v/>
      </c>
      <c r="W19" s="627">
        <f>W17+W18</f>
        <v/>
      </c>
      <c r="X19" s="627">
        <f>X17+X18</f>
        <v/>
      </c>
      <c r="Y19" s="627">
        <f>Y17+Y18</f>
        <v/>
      </c>
      <c r="Z19" s="627">
        <f>Z17+Z18</f>
        <v/>
      </c>
      <c r="AA19" s="600" t="n"/>
      <c r="AB19" s="627">
        <f>AB17+AB18</f>
        <v/>
      </c>
      <c r="AC19" s="627">
        <f>AC17+AC18</f>
        <v/>
      </c>
      <c r="AD19" s="627">
        <f>AD17+AD18</f>
        <v/>
      </c>
      <c r="AE19" s="627">
        <f>AE17+AE18</f>
        <v/>
      </c>
      <c r="AF19" s="627">
        <f>AF17+AF18</f>
        <v/>
      </c>
      <c r="AG19" s="600" t="n"/>
      <c r="AH19" s="627">
        <f>AH17+AH18</f>
        <v/>
      </c>
      <c r="AI19" s="627">
        <f>AI17+AI18</f>
        <v/>
      </c>
    </row>
    <row r="20" ht="12.75" customHeight="1" s="223">
      <c r="A20" s="600" t="n"/>
      <c r="B20" s="600" t="n"/>
      <c r="C20" s="600" t="n"/>
      <c r="D20" s="618" t="inlineStr">
        <is>
          <t>Gross profit</t>
        </is>
      </c>
      <c r="E20" s="619">
        <f>E13-E19</f>
        <v/>
      </c>
      <c r="F20" s="619">
        <f>F13-F19</f>
        <v/>
      </c>
      <c r="G20" s="619">
        <f>G13-G19</f>
        <v/>
      </c>
      <c r="H20" s="619">
        <f>H13-H19</f>
        <v/>
      </c>
      <c r="I20" s="619">
        <f>I13-I19</f>
        <v/>
      </c>
      <c r="J20" s="619">
        <f>J13-J19</f>
        <v/>
      </c>
      <c r="K20" s="619">
        <f>K13-K19</f>
        <v/>
      </c>
      <c r="L20" s="619">
        <f>L13-L19</f>
        <v/>
      </c>
      <c r="M20" s="619">
        <f>M13-M19</f>
        <v/>
      </c>
      <c r="N20" s="619">
        <f>N13-N19</f>
        <v/>
      </c>
      <c r="O20" s="619">
        <f>O13-O19</f>
        <v/>
      </c>
      <c r="P20" s="619">
        <f>P13-P19</f>
        <v/>
      </c>
      <c r="Q20" s="619">
        <f>Q13-Q19</f>
        <v/>
      </c>
      <c r="R20" s="619">
        <f>R13-R19</f>
        <v/>
      </c>
      <c r="S20" s="619">
        <f>S13-S19</f>
        <v/>
      </c>
      <c r="T20" s="619">
        <f>T13-T19</f>
        <v/>
      </c>
      <c r="U20" s="619">
        <f>U13-U19</f>
        <v/>
      </c>
      <c r="V20" s="619">
        <f>V13-V19</f>
        <v/>
      </c>
      <c r="W20" s="619">
        <f>W13-W19</f>
        <v/>
      </c>
      <c r="X20" s="619">
        <f>X13-X19</f>
        <v/>
      </c>
      <c r="Y20" s="619">
        <f>Y13-Y19</f>
        <v/>
      </c>
      <c r="Z20" s="620">
        <f>Z13-Z19</f>
        <v/>
      </c>
      <c r="AA20" s="600" t="n"/>
      <c r="AB20" s="621">
        <f>AB13-AB19</f>
        <v/>
      </c>
      <c r="AC20" s="619">
        <f>AC13-AC19</f>
        <v/>
      </c>
      <c r="AD20" s="619">
        <f>AD13-AD19</f>
        <v/>
      </c>
      <c r="AE20" s="619">
        <f>AE13-AE19</f>
        <v/>
      </c>
      <c r="AF20" s="620">
        <f>AF13-AF19</f>
        <v/>
      </c>
      <c r="AG20" s="600" t="n"/>
      <c r="AH20" s="621">
        <f>AH13-AH19</f>
        <v/>
      </c>
      <c r="AI20" s="620">
        <f>AI13-AI19</f>
        <v/>
      </c>
    </row>
    <row r="21" ht="12.75" customHeight="1" s="223">
      <c r="A21" s="600" t="n"/>
      <c r="B21" s="600" t="n"/>
      <c r="C21" s="600" t="n"/>
      <c r="D21" s="600" t="n"/>
      <c r="E21" s="600" t="n"/>
      <c r="F21" s="600" t="n"/>
      <c r="G21" s="600" t="n"/>
      <c r="H21" s="600" t="n"/>
      <c r="I21" s="600" t="n"/>
      <c r="J21" s="600" t="n"/>
      <c r="K21" s="600" t="n"/>
      <c r="L21" s="600" t="n"/>
      <c r="M21" s="600" t="n"/>
      <c r="N21" s="600" t="n"/>
      <c r="O21" s="600" t="n"/>
      <c r="P21" s="600" t="n"/>
      <c r="Q21" s="600" t="n"/>
      <c r="R21" s="600" t="n"/>
      <c r="S21" s="600" t="n"/>
      <c r="T21" s="600" t="n"/>
      <c r="U21" s="600" t="n"/>
      <c r="V21" s="600" t="n"/>
      <c r="W21" s="600" t="n"/>
      <c r="X21" s="600" t="n"/>
      <c r="Y21" s="600" t="n"/>
      <c r="Z21" s="600" t="n"/>
      <c r="AA21" s="600" t="n"/>
      <c r="AB21" s="600" t="n"/>
      <c r="AC21" s="600" t="n"/>
      <c r="AD21" s="600" t="n"/>
      <c r="AE21" s="600" t="n"/>
      <c r="AF21" s="600" t="n"/>
      <c r="AG21" s="600" t="n"/>
      <c r="AH21" s="600" t="n"/>
      <c r="AI21" s="600" t="n"/>
    </row>
    <row r="22" ht="12.75" customHeight="1" s="223">
      <c r="A22" s="600" t="n"/>
      <c r="B22" s="600" t="n"/>
      <c r="C22" s="600" t="n"/>
      <c r="D22" s="600" t="inlineStr">
        <is>
          <t>Research, development and engineering expenses</t>
        </is>
      </c>
      <c r="E22" s="616" t="n">
        <v>74</v>
      </c>
      <c r="F22" s="616" t="n">
        <v>79</v>
      </c>
      <c r="G22" s="616" t="n">
        <v>82</v>
      </c>
      <c r="H22" s="617">
        <f>AB22-SUM(E22:G22)</f>
        <v/>
      </c>
      <c r="I22" s="616" t="n">
        <v>78</v>
      </c>
      <c r="J22" s="616" t="n">
        <v>84</v>
      </c>
      <c r="K22" s="616" t="n">
        <v>73</v>
      </c>
      <c r="L22" s="617">
        <f>AC22-SUM(I22:K22)</f>
        <v/>
      </c>
      <c r="M22" s="616" t="n">
        <v>64</v>
      </c>
      <c r="N22" s="616" t="n">
        <v>57</v>
      </c>
      <c r="O22" s="616" t="n">
        <v>52</v>
      </c>
      <c r="P22" s="617">
        <f>AD22-SUM(M22:O22)</f>
        <v/>
      </c>
      <c r="Q22" s="616" t="n">
        <v>49</v>
      </c>
      <c r="R22" s="616" t="n">
        <v>50</v>
      </c>
      <c r="S22" s="616" t="n">
        <v>45</v>
      </c>
      <c r="T22" s="617">
        <f>AE22-SUM(Q22:S22)</f>
        <v/>
      </c>
      <c r="U22" s="616" t="n">
        <v>42</v>
      </c>
      <c r="V22" s="616" t="n">
        <v>43</v>
      </c>
      <c r="W22" s="616" t="n">
        <v>74</v>
      </c>
      <c r="X22" s="617">
        <f>AF22-SUM(U22:W22)</f>
        <v/>
      </c>
      <c r="Y22" s="616" t="n">
        <v>64</v>
      </c>
      <c r="Z22" s="616" t="n">
        <v>67</v>
      </c>
      <c r="AA22" s="600" t="n"/>
      <c r="AB22" s="616" t="n">
        <v>310</v>
      </c>
      <c r="AC22" s="616" t="n">
        <v>304</v>
      </c>
      <c r="AD22" s="616" t="n">
        <v>229</v>
      </c>
      <c r="AE22" s="616" t="n">
        <v>191</v>
      </c>
      <c r="AF22" s="616" t="n">
        <v>230</v>
      </c>
      <c r="AG22" s="600" t="n"/>
      <c r="AH22" s="617">
        <f>SUM(S22:V22)</f>
        <v/>
      </c>
      <c r="AI22" s="617">
        <f>SUM(W22:Z22)</f>
        <v/>
      </c>
    </row>
    <row r="23" ht="12.75" customHeight="1" s="223">
      <c r="A23" s="600" t="n"/>
      <c r="B23" s="600" t="n"/>
      <c r="C23" s="600" t="n"/>
      <c r="D23" s="600" t="inlineStr">
        <is>
          <t>Selling, administrative and general expenses</t>
        </is>
      </c>
      <c r="E23" s="616" t="n">
        <v>448</v>
      </c>
      <c r="F23" s="616" t="n">
        <v>434</v>
      </c>
      <c r="G23" s="616" t="n">
        <v>413</v>
      </c>
      <c r="H23" s="617">
        <f>AB23-SUM(E23:G23)</f>
        <v/>
      </c>
      <c r="I23" s="616" t="n">
        <v>455</v>
      </c>
      <c r="J23" s="616" t="n">
        <v>459</v>
      </c>
      <c r="K23" s="616" t="n">
        <v>418</v>
      </c>
      <c r="L23" s="617">
        <f>AC23-SUM(I23:K23)</f>
        <v/>
      </c>
      <c r="M23" s="616" t="n">
        <v>407</v>
      </c>
      <c r="N23" s="616" t="n">
        <v>433</v>
      </c>
      <c r="O23" s="616" t="n">
        <v>416</v>
      </c>
      <c r="P23" s="617">
        <f>AD23-SUM(M23:O23)</f>
        <v/>
      </c>
      <c r="Q23" s="616" t="n">
        <v>397</v>
      </c>
      <c r="R23" s="616" t="n">
        <v>393</v>
      </c>
      <c r="S23" s="616" t="n">
        <v>370</v>
      </c>
      <c r="T23" s="617">
        <f>AE23-SUM(Q23:S23)</f>
        <v/>
      </c>
      <c r="U23" s="616" t="n">
        <v>378</v>
      </c>
      <c r="V23" s="616" t="n">
        <v>368</v>
      </c>
      <c r="W23" s="616" t="n">
        <v>477</v>
      </c>
      <c r="X23" s="617">
        <f>AF23-SUM(U23:W23)</f>
        <v/>
      </c>
      <c r="Y23" s="616" t="n">
        <v>430</v>
      </c>
      <c r="Z23" s="616" t="n">
        <v>432</v>
      </c>
      <c r="AA23" s="600" t="n"/>
      <c r="AB23" s="616" t="n">
        <v>1718</v>
      </c>
      <c r="AC23" s="616" t="n">
        <v>1760</v>
      </c>
      <c r="AD23" s="616" t="n">
        <v>1696</v>
      </c>
      <c r="AE23" s="616" t="n">
        <v>1537</v>
      </c>
      <c r="AF23" s="616" t="n">
        <v>1654</v>
      </c>
      <c r="AG23" s="600" t="n"/>
      <c r="AH23" s="617">
        <f>SUM(S23:V23)</f>
        <v/>
      </c>
      <c r="AI23" s="617">
        <f>SUM(W23:Z23)</f>
        <v/>
      </c>
    </row>
    <row r="24" ht="12.75" customHeight="1" s="223">
      <c r="A24" s="600" t="n"/>
      <c r="B24" s="600" t="n"/>
      <c r="C24" s="600" t="n"/>
      <c r="D24" s="600" t="inlineStr">
        <is>
          <t>Goodwill impairment</t>
        </is>
      </c>
      <c r="E24" s="616" t="n">
        <v>0</v>
      </c>
      <c r="F24" s="616" t="n">
        <v>0</v>
      </c>
      <c r="G24" s="616" t="n">
        <v>0</v>
      </c>
      <c r="H24" s="617">
        <f>AB24-SUM(E24:G24)</f>
        <v/>
      </c>
      <c r="I24" s="616" t="n">
        <v>0</v>
      </c>
      <c r="J24" s="616" t="n">
        <v>0</v>
      </c>
      <c r="K24" s="616" t="n">
        <v>412</v>
      </c>
      <c r="L24" s="617">
        <f>AC24-SUM(I24:K24)</f>
        <v/>
      </c>
      <c r="M24" s="616" t="n">
        <v>0</v>
      </c>
      <c r="N24" s="616" t="n">
        <v>0</v>
      </c>
      <c r="O24" s="616" t="n">
        <v>0</v>
      </c>
      <c r="P24" s="617">
        <f>AD24-SUM(M24:O24)</f>
        <v/>
      </c>
      <c r="Q24" s="616" t="n">
        <v>0</v>
      </c>
      <c r="R24" s="616" t="n">
        <v>0</v>
      </c>
      <c r="S24" s="616" t="n">
        <v>1058</v>
      </c>
      <c r="T24" s="617">
        <f>AE24-SUM(Q24:S24)</f>
        <v/>
      </c>
      <c r="U24" s="616" t="n">
        <v>0</v>
      </c>
      <c r="V24" s="616" t="n">
        <v>0</v>
      </c>
      <c r="W24" s="616" t="n">
        <v>0</v>
      </c>
      <c r="X24" s="617">
        <f>AF24-SUM(U24:W24)</f>
        <v/>
      </c>
      <c r="Y24" s="616" t="n">
        <v>0</v>
      </c>
      <c r="Z24" s="616" t="n">
        <v>0</v>
      </c>
      <c r="AA24" s="600" t="n"/>
      <c r="AB24" s="616" t="n">
        <v>781</v>
      </c>
      <c r="AC24" s="616" t="n">
        <v>412</v>
      </c>
      <c r="AD24" s="616" t="n">
        <v>0</v>
      </c>
      <c r="AE24" s="616" t="n">
        <v>1058</v>
      </c>
      <c r="AF24" s="616" t="n">
        <v>0</v>
      </c>
      <c r="AG24" s="600" t="n"/>
      <c r="AH24" s="617">
        <f>SUM(S24:V24)</f>
        <v/>
      </c>
      <c r="AI24" s="617">
        <f>SUM(W24:Z24)</f>
        <v/>
      </c>
    </row>
    <row r="25" ht="12.75" customHeight="1" s="223">
      <c r="A25" s="600" t="n"/>
      <c r="B25" s="600" t="n"/>
      <c r="C25" s="600" t="n"/>
      <c r="D25" s="600" t="inlineStr">
        <is>
          <t>Restructuring and related costs, net</t>
        </is>
      </c>
      <c r="E25" s="616" t="n">
        <v>17</v>
      </c>
      <c r="F25" s="616" t="n">
        <v>12</v>
      </c>
      <c r="G25" s="616" t="n">
        <v>10</v>
      </c>
      <c r="H25" s="617">
        <f>AB25-SUM(E25:G25)</f>
        <v/>
      </c>
      <c r="I25" s="616" t="n">
        <v>18</v>
      </c>
      <c r="J25" s="616" t="n">
        <v>1</v>
      </c>
      <c r="K25" s="616" t="n">
        <v>22</v>
      </c>
      <c r="L25" s="617">
        <f>AC25-SUM(I25:K25)</f>
        <v/>
      </c>
      <c r="M25" s="616" t="n">
        <v>2</v>
      </c>
      <c r="N25" s="616" t="n">
        <v>23</v>
      </c>
      <c r="O25" s="616" t="n">
        <v>10</v>
      </c>
      <c r="P25" s="617">
        <f>AD25-SUM(M25:O25)</f>
        <v/>
      </c>
      <c r="Q25" s="616" t="n">
        <v>39</v>
      </c>
      <c r="R25" s="616" t="n">
        <v>12</v>
      </c>
      <c r="S25" s="616" t="n">
        <v>56</v>
      </c>
      <c r="T25" s="617">
        <f>AE25-SUM(Q25:S25)</f>
        <v/>
      </c>
      <c r="U25" s="616" t="n">
        <v>-1</v>
      </c>
      <c r="V25" s="616" t="n">
        <v>10</v>
      </c>
      <c r="W25" s="616" t="n">
        <v>59</v>
      </c>
      <c r="X25" s="617">
        <f>AF25-SUM(U25:W25)</f>
        <v/>
      </c>
      <c r="Y25" s="616" t="n">
        <v>45</v>
      </c>
      <c r="Z25" s="616" t="n">
        <v>23</v>
      </c>
      <c r="AA25" s="600" t="n"/>
      <c r="AB25" s="616" t="n">
        <v>38</v>
      </c>
      <c r="AC25" s="616" t="n">
        <v>65</v>
      </c>
      <c r="AD25" s="616" t="n">
        <v>167</v>
      </c>
      <c r="AE25" s="616" t="n">
        <v>112</v>
      </c>
      <c r="AF25" s="616" t="n">
        <v>66</v>
      </c>
      <c r="AG25" s="600" t="n"/>
      <c r="AH25" s="617">
        <f>SUM(S25:V25)</f>
        <v/>
      </c>
      <c r="AI25" s="617">
        <f>SUM(W25:Z25)</f>
        <v/>
      </c>
    </row>
    <row r="26" ht="12.75" customHeight="1" s="223">
      <c r="A26" s="600" t="n"/>
      <c r="B26" s="600" t="n"/>
      <c r="C26" s="600" t="n"/>
      <c r="D26" s="600" t="inlineStr">
        <is>
          <t>Amortization of intangible assets</t>
        </is>
      </c>
      <c r="E26" s="616" t="n">
        <v>15</v>
      </c>
      <c r="F26" s="616" t="n">
        <v>14</v>
      </c>
      <c r="G26" s="616" t="n">
        <v>13</v>
      </c>
      <c r="H26" s="617">
        <f>AB26-SUM(E26:G26)</f>
        <v/>
      </c>
      <c r="I26" s="616" t="n">
        <v>11</v>
      </c>
      <c r="J26" s="616" t="n">
        <v>10</v>
      </c>
      <c r="K26" s="616" t="n">
        <v>10</v>
      </c>
      <c r="L26" s="617">
        <f>AC26-SUM(I26:K26)</f>
        <v/>
      </c>
      <c r="M26" s="616" t="n">
        <v>11</v>
      </c>
      <c r="N26" s="616" t="n">
        <v>10</v>
      </c>
      <c r="O26" s="616" t="n">
        <v>12</v>
      </c>
      <c r="P26" s="617">
        <f>AD26-SUM(M26:O26)</f>
        <v/>
      </c>
      <c r="Q26" s="616" t="n">
        <v>10</v>
      </c>
      <c r="R26" s="616" t="n">
        <v>10</v>
      </c>
      <c r="S26" s="616" t="n">
        <v>10</v>
      </c>
      <c r="T26" s="617">
        <f>AE26-SUM(Q26:S26)</f>
        <v/>
      </c>
      <c r="U26" s="616" t="n">
        <v>10</v>
      </c>
      <c r="V26" s="616" t="n">
        <v>10</v>
      </c>
      <c r="W26" s="616" t="n">
        <v>30</v>
      </c>
      <c r="X26" s="617">
        <f>AF26-SUM(U26:W26)</f>
        <v/>
      </c>
      <c r="Y26" s="616" t="n">
        <v>30</v>
      </c>
      <c r="Z26" s="616" t="n">
        <v>30</v>
      </c>
      <c r="AA26" s="600" t="n"/>
      <c r="AB26" s="616" t="n">
        <v>55</v>
      </c>
      <c r="AC26" s="616" t="n">
        <v>42</v>
      </c>
      <c r="AD26" s="616" t="n">
        <v>43</v>
      </c>
      <c r="AE26" s="616" t="n">
        <v>73</v>
      </c>
      <c r="AF26" s="616" t="n">
        <v>83</v>
      </c>
      <c r="AG26" s="600" t="n"/>
      <c r="AH26" s="617">
        <f>SUM(S26:V26)</f>
        <v/>
      </c>
      <c r="AI26" s="617">
        <f>SUM(W26:Z26)</f>
        <v/>
      </c>
    </row>
    <row r="27" ht="12.75" customHeight="1" s="223">
      <c r="A27" s="600" t="n"/>
      <c r="B27" s="600" t="n"/>
      <c r="C27" s="600" t="n"/>
      <c r="D27" s="600" t="inlineStr">
        <is>
          <t>Divestitures</t>
        </is>
      </c>
      <c r="E27" s="616" t="n">
        <v>0</v>
      </c>
      <c r="F27" s="616" t="n">
        <v>0</v>
      </c>
      <c r="G27" s="616" t="n">
        <v>0</v>
      </c>
      <c r="H27" s="617">
        <f>AB27-SUM(E27:G27)</f>
        <v/>
      </c>
      <c r="I27" s="616" t="n">
        <v>0</v>
      </c>
      <c r="J27" s="616" t="n">
        <v>0</v>
      </c>
      <c r="K27" s="616" t="n">
        <v>0</v>
      </c>
      <c r="L27" s="617">
        <f>AC27-SUM(I27:K27)</f>
        <v/>
      </c>
      <c r="M27" s="616" t="n">
        <v>0</v>
      </c>
      <c r="N27" s="616" t="n">
        <v>0</v>
      </c>
      <c r="O27" s="616" t="n">
        <v>0</v>
      </c>
      <c r="P27" s="617">
        <f>AD27-SUM(M27:O27)</f>
        <v/>
      </c>
      <c r="Q27" s="616" t="n">
        <v>54</v>
      </c>
      <c r="R27" s="616" t="n">
        <v>-3</v>
      </c>
      <c r="S27" s="616" t="n">
        <v>0</v>
      </c>
      <c r="T27" s="617">
        <f>AE27-SUM(Q27:S27)</f>
        <v/>
      </c>
      <c r="U27" s="616" t="n">
        <v>-4</v>
      </c>
      <c r="V27" s="616" t="n">
        <v>0</v>
      </c>
      <c r="W27" s="616" t="n">
        <v>0</v>
      </c>
      <c r="X27" s="617">
        <f>AF27-SUM(U27:W27)</f>
        <v/>
      </c>
      <c r="Y27" s="616" t="n">
        <v>0</v>
      </c>
      <c r="Z27" s="616" t="n">
        <v>0</v>
      </c>
      <c r="AA27" s="600" t="n"/>
      <c r="AB27" s="616" t="n">
        <v>0</v>
      </c>
      <c r="AC27" s="616" t="n">
        <v>0</v>
      </c>
      <c r="AD27" s="616" t="n">
        <v>0</v>
      </c>
      <c r="AE27" s="616" t="n">
        <v>47</v>
      </c>
      <c r="AF27" s="616" t="n">
        <v>-4</v>
      </c>
      <c r="AG27" s="600" t="n"/>
      <c r="AH27" s="617">
        <f>SUM(S27:V27)</f>
        <v/>
      </c>
      <c r="AI27" s="617">
        <f>SUM(W27:Z27)</f>
        <v/>
      </c>
    </row>
    <row r="28" ht="12.75" customHeight="1" s="223">
      <c r="A28" s="600" t="n"/>
      <c r="B28" s="600" t="n"/>
      <c r="C28" s="600" t="n"/>
      <c r="D28" s="600" t="inlineStr">
        <is>
          <t>PARC donation</t>
        </is>
      </c>
      <c r="E28" s="616" t="n">
        <v>0</v>
      </c>
      <c r="F28" s="616" t="n">
        <v>0</v>
      </c>
      <c r="G28" s="616" t="n">
        <v>0</v>
      </c>
      <c r="H28" s="617">
        <f>AB28-SUM(E28:G28)</f>
        <v/>
      </c>
      <c r="I28" s="616" t="n">
        <v>0</v>
      </c>
      <c r="J28" s="616" t="n">
        <v>0</v>
      </c>
      <c r="K28" s="616" t="n">
        <v>0</v>
      </c>
      <c r="L28" s="617">
        <f>AC28-SUM(I28:K28)</f>
        <v/>
      </c>
      <c r="M28" s="616" t="n">
        <v>0</v>
      </c>
      <c r="N28" s="616" t="n">
        <v>132</v>
      </c>
      <c r="O28" s="616" t="n">
        <v>0</v>
      </c>
      <c r="P28" s="617">
        <f>AD28-SUM(M28:O28)</f>
        <v/>
      </c>
      <c r="Q28" s="616" t="n">
        <v>0</v>
      </c>
      <c r="R28" s="616" t="n">
        <v>0</v>
      </c>
      <c r="S28" s="616" t="n">
        <v>0</v>
      </c>
      <c r="T28" s="617">
        <f>AE28-SUM(Q28:S28)</f>
        <v/>
      </c>
      <c r="U28" s="616" t="n">
        <v>0</v>
      </c>
      <c r="V28" s="616" t="n">
        <v>0</v>
      </c>
      <c r="W28" s="616" t="n">
        <v>0</v>
      </c>
      <c r="X28" s="617">
        <f>AF28-SUM(U28:W28)</f>
        <v/>
      </c>
      <c r="Y28" s="616" t="n">
        <v>0</v>
      </c>
      <c r="Z28" s="616" t="n">
        <v>0</v>
      </c>
      <c r="AA28" s="600" t="n"/>
      <c r="AB28" s="616" t="n">
        <v>0</v>
      </c>
      <c r="AC28" s="616" t="n">
        <v>0</v>
      </c>
      <c r="AD28" s="616" t="n">
        <v>132</v>
      </c>
      <c r="AE28" s="616" t="n">
        <v>0</v>
      </c>
      <c r="AF28" s="616" t="n">
        <v>0</v>
      </c>
      <c r="AG28" s="600" t="n"/>
      <c r="AH28" s="617">
        <f>SUM(S28:V28)</f>
        <v/>
      </c>
      <c r="AI28" s="617">
        <f>SUM(W28:Z28)</f>
        <v/>
      </c>
    </row>
    <row r="29" ht="12.75" customHeight="1" s="223">
      <c r="A29" s="600" t="n"/>
      <c r="B29" s="600" t="n"/>
      <c r="C29" s="600" t="n"/>
      <c r="D29" s="626" t="inlineStr">
        <is>
          <t>Total operating expenses</t>
        </is>
      </c>
      <c r="E29" s="627">
        <f>SUM(E22:E28)</f>
        <v/>
      </c>
      <c r="F29" s="627">
        <f>SUM(F22:F28)</f>
        <v/>
      </c>
      <c r="G29" s="627">
        <f>SUM(G22:G28)</f>
        <v/>
      </c>
      <c r="H29" s="627">
        <f>SUM(H22:H28)</f>
        <v/>
      </c>
      <c r="I29" s="627">
        <f>SUM(I22:I28)</f>
        <v/>
      </c>
      <c r="J29" s="627">
        <f>SUM(J22:J28)</f>
        <v/>
      </c>
      <c r="K29" s="627">
        <f>SUM(K22:K28)</f>
        <v/>
      </c>
      <c r="L29" s="627">
        <f>SUM(L22:L28)</f>
        <v/>
      </c>
      <c r="M29" s="627">
        <f>SUM(M22:M28)</f>
        <v/>
      </c>
      <c r="N29" s="627">
        <f>SUM(N22:N28)</f>
        <v/>
      </c>
      <c r="O29" s="627">
        <f>SUM(O22:O28)</f>
        <v/>
      </c>
      <c r="P29" s="627">
        <f>SUM(P22:P28)</f>
        <v/>
      </c>
      <c r="Q29" s="627">
        <f>SUM(Q22:Q28)</f>
        <v/>
      </c>
      <c r="R29" s="627">
        <f>SUM(R22:R28)</f>
        <v/>
      </c>
      <c r="S29" s="627">
        <f>SUM(S22:S28)</f>
        <v/>
      </c>
      <c r="T29" s="627">
        <f>SUM(T22:T28)</f>
        <v/>
      </c>
      <c r="U29" s="627">
        <f>SUM(U22:U28)</f>
        <v/>
      </c>
      <c r="V29" s="627">
        <f>SUM(V22:V28)</f>
        <v/>
      </c>
      <c r="W29" s="627">
        <f>SUM(W22:W28)</f>
        <v/>
      </c>
      <c r="X29" s="627">
        <f>SUM(X22:X28)</f>
        <v/>
      </c>
      <c r="Y29" s="627">
        <f>SUM(Y22:Y28)</f>
        <v/>
      </c>
      <c r="Z29" s="627">
        <f>SUM(Z22:Z28)</f>
        <v/>
      </c>
      <c r="AA29" s="600" t="n"/>
      <c r="AB29" s="627">
        <f>SUM(AB22:AB28)</f>
        <v/>
      </c>
      <c r="AC29" s="627">
        <f>SUM(AC22:AC28)</f>
        <v/>
      </c>
      <c r="AD29" s="627">
        <f>SUM(AD22:AD28)</f>
        <v/>
      </c>
      <c r="AE29" s="627">
        <f>SUM(AE22:AE28)</f>
        <v/>
      </c>
      <c r="AF29" s="627">
        <f>SUM(AF22:AF28)</f>
        <v/>
      </c>
      <c r="AG29" s="600" t="n"/>
      <c r="AH29" s="627">
        <f>SUM(AH22:AH28)</f>
        <v/>
      </c>
      <c r="AI29" s="627">
        <f>SUM(AI22:AI28)</f>
        <v/>
      </c>
    </row>
    <row r="30" ht="12.75" customHeight="1" s="223">
      <c r="A30" s="600" t="n"/>
      <c r="B30" s="600" t="n"/>
      <c r="C30" s="600" t="n"/>
      <c r="D30" s="618" t="inlineStr">
        <is>
          <t>Operating (loss) income</t>
        </is>
      </c>
      <c r="E30" s="619">
        <f>E20-E29</f>
        <v/>
      </c>
      <c r="F30" s="619">
        <f>F20-F29</f>
        <v/>
      </c>
      <c r="G30" s="619">
        <f>G20-G29</f>
        <v/>
      </c>
      <c r="H30" s="619">
        <f>H20-H29</f>
        <v/>
      </c>
      <c r="I30" s="619">
        <f>I20-I29</f>
        <v/>
      </c>
      <c r="J30" s="619">
        <f>J20-J29</f>
        <v/>
      </c>
      <c r="K30" s="619">
        <f>K20-K29</f>
        <v/>
      </c>
      <c r="L30" s="619">
        <f>L20-L29</f>
        <v/>
      </c>
      <c r="M30" s="619">
        <f>M20-M29</f>
        <v/>
      </c>
      <c r="N30" s="619">
        <f>N20-N29</f>
        <v/>
      </c>
      <c r="O30" s="619">
        <f>O20-O29</f>
        <v/>
      </c>
      <c r="P30" s="619">
        <f>P20-P29</f>
        <v/>
      </c>
      <c r="Q30" s="619">
        <f>Q20-Q29</f>
        <v/>
      </c>
      <c r="R30" s="619">
        <f>R20-R29</f>
        <v/>
      </c>
      <c r="S30" s="619">
        <f>S20-S29</f>
        <v/>
      </c>
      <c r="T30" s="619">
        <f>T20-T29</f>
        <v/>
      </c>
      <c r="U30" s="619">
        <f>U20-U29</f>
        <v/>
      </c>
      <c r="V30" s="619">
        <f>V20-V29</f>
        <v/>
      </c>
      <c r="W30" s="619">
        <f>W20-W29</f>
        <v/>
      </c>
      <c r="X30" s="619">
        <f>X20-X29</f>
        <v/>
      </c>
      <c r="Y30" s="619">
        <f>Y20-Y29</f>
        <v/>
      </c>
      <c r="Z30" s="620">
        <f>Z20-Z29</f>
        <v/>
      </c>
      <c r="AA30" s="600" t="n"/>
      <c r="AB30" s="621">
        <f>AB20-AB29</f>
        <v/>
      </c>
      <c r="AC30" s="619">
        <f>AC20-AC29</f>
        <v/>
      </c>
      <c r="AD30" s="619">
        <f>AD20-AD29</f>
        <v/>
      </c>
      <c r="AE30" s="619">
        <f>AE20-AE29</f>
        <v/>
      </c>
      <c r="AF30" s="620">
        <f>AF20-AF29</f>
        <v/>
      </c>
      <c r="AG30" s="600" t="n"/>
      <c r="AH30" s="621">
        <f>AH20-AH29</f>
        <v/>
      </c>
      <c r="AI30" s="620">
        <f>AI20-AI29</f>
        <v/>
      </c>
    </row>
    <row r="31" ht="12.75" customHeight="1" s="223">
      <c r="A31" s="600" t="n"/>
      <c r="B31" s="600" t="n"/>
      <c r="C31" s="600" t="n"/>
      <c r="D31" s="600" t="n"/>
      <c r="E31" s="600" t="n"/>
      <c r="F31" s="600" t="n"/>
      <c r="G31" s="600" t="n"/>
      <c r="H31" s="600" t="n"/>
      <c r="I31" s="600" t="n"/>
      <c r="J31" s="600" t="n"/>
      <c r="K31" s="600" t="n"/>
      <c r="L31" s="600" t="n"/>
      <c r="M31" s="600" t="n"/>
      <c r="N31" s="600" t="n"/>
      <c r="O31" s="600" t="n"/>
      <c r="P31" s="600" t="n"/>
      <c r="Q31" s="600" t="n"/>
      <c r="R31" s="600" t="n"/>
      <c r="S31" s="600" t="n"/>
      <c r="T31" s="600" t="n"/>
      <c r="U31" s="600" t="n"/>
      <c r="V31" s="600" t="n"/>
      <c r="W31" s="600" t="n"/>
      <c r="X31" s="600" t="n"/>
      <c r="Y31" s="600" t="n"/>
      <c r="Z31" s="600" t="n"/>
      <c r="AA31" s="600" t="n"/>
      <c r="AB31" s="600" t="n"/>
      <c r="AC31" s="600" t="n"/>
      <c r="AD31" s="600" t="n"/>
      <c r="AE31" s="600" t="n"/>
      <c r="AF31" s="600" t="n"/>
      <c r="AG31" s="600" t="n"/>
      <c r="AH31" s="600" t="n"/>
      <c r="AI31" s="600" t="n"/>
    </row>
    <row r="32" ht="12.75" customHeight="1" s="223">
      <c r="A32" s="600" t="n"/>
      <c r="B32" s="600" t="n"/>
      <c r="C32" s="600" t="n"/>
      <c r="D32" s="600" t="inlineStr">
        <is>
          <t>Non-financing interest expense</t>
        </is>
      </c>
      <c r="E32" s="616">
        <f>52-28</f>
        <v/>
      </c>
      <c r="F32" s="616">
        <f>52-28</f>
        <v/>
      </c>
      <c r="G32" s="616">
        <f>52-29</f>
        <v/>
      </c>
      <c r="H32" s="617">
        <f>AB32-SUM(E32:G32)</f>
        <v/>
      </c>
      <c r="I32" s="616">
        <f>53-24</f>
        <v/>
      </c>
      <c r="J32" s="616">
        <f>49-26</f>
        <v/>
      </c>
      <c r="K32" s="616">
        <f>49-28</f>
        <v/>
      </c>
      <c r="L32" s="617">
        <f>AC32-SUM(I32:K32)</f>
        <v/>
      </c>
      <c r="M32" s="616">
        <f>50-36</f>
        <v/>
      </c>
      <c r="N32" s="616">
        <f>46-34</f>
        <v/>
      </c>
      <c r="O32" s="616">
        <f>44-30</f>
        <v/>
      </c>
      <c r="P32" s="617">
        <f>AD32-SUM(M32:O32)</f>
        <v/>
      </c>
      <c r="Q32" s="616" t="n">
        <v>26</v>
      </c>
      <c r="R32" s="616" t="n">
        <v>31</v>
      </c>
      <c r="S32" s="616" t="n">
        <v>31</v>
      </c>
      <c r="T32" s="617">
        <f>AE32-SUM(Q32:S32)</f>
        <v/>
      </c>
      <c r="U32" s="616" t="n">
        <v>33</v>
      </c>
      <c r="V32" s="616" t="n">
        <v>55</v>
      </c>
      <c r="W32" s="616" t="n">
        <v>80</v>
      </c>
      <c r="X32" s="617">
        <f>AF32-SUM(U32:W32)</f>
        <v/>
      </c>
      <c r="Y32" s="616" t="n">
        <v>84</v>
      </c>
      <c r="Z32" s="616" t="n">
        <v>100</v>
      </c>
      <c r="AA32" s="600" t="n"/>
      <c r="AB32" s="616">
        <f>207-111</f>
        <v/>
      </c>
      <c r="AC32" s="616">
        <f>199-108</f>
        <v/>
      </c>
      <c r="AD32" s="616">
        <f>198-130</f>
        <v/>
      </c>
      <c r="AE32" s="616" t="n">
        <v>119</v>
      </c>
      <c r="AF32" s="616" t="n">
        <v>248</v>
      </c>
      <c r="AG32" s="600" t="n"/>
      <c r="AH32" s="617">
        <f>SUM(S32:V32)</f>
        <v/>
      </c>
      <c r="AI32" s="617">
        <f>SUM(W32:Z32)</f>
        <v/>
      </c>
    </row>
    <row r="33" ht="12.75" customHeight="1" s="223">
      <c r="A33" s="600" t="n"/>
      <c r="B33" s="600" t="n"/>
      <c r="C33" s="600" t="n"/>
      <c r="D33" s="600" t="inlineStr">
        <is>
          <t>Other expenses (income), net</t>
        </is>
      </c>
      <c r="E33" s="616">
        <f>4-0-24</f>
        <v/>
      </c>
      <c r="F33" s="616">
        <f>1-1-24</f>
        <v/>
      </c>
      <c r="G33" s="616">
        <f>-33-1-23</f>
        <v/>
      </c>
      <c r="H33" s="617">
        <f>AB33-SUM(E33:G33)</f>
        <v/>
      </c>
      <c r="I33" s="616">
        <f>57-1-29</f>
        <v/>
      </c>
      <c r="J33" s="616">
        <f>8-1-23</f>
        <v/>
      </c>
      <c r="K33" s="616">
        <f>1-1-21</f>
        <v/>
      </c>
      <c r="L33" s="617">
        <f>AC33-SUM(I33:K33)</f>
        <v/>
      </c>
      <c r="M33" s="616">
        <f>20-0-14</f>
        <v/>
      </c>
      <c r="N33" s="616">
        <f>31-1-12</f>
        <v/>
      </c>
      <c r="O33" s="616">
        <f>-17-1-14</f>
        <v/>
      </c>
      <c r="P33" s="617">
        <f>AD33-SUM(M33:O33)</f>
        <v/>
      </c>
      <c r="Q33" s="616">
        <f>44-26</f>
        <v/>
      </c>
      <c r="R33" s="616">
        <f>33-31</f>
        <v/>
      </c>
      <c r="S33" s="616">
        <f>43-31</f>
        <v/>
      </c>
      <c r="T33" s="617">
        <f>AE33-SUM(Q33:S33)</f>
        <v/>
      </c>
      <c r="U33" s="616" t="n">
        <v>35</v>
      </c>
      <c r="V33" s="616" t="n">
        <v>25</v>
      </c>
      <c r="W33" s="616">
        <f>105-80</f>
        <v/>
      </c>
      <c r="X33" s="617">
        <f>AF33-SUM(U33:W33)</f>
        <v/>
      </c>
      <c r="Y33" s="616" t="n">
        <v>-31</v>
      </c>
      <c r="Z33" s="616" t="n">
        <v>5</v>
      </c>
      <c r="AA33" s="600" t="n"/>
      <c r="AB33" s="616">
        <f>-27-(207-111)</f>
        <v/>
      </c>
      <c r="AC33" s="616">
        <f>60-(199-108)</f>
        <v/>
      </c>
      <c r="AD33" s="616">
        <f>75-(198-130)</f>
        <v/>
      </c>
      <c r="AE33" s="616">
        <f>158-119</f>
        <v/>
      </c>
      <c r="AF33" s="616">
        <f>360-248</f>
        <v/>
      </c>
      <c r="AG33" s="600" t="n"/>
      <c r="AH33" s="617">
        <f>SUM(S33:V33)</f>
        <v/>
      </c>
      <c r="AI33" s="617">
        <f>SUM(W33:Z33)</f>
        <v/>
      </c>
    </row>
    <row r="34" ht="12.75" customHeight="1" s="223">
      <c r="A34" s="600" t="n"/>
      <c r="B34" s="600" t="n"/>
      <c r="C34" s="600" t="n"/>
      <c r="D34" s="618" t="inlineStr">
        <is>
          <t>(Loss) income before income taxes</t>
        </is>
      </c>
      <c r="E34" s="619">
        <f>E30-E32-E33</f>
        <v/>
      </c>
      <c r="F34" s="619">
        <f>F30-F32-F33</f>
        <v/>
      </c>
      <c r="G34" s="619">
        <f>G30-G32-G33</f>
        <v/>
      </c>
      <c r="H34" s="619">
        <f>H30-H32-H33</f>
        <v/>
      </c>
      <c r="I34" s="619">
        <f>I30-I32-I33</f>
        <v/>
      </c>
      <c r="J34" s="619">
        <f>J30-J32-J33</f>
        <v/>
      </c>
      <c r="K34" s="619">
        <f>K30-K32-K33</f>
        <v/>
      </c>
      <c r="L34" s="619">
        <f>L30-L32-L33</f>
        <v/>
      </c>
      <c r="M34" s="619">
        <f>M30-M32-M33</f>
        <v/>
      </c>
      <c r="N34" s="619">
        <f>N30-N32-N33</f>
        <v/>
      </c>
      <c r="O34" s="619">
        <f>O30-O32-O33</f>
        <v/>
      </c>
      <c r="P34" s="619">
        <f>P30-P32-P33</f>
        <v/>
      </c>
      <c r="Q34" s="619">
        <f>Q30-Q32-Q33</f>
        <v/>
      </c>
      <c r="R34" s="619">
        <f>R30-R32-R33</f>
        <v/>
      </c>
      <c r="S34" s="619">
        <f>S30-S32-S33</f>
        <v/>
      </c>
      <c r="T34" s="619">
        <f>T30-T32-T33</f>
        <v/>
      </c>
      <c r="U34" s="619">
        <f>U30-U32-U33</f>
        <v/>
      </c>
      <c r="V34" s="619">
        <f>V30-V32-V33</f>
        <v/>
      </c>
      <c r="W34" s="619">
        <f>W30-W32-W33</f>
        <v/>
      </c>
      <c r="X34" s="619">
        <f>X30-X32-X33</f>
        <v/>
      </c>
      <c r="Y34" s="619">
        <f>Y30-Y32-Y33</f>
        <v/>
      </c>
      <c r="Z34" s="620">
        <f>Z30-Z32-Z33</f>
        <v/>
      </c>
      <c r="AA34" s="600" t="n"/>
      <c r="AB34" s="621">
        <f>AB30-AB32-AB33</f>
        <v/>
      </c>
      <c r="AC34" s="619">
        <f>AC30-AC32-AC33</f>
        <v/>
      </c>
      <c r="AD34" s="619">
        <f>AD30-AD32-AD33</f>
        <v/>
      </c>
      <c r="AE34" s="619">
        <f>AE30-AE32-AE33</f>
        <v/>
      </c>
      <c r="AF34" s="620">
        <f>AF30-AF32-AF33</f>
        <v/>
      </c>
      <c r="AG34" s="600" t="n"/>
      <c r="AH34" s="621">
        <f>AH30-AH32-AH33</f>
        <v/>
      </c>
      <c r="AI34" s="620">
        <f>AI30-AI32-AI33</f>
        <v/>
      </c>
    </row>
    <row r="35" ht="12.75" customHeight="1" s="223">
      <c r="A35" s="600" t="n"/>
      <c r="B35" s="600" t="n"/>
      <c r="C35" s="600" t="n"/>
      <c r="D35" s="600" t="inlineStr">
        <is>
          <t>Income tax expense (benefit)</t>
        </is>
      </c>
      <c r="E35" s="616" t="n">
        <v>14</v>
      </c>
      <c r="F35" s="616" t="n">
        <v>9</v>
      </c>
      <c r="G35" s="616" t="n">
        <v>-4</v>
      </c>
      <c r="H35" s="617">
        <f>AB35-SUM(E35:G35)</f>
        <v/>
      </c>
      <c r="I35" s="616" t="n">
        <v>-31</v>
      </c>
      <c r="J35" s="616" t="n">
        <v>1</v>
      </c>
      <c r="K35" s="616" t="n">
        <v>3</v>
      </c>
      <c r="L35" s="617">
        <f>AC35-SUM(I35:K35)</f>
        <v/>
      </c>
      <c r="M35" s="616" t="n">
        <v>14</v>
      </c>
      <c r="N35" s="616" t="n">
        <v>-28</v>
      </c>
      <c r="O35" s="616" t="n">
        <v>15</v>
      </c>
      <c r="P35" s="617">
        <f>AD35-SUM(M35:O35)</f>
        <v/>
      </c>
      <c r="Q35" s="616" t="n">
        <v>-37</v>
      </c>
      <c r="R35" s="616" t="n">
        <v>7</v>
      </c>
      <c r="S35" s="616" t="n">
        <v>118</v>
      </c>
      <c r="T35" s="617">
        <f>AE35-SUM(Q35:S35)</f>
        <v/>
      </c>
      <c r="U35" s="616" t="n">
        <v>23</v>
      </c>
      <c r="V35" s="616" t="n">
        <v>46</v>
      </c>
      <c r="W35" s="616" t="n">
        <v>460</v>
      </c>
      <c r="X35" s="617">
        <f>AF35-SUM(U35:W35)</f>
        <v/>
      </c>
      <c r="Y35" s="616" t="n">
        <v>32</v>
      </c>
      <c r="Z35" s="616" t="n">
        <v>18</v>
      </c>
      <c r="AA35" s="600" t="n"/>
      <c r="AB35" s="616" t="n">
        <v>-17</v>
      </c>
      <c r="AC35" s="616" t="n">
        <v>-3</v>
      </c>
      <c r="AD35" s="616" t="n">
        <v>-29</v>
      </c>
      <c r="AE35" s="616" t="n">
        <v>105</v>
      </c>
      <c r="AF35" s="616" t="n">
        <v>541</v>
      </c>
      <c r="AG35" s="600" t="n"/>
      <c r="AH35" s="617">
        <f>SUM(S35:V35)</f>
        <v/>
      </c>
      <c r="AI35" s="617">
        <f>SUM(W35:Z35)</f>
        <v/>
      </c>
    </row>
    <row r="36" ht="12.75" customHeight="1" s="223">
      <c r="A36" s="600" t="n"/>
      <c r="B36" s="600" t="n"/>
      <c r="C36" s="600" t="n"/>
      <c r="D36" s="618" t="inlineStr">
        <is>
          <t>Net (loss) income</t>
        </is>
      </c>
      <c r="E36" s="619">
        <f>E34-E35</f>
        <v/>
      </c>
      <c r="F36" s="619">
        <f>F34-F35</f>
        <v/>
      </c>
      <c r="G36" s="619">
        <f>G34-G35</f>
        <v/>
      </c>
      <c r="H36" s="619">
        <f>H34-H35</f>
        <v/>
      </c>
      <c r="I36" s="619">
        <f>I34-I35</f>
        <v/>
      </c>
      <c r="J36" s="619">
        <f>J34-J35</f>
        <v/>
      </c>
      <c r="K36" s="619">
        <f>K34-K35</f>
        <v/>
      </c>
      <c r="L36" s="619">
        <f>L34-L35</f>
        <v/>
      </c>
      <c r="M36" s="619">
        <f>M34-M35</f>
        <v/>
      </c>
      <c r="N36" s="619">
        <f>N34-N35</f>
        <v/>
      </c>
      <c r="O36" s="619">
        <f>O34-O35</f>
        <v/>
      </c>
      <c r="P36" s="619">
        <f>P34-P35</f>
        <v/>
      </c>
      <c r="Q36" s="619">
        <f>Q34-Q35</f>
        <v/>
      </c>
      <c r="R36" s="619">
        <f>R34-R35</f>
        <v/>
      </c>
      <c r="S36" s="619">
        <f>S34-S35</f>
        <v/>
      </c>
      <c r="T36" s="619">
        <f>T34-T35</f>
        <v/>
      </c>
      <c r="U36" s="619">
        <f>U34-U35</f>
        <v/>
      </c>
      <c r="V36" s="619">
        <f>V34-V35</f>
        <v/>
      </c>
      <c r="W36" s="619">
        <f>W34-W35</f>
        <v/>
      </c>
      <c r="X36" s="619">
        <f>X34-X35</f>
        <v/>
      </c>
      <c r="Y36" s="619">
        <f>Y34-Y35</f>
        <v/>
      </c>
      <c r="Z36" s="620">
        <f>Z34-Z35</f>
        <v/>
      </c>
      <c r="AA36" s="600" t="n"/>
      <c r="AB36" s="621">
        <f>AB34-AB35</f>
        <v/>
      </c>
      <c r="AC36" s="619">
        <f>AC34-AC35</f>
        <v/>
      </c>
      <c r="AD36" s="619">
        <f>AD34-AD35</f>
        <v/>
      </c>
      <c r="AE36" s="619">
        <f>AE34-AE35</f>
        <v/>
      </c>
      <c r="AF36" s="620">
        <f>AF34-AF35</f>
        <v/>
      </c>
      <c r="AG36" s="600" t="n"/>
      <c r="AH36" s="621">
        <f>AH34-AH35</f>
        <v/>
      </c>
      <c r="AI36" s="620">
        <f>AI34-AI35</f>
        <v/>
      </c>
    </row>
    <row r="37" ht="12.75" customHeight="1" s="223">
      <c r="A37" s="600" t="n"/>
      <c r="B37" s="600" t="n"/>
      <c r="C37" s="600" t="n"/>
      <c r="D37" s="600" t="inlineStr">
        <is>
          <t>Less: net (income) loss attributable to noncontrolling interests</t>
        </is>
      </c>
      <c r="E37" s="616" t="n">
        <v>0</v>
      </c>
      <c r="F37" s="616" t="n">
        <v>0</v>
      </c>
      <c r="G37" s="616" t="n">
        <v>1</v>
      </c>
      <c r="H37" s="617">
        <f>AB37-SUM(E37:G37)</f>
        <v/>
      </c>
      <c r="I37" s="616" t="n">
        <v>1</v>
      </c>
      <c r="J37" s="616" t="n">
        <v>1</v>
      </c>
      <c r="K37" s="616" t="n">
        <v>-1</v>
      </c>
      <c r="L37" s="617">
        <f>AC37-SUM(I37:K37)</f>
        <v/>
      </c>
      <c r="M37" s="616" t="n">
        <v>0</v>
      </c>
      <c r="N37" s="616" t="n">
        <v>-1</v>
      </c>
      <c r="O37" s="616" t="n">
        <v>0</v>
      </c>
      <c r="P37" s="617">
        <f>AD37-SUM(M37:O37)</f>
        <v/>
      </c>
      <c r="Q37" s="616" t="n">
        <v>0</v>
      </c>
      <c r="R37" s="616" t="n">
        <v>0</v>
      </c>
      <c r="S37" s="616" t="n">
        <v>0</v>
      </c>
      <c r="T37" s="617">
        <f>AE37-SUM(Q37:S37)</f>
        <v/>
      </c>
      <c r="U37" s="616" t="n">
        <v>0</v>
      </c>
      <c r="V37" s="616" t="n">
        <v>0</v>
      </c>
      <c r="W37" s="616" t="n">
        <v>0</v>
      </c>
      <c r="X37" s="617">
        <f>AF37-SUM(U37:W37)</f>
        <v/>
      </c>
      <c r="Y37" s="616" t="n">
        <v>0</v>
      </c>
      <c r="Z37" s="616" t="n">
        <v>0</v>
      </c>
      <c r="AA37" s="600" t="n"/>
      <c r="AB37" s="616" t="n">
        <v>0</v>
      </c>
      <c r="AC37" s="616" t="n">
        <v>0</v>
      </c>
      <c r="AD37" s="616" t="n">
        <v>0</v>
      </c>
      <c r="AE37" s="616" t="n">
        <v>0</v>
      </c>
      <c r="AF37" s="616" t="n">
        <v>0</v>
      </c>
      <c r="AG37" s="600" t="n"/>
      <c r="AH37" s="617">
        <f>SUM(S37:V37)</f>
        <v/>
      </c>
      <c r="AI37" s="617">
        <f>SUM(W37:Z37)</f>
        <v/>
      </c>
    </row>
    <row r="38" ht="12.75" customHeight="1" s="223">
      <c r="A38" s="600" t="n"/>
      <c r="B38" s="600" t="n"/>
      <c r="C38" s="600" t="n"/>
      <c r="D38" s="618" t="inlineStr">
        <is>
          <t>Net (loss) income attributable to Xerox Holdings</t>
        </is>
      </c>
      <c r="E38" s="619">
        <f>E36+E37</f>
        <v/>
      </c>
      <c r="F38" s="619">
        <f>F36+F37</f>
        <v/>
      </c>
      <c r="G38" s="619">
        <f>G36+G37</f>
        <v/>
      </c>
      <c r="H38" s="619">
        <f>H36+H37</f>
        <v/>
      </c>
      <c r="I38" s="619">
        <f>I36+I37</f>
        <v/>
      </c>
      <c r="J38" s="619">
        <f>J36+J37</f>
        <v/>
      </c>
      <c r="K38" s="619">
        <f>K36+K37</f>
        <v/>
      </c>
      <c r="L38" s="619">
        <f>L36+L37</f>
        <v/>
      </c>
      <c r="M38" s="619">
        <f>M36+M37</f>
        <v/>
      </c>
      <c r="N38" s="619">
        <f>N36+N37</f>
        <v/>
      </c>
      <c r="O38" s="619">
        <f>O36+O37</f>
        <v/>
      </c>
      <c r="P38" s="619">
        <f>P36+P37</f>
        <v/>
      </c>
      <c r="Q38" s="619">
        <f>Q36+Q37</f>
        <v/>
      </c>
      <c r="R38" s="619">
        <f>R36+R37</f>
        <v/>
      </c>
      <c r="S38" s="619">
        <f>S36+S37</f>
        <v/>
      </c>
      <c r="T38" s="619">
        <f>T36+T37</f>
        <v/>
      </c>
      <c r="U38" s="619">
        <f>U36+U37</f>
        <v/>
      </c>
      <c r="V38" s="619">
        <f>V36+V37</f>
        <v/>
      </c>
      <c r="W38" s="619">
        <f>W36+W37</f>
        <v/>
      </c>
      <c r="X38" s="619">
        <f>X36+X37</f>
        <v/>
      </c>
      <c r="Y38" s="619">
        <f>Y36+Y37</f>
        <v/>
      </c>
      <c r="Z38" s="620">
        <f>Z36+Z37</f>
        <v/>
      </c>
      <c r="AA38" s="600" t="n"/>
      <c r="AB38" s="621">
        <f>AB36+AB37</f>
        <v/>
      </c>
      <c r="AC38" s="619">
        <f>AC36+AC37</f>
        <v/>
      </c>
      <c r="AD38" s="619">
        <f>AD36+AD37</f>
        <v/>
      </c>
      <c r="AE38" s="619">
        <f>AE36+AE37</f>
        <v/>
      </c>
      <c r="AF38" s="620">
        <f>AF36+AF37</f>
        <v/>
      </c>
      <c r="AG38" s="600" t="n"/>
      <c r="AH38" s="621">
        <f>AH36+AH37</f>
        <v/>
      </c>
      <c r="AI38" s="620">
        <f>AI36+AI37</f>
        <v/>
      </c>
    </row>
    <row r="39" ht="12.75" customHeight="1" s="223">
      <c r="A39" s="600" t="n"/>
      <c r="B39" s="600" t="n"/>
      <c r="C39" s="600" t="n"/>
      <c r="D39" s="622" t="inlineStr">
        <is>
          <t>Net (loss) income attributable to Xerox Holdings (reported)</t>
        </is>
      </c>
      <c r="E39" s="623" t="n">
        <v>39</v>
      </c>
      <c r="F39" s="623" t="n">
        <v>91</v>
      </c>
      <c r="G39" s="623" t="n">
        <v>90</v>
      </c>
      <c r="H39" s="623" t="n">
        <v>-675</v>
      </c>
      <c r="I39" s="623" t="n">
        <v>-56</v>
      </c>
      <c r="J39" s="623" t="n">
        <v>-4</v>
      </c>
      <c r="K39" s="623" t="n">
        <v>-383</v>
      </c>
      <c r="L39" s="623" t="n">
        <v>121</v>
      </c>
      <c r="M39" s="623" t="n">
        <v>71</v>
      </c>
      <c r="N39" s="623" t="n">
        <v>-61</v>
      </c>
      <c r="O39" s="623" t="n">
        <v>49</v>
      </c>
      <c r="P39" s="623" t="n">
        <v>-58</v>
      </c>
      <c r="Q39" s="623" t="n">
        <v>-113</v>
      </c>
      <c r="R39" s="623" t="n">
        <v>18</v>
      </c>
      <c r="S39" s="623" t="n">
        <v>-1205</v>
      </c>
      <c r="T39" s="623" t="n">
        <v>-21</v>
      </c>
      <c r="U39" s="623" t="n">
        <v>-90</v>
      </c>
      <c r="V39" s="623" t="n">
        <v>-106</v>
      </c>
      <c r="W39" s="623" t="n">
        <v>-760</v>
      </c>
      <c r="X39" s="623" t="n">
        <v>-73</v>
      </c>
      <c r="Y39" s="623" t="n">
        <v>-105</v>
      </c>
      <c r="Z39" s="623" t="n">
        <v>13</v>
      </c>
      <c r="AA39" s="600" t="n"/>
      <c r="AB39" s="623" t="n">
        <v>-455</v>
      </c>
      <c r="AC39" s="623" t="n">
        <v>-322</v>
      </c>
      <c r="AD39" s="623" t="n">
        <v>1</v>
      </c>
      <c r="AE39" s="623" t="n">
        <v>-1321</v>
      </c>
      <c r="AF39" s="623" t="n">
        <v>-1029</v>
      </c>
      <c r="AG39" s="600" t="n"/>
      <c r="AH39" s="617" t="n"/>
      <c r="AI39" s="617" t="n"/>
    </row>
    <row r="40" ht="12.75" customHeight="1" s="223">
      <c r="A40" s="600" t="n"/>
      <c r="B40" s="600" t="n"/>
      <c r="C40" s="600" t="n"/>
      <c r="D40" s="624" t="inlineStr">
        <is>
          <t>Check</t>
        </is>
      </c>
      <c r="E40" s="625">
        <f>E38-E39</f>
        <v/>
      </c>
      <c r="F40" s="625">
        <f>F38-F39</f>
        <v/>
      </c>
      <c r="G40" s="625">
        <f>G38-G39</f>
        <v/>
      </c>
      <c r="H40" s="625">
        <f>H38-H39</f>
        <v/>
      </c>
      <c r="I40" s="625">
        <f>I38-I39</f>
        <v/>
      </c>
      <c r="J40" s="625">
        <f>J38-J39</f>
        <v/>
      </c>
      <c r="K40" s="625">
        <f>K38-K39</f>
        <v/>
      </c>
      <c r="L40" s="625">
        <f>L38-L39</f>
        <v/>
      </c>
      <c r="M40" s="625">
        <f>M38-M39</f>
        <v/>
      </c>
      <c r="N40" s="625">
        <f>N38-N39</f>
        <v/>
      </c>
      <c r="O40" s="625">
        <f>O38-O39</f>
        <v/>
      </c>
      <c r="P40" s="625">
        <f>P38-P39</f>
        <v/>
      </c>
      <c r="Q40" s="625">
        <f>Q38-Q39</f>
        <v/>
      </c>
      <c r="R40" s="625">
        <f>R38-R39</f>
        <v/>
      </c>
      <c r="S40" s="625">
        <f>S38-S39</f>
        <v/>
      </c>
      <c r="T40" s="625">
        <f>T38-T39</f>
        <v/>
      </c>
      <c r="U40" s="625">
        <f>U38-U39</f>
        <v/>
      </c>
      <c r="V40" s="625">
        <f>V38-V39</f>
        <v/>
      </c>
      <c r="W40" s="625">
        <f>W38-W39</f>
        <v/>
      </c>
      <c r="X40" s="625">
        <f>X38-X39</f>
        <v/>
      </c>
      <c r="Y40" s="625">
        <f>Y38-Y39</f>
        <v/>
      </c>
      <c r="Z40" s="625">
        <f>Z38-Z39</f>
        <v/>
      </c>
      <c r="AA40" s="600" t="n"/>
      <c r="AB40" s="625">
        <f>AB38-AB39</f>
        <v/>
      </c>
      <c r="AC40" s="625">
        <f>AC38-AC39</f>
        <v/>
      </c>
      <c r="AD40" s="625">
        <f>AD38-AD39</f>
        <v/>
      </c>
      <c r="AE40" s="625">
        <f>AE38-AE39</f>
        <v/>
      </c>
      <c r="AF40" s="625">
        <f>AF38-AF39</f>
        <v/>
      </c>
      <c r="AG40" s="600" t="n"/>
      <c r="AH40" s="617" t="n"/>
      <c r="AI40" s="617" t="n"/>
    </row>
    <row r="41" ht="12.75" customHeight="1" s="223">
      <c r="A41" s="600" t="n"/>
      <c r="B41" s="600" t="n"/>
      <c r="C41" s="600" t="n"/>
      <c r="D41" s="600" t="inlineStr">
        <is>
          <t>Less: preferred stock dividends, net</t>
        </is>
      </c>
      <c r="E41" s="616" t="n">
        <v>-4</v>
      </c>
      <c r="F41" s="616" t="n">
        <v>-3</v>
      </c>
      <c r="G41" s="616" t="n">
        <v>-4</v>
      </c>
      <c r="H41" s="617">
        <f>AB41-SUM(E41:G41)</f>
        <v/>
      </c>
      <c r="I41" s="616" t="n">
        <v>-4</v>
      </c>
      <c r="J41" s="616" t="n">
        <v>-3</v>
      </c>
      <c r="K41" s="616" t="n">
        <v>-4</v>
      </c>
      <c r="L41" s="617">
        <f>AC41-SUM(I41:K41)</f>
        <v/>
      </c>
      <c r="M41" s="616" t="n">
        <v>-4</v>
      </c>
      <c r="N41" s="616" t="n">
        <v>-3</v>
      </c>
      <c r="O41" s="616" t="n">
        <v>-4</v>
      </c>
      <c r="P41" s="617">
        <f>AD41-SUM(M41:O41)</f>
        <v/>
      </c>
      <c r="Q41" s="616" t="n">
        <v>-4</v>
      </c>
      <c r="R41" s="616" t="n">
        <v>-3</v>
      </c>
      <c r="S41" s="616" t="n">
        <v>-4</v>
      </c>
      <c r="T41" s="617">
        <f>AE41-SUM(Q41:S41)</f>
        <v/>
      </c>
      <c r="U41" s="616" t="n">
        <v>-4</v>
      </c>
      <c r="V41" s="616" t="n">
        <v>-3</v>
      </c>
      <c r="W41" s="616" t="n">
        <v>-4</v>
      </c>
      <c r="X41" s="617">
        <f>AF41-SUM(U41:W41)</f>
        <v/>
      </c>
      <c r="Y41" s="616" t="n">
        <v>-4</v>
      </c>
      <c r="Z41" s="616" t="n">
        <v>-3</v>
      </c>
      <c r="AA41" s="600" t="n"/>
      <c r="AB41" s="616" t="n">
        <v>-14</v>
      </c>
      <c r="AC41" s="616" t="n">
        <v>-14</v>
      </c>
      <c r="AD41" s="616" t="n">
        <v>-14</v>
      </c>
      <c r="AE41" s="616" t="n">
        <v>-14</v>
      </c>
      <c r="AF41" s="616" t="n">
        <v>-14</v>
      </c>
      <c r="AG41" s="600" t="n"/>
      <c r="AH41" s="617">
        <f>SUM(S41:V41)</f>
        <v/>
      </c>
      <c r="AI41" s="617">
        <f>SUM(W41:Z41)</f>
        <v/>
      </c>
    </row>
    <row r="42" ht="12.75" customHeight="1" s="223">
      <c r="A42" s="600" t="n"/>
      <c r="B42" s="600" t="n"/>
      <c r="C42" s="600" t="n"/>
      <c r="D42" s="626" t="inlineStr">
        <is>
          <t>Net (loss) income attributable to common shareholders</t>
        </is>
      </c>
      <c r="E42" s="627">
        <f>E38+E41</f>
        <v/>
      </c>
      <c r="F42" s="627">
        <f>F38+F41</f>
        <v/>
      </c>
      <c r="G42" s="627">
        <f>G38+G41</f>
        <v/>
      </c>
      <c r="H42" s="627">
        <f>H38+H41</f>
        <v/>
      </c>
      <c r="I42" s="627">
        <f>I38+I41</f>
        <v/>
      </c>
      <c r="J42" s="627">
        <f>J38+J41</f>
        <v/>
      </c>
      <c r="K42" s="627">
        <f>K38+K41</f>
        <v/>
      </c>
      <c r="L42" s="627">
        <f>L38+L41</f>
        <v/>
      </c>
      <c r="M42" s="627">
        <f>M38+M41</f>
        <v/>
      </c>
      <c r="N42" s="627">
        <f>N38+N41</f>
        <v/>
      </c>
      <c r="O42" s="627">
        <f>O38+O41</f>
        <v/>
      </c>
      <c r="P42" s="627">
        <f>P38+P41</f>
        <v/>
      </c>
      <c r="Q42" s="627">
        <f>Q38+Q41</f>
        <v/>
      </c>
      <c r="R42" s="627">
        <f>R38+R41</f>
        <v/>
      </c>
      <c r="S42" s="627">
        <f>S38+S41</f>
        <v/>
      </c>
      <c r="T42" s="627">
        <f>T38+T41</f>
        <v/>
      </c>
      <c r="U42" s="627">
        <f>U38+U41</f>
        <v/>
      </c>
      <c r="V42" s="627">
        <f>V38+V41</f>
        <v/>
      </c>
      <c r="W42" s="627">
        <f>W38+W41</f>
        <v/>
      </c>
      <c r="X42" s="627">
        <f>X38+X41</f>
        <v/>
      </c>
      <c r="Y42" s="627">
        <f>Y38+Y41</f>
        <v/>
      </c>
      <c r="Z42" s="627">
        <f>Z38+Z41</f>
        <v/>
      </c>
      <c r="AA42" s="600" t="n"/>
      <c r="AB42" s="627">
        <f>AB38+AB41</f>
        <v/>
      </c>
      <c r="AC42" s="627">
        <f>AC38+AC41</f>
        <v/>
      </c>
      <c r="AD42" s="627">
        <f>AD38+AD41</f>
        <v/>
      </c>
      <c r="AE42" s="627">
        <f>AE38+AE41</f>
        <v/>
      </c>
      <c r="AF42" s="627">
        <f>AF38+AF41</f>
        <v/>
      </c>
      <c r="AG42" s="600" t="n"/>
      <c r="AH42" s="627">
        <f>AH38+AH41</f>
        <v/>
      </c>
      <c r="AI42" s="627">
        <f>AI38+AI41</f>
        <v/>
      </c>
    </row>
    <row r="43" ht="12.75" customHeight="1" s="223">
      <c r="A43" s="600" t="n"/>
      <c r="B43" s="600" t="n"/>
      <c r="C43" s="600" t="n"/>
      <c r="D43" s="600" t="inlineStr">
        <is>
          <t>Diluted (loss) earnings per share</t>
        </is>
      </c>
      <c r="E43" s="628" t="n">
        <v>0.18</v>
      </c>
      <c r="F43" s="628" t="n">
        <v>0.46</v>
      </c>
      <c r="G43" s="628" t="n">
        <v>0.48</v>
      </c>
      <c r="H43" s="628" t="n">
        <v>-3.97</v>
      </c>
      <c r="I43" s="628" t="n">
        <v>-0.38</v>
      </c>
      <c r="J43" s="628" t="n">
        <v>-0.05</v>
      </c>
      <c r="K43" s="628" t="n">
        <v>-2.48</v>
      </c>
      <c r="L43" s="628" t="n">
        <v>0.74</v>
      </c>
      <c r="M43" s="628" t="n">
        <v>0.43</v>
      </c>
      <c r="N43" s="628" t="n">
        <v>-0.41</v>
      </c>
      <c r="O43" s="628" t="n">
        <v>0.28</v>
      </c>
      <c r="P43" s="628" t="n">
        <v>-0.5</v>
      </c>
      <c r="Q43" s="628" t="n">
        <v>-0.9399999999999999</v>
      </c>
      <c r="R43" s="628" t="n">
        <v>0.11</v>
      </c>
      <c r="S43" s="628" t="n">
        <v>-9.710000000000001</v>
      </c>
      <c r="T43" s="628" t="n">
        <v>-0.2</v>
      </c>
      <c r="U43" s="628" t="n">
        <v>-0.75</v>
      </c>
      <c r="V43" s="628" t="n">
        <v>-0.87</v>
      </c>
      <c r="W43" s="628" t="n">
        <v>-6.01</v>
      </c>
      <c r="X43" s="628" t="n">
        <v>-0.6</v>
      </c>
      <c r="Y43" s="628" t="n">
        <v>-0.84</v>
      </c>
      <c r="Z43" s="628" t="n">
        <v>0.07000000000000001</v>
      </c>
      <c r="AA43" s="600" t="n"/>
      <c r="AB43" s="628" t="n">
        <v>-2.56</v>
      </c>
      <c r="AC43" s="628" t="n">
        <v>-2.15</v>
      </c>
      <c r="AD43" s="628" t="n">
        <v>-0.09</v>
      </c>
      <c r="AE43" s="628" t="n">
        <v>-10.75</v>
      </c>
      <c r="AF43" s="628" t="n">
        <v>-8.25</v>
      </c>
      <c r="AG43" s="600" t="n"/>
      <c r="AH43" s="629" t="n"/>
      <c r="AI43" s="629" t="n"/>
    </row>
    <row r="44" ht="12.75" customHeight="1" s="223">
      <c r="A44" s="600" t="n"/>
      <c r="B44" s="600" t="n"/>
      <c r="C44" s="600" t="n"/>
      <c r="D44" s="600" t="n"/>
      <c r="E44" s="600" t="n"/>
      <c r="F44" s="600" t="n"/>
      <c r="G44" s="600" t="n"/>
      <c r="H44" s="600" t="n"/>
      <c r="I44" s="600" t="n"/>
      <c r="J44" s="600" t="n"/>
      <c r="K44" s="600" t="n"/>
      <c r="L44" s="600" t="n"/>
      <c r="M44" s="600" t="n"/>
      <c r="N44" s="600" t="n"/>
      <c r="O44" s="600" t="n"/>
      <c r="P44" s="600" t="n"/>
      <c r="Q44" s="600" t="n"/>
      <c r="R44" s="600" t="n"/>
      <c r="S44" s="600" t="n"/>
      <c r="T44" s="600" t="n"/>
      <c r="U44" s="600" t="n"/>
      <c r="V44" s="600" t="n"/>
      <c r="W44" s="600" t="n"/>
      <c r="X44" s="600" t="n"/>
      <c r="Y44" s="600" t="n"/>
      <c r="Z44" s="600" t="n"/>
      <c r="AA44" s="600" t="n"/>
      <c r="AB44" s="600" t="n"/>
      <c r="AC44" s="600" t="n"/>
      <c r="AD44" s="600" t="n"/>
      <c r="AE44" s="600" t="n"/>
      <c r="AF44" s="600" t="n"/>
      <c r="AG44" s="600" t="n"/>
      <c r="AH44" s="600" t="n"/>
      <c r="AI44" s="600" t="n"/>
    </row>
    <row r="45" ht="12.75" customHeight="1" s="223">
      <c r="A45" s="600" t="n"/>
      <c r="B45" s="600" t="n"/>
      <c r="C45" s="600" t="n"/>
      <c r="D45" s="626" t="inlineStr">
        <is>
          <t>Adjusted EBITDA reconciliation (company definition)</t>
        </is>
      </c>
      <c r="E45" s="617" t="n"/>
      <c r="F45" s="617" t="n"/>
      <c r="G45" s="617" t="n"/>
      <c r="H45" s="617" t="n"/>
      <c r="I45" s="617" t="n"/>
      <c r="J45" s="617" t="n"/>
      <c r="K45" s="617" t="n"/>
      <c r="L45" s="617" t="n"/>
      <c r="M45" s="617" t="n"/>
      <c r="N45" s="617" t="n"/>
      <c r="O45" s="617" t="n"/>
      <c r="P45" s="617" t="n"/>
      <c r="Q45" s="617" t="n"/>
      <c r="R45" s="617" t="n"/>
      <c r="S45" s="617" t="n"/>
      <c r="T45" s="617" t="n"/>
      <c r="U45" s="617" t="n"/>
      <c r="V45" s="617" t="n"/>
      <c r="W45" s="617" t="n"/>
      <c r="X45" s="617" t="n"/>
      <c r="Y45" s="617" t="n"/>
      <c r="Z45" s="617" t="n"/>
      <c r="AA45" s="600" t="n"/>
      <c r="AB45" s="617" t="n"/>
      <c r="AC45" s="617" t="n"/>
      <c r="AD45" s="617" t="n"/>
      <c r="AE45" s="617" t="n"/>
      <c r="AF45" s="617" t="n"/>
      <c r="AG45" s="600" t="n"/>
      <c r="AH45" s="617" t="n"/>
      <c r="AI45" s="617" t="n"/>
    </row>
    <row r="46" ht="12.75" customHeight="1" s="223">
      <c r="A46" s="600" t="n"/>
      <c r="B46" s="600" t="n"/>
      <c r="C46" s="600" t="n"/>
      <c r="D46" s="600" t="inlineStr">
        <is>
          <t>Net (loss) income</t>
        </is>
      </c>
      <c r="E46" s="617">
        <f>E36</f>
        <v/>
      </c>
      <c r="F46" s="617">
        <f>F36</f>
        <v/>
      </c>
      <c r="G46" s="617">
        <f>G36</f>
        <v/>
      </c>
      <c r="H46" s="617">
        <f>H36</f>
        <v/>
      </c>
      <c r="I46" s="617">
        <f>I36</f>
        <v/>
      </c>
      <c r="J46" s="617">
        <f>J36</f>
        <v/>
      </c>
      <c r="K46" s="617">
        <f>K36</f>
        <v/>
      </c>
      <c r="L46" s="617">
        <f>L36</f>
        <v/>
      </c>
      <c r="M46" s="617">
        <f>M36</f>
        <v/>
      </c>
      <c r="N46" s="617">
        <f>N36</f>
        <v/>
      </c>
      <c r="O46" s="617">
        <f>O36</f>
        <v/>
      </c>
      <c r="P46" s="617">
        <f>P36</f>
        <v/>
      </c>
      <c r="Q46" s="617">
        <f>Q36</f>
        <v/>
      </c>
      <c r="R46" s="617">
        <f>R36</f>
        <v/>
      </c>
      <c r="S46" s="617">
        <f>S36</f>
        <v/>
      </c>
      <c r="T46" s="617">
        <f>T36</f>
        <v/>
      </c>
      <c r="U46" s="617">
        <f>U36</f>
        <v/>
      </c>
      <c r="V46" s="617">
        <f>V36</f>
        <v/>
      </c>
      <c r="W46" s="617">
        <f>W36</f>
        <v/>
      </c>
      <c r="X46" s="617">
        <f>X36</f>
        <v/>
      </c>
      <c r="Y46" s="617">
        <f>Y36</f>
        <v/>
      </c>
      <c r="Z46" s="617">
        <f>Z36</f>
        <v/>
      </c>
      <c r="AA46" s="600" t="n"/>
      <c r="AB46" s="617">
        <f>AB36</f>
        <v/>
      </c>
      <c r="AC46" s="617">
        <f>AC36</f>
        <v/>
      </c>
      <c r="AD46" s="617">
        <f>AD36</f>
        <v/>
      </c>
      <c r="AE46" s="617">
        <f>AE36</f>
        <v/>
      </c>
      <c r="AF46" s="617">
        <f>AF36</f>
        <v/>
      </c>
      <c r="AG46" s="600" t="n"/>
      <c r="AH46" s="617">
        <f>SUM(S46:V46)</f>
        <v/>
      </c>
      <c r="AI46" s="617">
        <f>SUM(W46:Z46)</f>
        <v/>
      </c>
    </row>
    <row r="47" ht="12.75" customHeight="1" s="223">
      <c r="A47" s="600" t="n"/>
      <c r="B47" s="600" t="n"/>
      <c r="C47" s="600" t="n"/>
      <c r="D47" s="600" t="inlineStr">
        <is>
          <t>Non-financing interest expense</t>
        </is>
      </c>
      <c r="E47" s="617">
        <f>E32</f>
        <v/>
      </c>
      <c r="F47" s="617">
        <f>F32</f>
        <v/>
      </c>
      <c r="G47" s="617">
        <f>G32</f>
        <v/>
      </c>
      <c r="H47" s="617">
        <f>H32</f>
        <v/>
      </c>
      <c r="I47" s="617">
        <f>I32</f>
        <v/>
      </c>
      <c r="J47" s="617">
        <f>J32</f>
        <v/>
      </c>
      <c r="K47" s="617">
        <f>K32</f>
        <v/>
      </c>
      <c r="L47" s="617">
        <f>L32</f>
        <v/>
      </c>
      <c r="M47" s="617">
        <f>M32</f>
        <v/>
      </c>
      <c r="N47" s="617">
        <f>N32</f>
        <v/>
      </c>
      <c r="O47" s="617">
        <f>O32</f>
        <v/>
      </c>
      <c r="P47" s="617">
        <f>P32</f>
        <v/>
      </c>
      <c r="Q47" s="617">
        <f>Q32</f>
        <v/>
      </c>
      <c r="R47" s="617">
        <f>R32</f>
        <v/>
      </c>
      <c r="S47" s="617">
        <f>S32</f>
        <v/>
      </c>
      <c r="T47" s="617">
        <f>T32</f>
        <v/>
      </c>
      <c r="U47" s="617">
        <f>U32</f>
        <v/>
      </c>
      <c r="V47" s="617">
        <f>V32</f>
        <v/>
      </c>
      <c r="W47" s="617">
        <f>W32</f>
        <v/>
      </c>
      <c r="X47" s="617">
        <f>X32</f>
        <v/>
      </c>
      <c r="Y47" s="617">
        <f>Y32</f>
        <v/>
      </c>
      <c r="Z47" s="617">
        <f>Z32</f>
        <v/>
      </c>
      <c r="AA47" s="600" t="n"/>
      <c r="AB47" s="617">
        <f>AB32</f>
        <v/>
      </c>
      <c r="AC47" s="617">
        <f>AC32</f>
        <v/>
      </c>
      <c r="AD47" s="617">
        <f>AD32</f>
        <v/>
      </c>
      <c r="AE47" s="617">
        <f>AE32</f>
        <v/>
      </c>
      <c r="AF47" s="617">
        <f>AF32</f>
        <v/>
      </c>
      <c r="AG47" s="600" t="n"/>
      <c r="AH47" s="617">
        <f>SUM(S47:V47)</f>
        <v/>
      </c>
      <c r="AI47" s="617">
        <f>SUM(W47:Z47)</f>
        <v/>
      </c>
    </row>
    <row r="48" ht="12.75" customHeight="1" s="223">
      <c r="A48" s="600" t="n"/>
      <c r="B48" s="600" t="n"/>
      <c r="C48" s="600" t="n"/>
      <c r="D48" s="600" t="inlineStr">
        <is>
          <t>Other expenses (income), net</t>
        </is>
      </c>
      <c r="E48" s="617">
        <f>E33</f>
        <v/>
      </c>
      <c r="F48" s="617">
        <f>F33</f>
        <v/>
      </c>
      <c r="G48" s="617">
        <f>G33</f>
        <v/>
      </c>
      <c r="H48" s="617">
        <f>H33</f>
        <v/>
      </c>
      <c r="I48" s="617">
        <f>I33</f>
        <v/>
      </c>
      <c r="J48" s="617">
        <f>J33</f>
        <v/>
      </c>
      <c r="K48" s="617">
        <f>K33</f>
        <v/>
      </c>
      <c r="L48" s="617">
        <f>L33</f>
        <v/>
      </c>
      <c r="M48" s="617">
        <f>M33</f>
        <v/>
      </c>
      <c r="N48" s="617">
        <f>N33</f>
        <v/>
      </c>
      <c r="O48" s="617">
        <f>O33</f>
        <v/>
      </c>
      <c r="P48" s="617">
        <f>P33</f>
        <v/>
      </c>
      <c r="Q48" s="617">
        <f>Q33</f>
        <v/>
      </c>
      <c r="R48" s="617">
        <f>R33</f>
        <v/>
      </c>
      <c r="S48" s="617">
        <f>S33</f>
        <v/>
      </c>
      <c r="T48" s="617">
        <f>T33</f>
        <v/>
      </c>
      <c r="U48" s="617">
        <f>U33</f>
        <v/>
      </c>
      <c r="V48" s="617">
        <f>V33</f>
        <v/>
      </c>
      <c r="W48" s="617">
        <f>W33</f>
        <v/>
      </c>
      <c r="X48" s="617">
        <f>X33</f>
        <v/>
      </c>
      <c r="Y48" s="617">
        <f>Y33</f>
        <v/>
      </c>
      <c r="Z48" s="617">
        <f>Z33</f>
        <v/>
      </c>
      <c r="AA48" s="600" t="n"/>
      <c r="AB48" s="617">
        <f>AB33</f>
        <v/>
      </c>
      <c r="AC48" s="617">
        <f>AC33</f>
        <v/>
      </c>
      <c r="AD48" s="617">
        <f>AD33</f>
        <v/>
      </c>
      <c r="AE48" s="617">
        <f>AE33</f>
        <v/>
      </c>
      <c r="AF48" s="617">
        <f>AF33</f>
        <v/>
      </c>
      <c r="AG48" s="600" t="n"/>
      <c r="AH48" s="617">
        <f>SUM(S48:V48)</f>
        <v/>
      </c>
      <c r="AI48" s="617">
        <f>SUM(W48:Z48)</f>
        <v/>
      </c>
    </row>
    <row r="49" ht="12.75" customHeight="1" s="223">
      <c r="A49" s="600" t="n"/>
      <c r="B49" s="600" t="n"/>
      <c r="C49" s="600" t="n"/>
      <c r="D49" s="600" t="inlineStr">
        <is>
          <t>Income tax expense (benefit)</t>
        </is>
      </c>
      <c r="E49" s="617">
        <f>E35</f>
        <v/>
      </c>
      <c r="F49" s="617">
        <f>F35</f>
        <v/>
      </c>
      <c r="G49" s="617">
        <f>G35</f>
        <v/>
      </c>
      <c r="H49" s="617">
        <f>H35</f>
        <v/>
      </c>
      <c r="I49" s="617">
        <f>I35</f>
        <v/>
      </c>
      <c r="J49" s="617">
        <f>J35</f>
        <v/>
      </c>
      <c r="K49" s="617">
        <f>K35</f>
        <v/>
      </c>
      <c r="L49" s="617">
        <f>L35</f>
        <v/>
      </c>
      <c r="M49" s="617">
        <f>M35</f>
        <v/>
      </c>
      <c r="N49" s="617">
        <f>N35</f>
        <v/>
      </c>
      <c r="O49" s="617">
        <f>O35</f>
        <v/>
      </c>
      <c r="P49" s="617">
        <f>P35</f>
        <v/>
      </c>
      <c r="Q49" s="617">
        <f>Q35</f>
        <v/>
      </c>
      <c r="R49" s="617">
        <f>R35</f>
        <v/>
      </c>
      <c r="S49" s="617">
        <f>S35</f>
        <v/>
      </c>
      <c r="T49" s="617">
        <f>T35</f>
        <v/>
      </c>
      <c r="U49" s="617">
        <f>U35</f>
        <v/>
      </c>
      <c r="V49" s="617">
        <f>V35</f>
        <v/>
      </c>
      <c r="W49" s="617">
        <f>W35</f>
        <v/>
      </c>
      <c r="X49" s="617">
        <f>X35</f>
        <v/>
      </c>
      <c r="Y49" s="617">
        <f>Y35</f>
        <v/>
      </c>
      <c r="Z49" s="617">
        <f>Z35</f>
        <v/>
      </c>
      <c r="AA49" s="600" t="n"/>
      <c r="AB49" s="617">
        <f>AB35</f>
        <v/>
      </c>
      <c r="AC49" s="617">
        <f>AC35</f>
        <v/>
      </c>
      <c r="AD49" s="617">
        <f>AD35</f>
        <v/>
      </c>
      <c r="AE49" s="617">
        <f>AE35</f>
        <v/>
      </c>
      <c r="AF49" s="617">
        <f>AF35</f>
        <v/>
      </c>
      <c r="AG49" s="600" t="n"/>
      <c r="AH49" s="617">
        <f>SUM(S49:V49)</f>
        <v/>
      </c>
      <c r="AI49" s="617">
        <f>SUM(W49:Z49)</f>
        <v/>
      </c>
    </row>
    <row r="50" ht="12.75" customHeight="1" s="223">
      <c r="A50" s="600" t="n"/>
      <c r="B50" s="600" t="n"/>
      <c r="C50" s="600" t="n"/>
      <c r="D50" s="600" t="inlineStr">
        <is>
          <t>Depreciation and amortization (excl. customer contract costs)</t>
        </is>
      </c>
      <c r="E50" s="630">
        <f>CFS!F16</f>
        <v/>
      </c>
      <c r="F50" s="630">
        <f>CFS!G16</f>
        <v/>
      </c>
      <c r="G50" s="630">
        <f>CFS!H16</f>
        <v/>
      </c>
      <c r="H50" s="630">
        <f>CFS!I16</f>
        <v/>
      </c>
      <c r="I50" s="630">
        <f>CFS!J16</f>
        <v/>
      </c>
      <c r="J50" s="630">
        <f>CFS!K16</f>
        <v/>
      </c>
      <c r="K50" s="630">
        <f>CFS!L16</f>
        <v/>
      </c>
      <c r="L50" s="630">
        <f>CFS!M16</f>
        <v/>
      </c>
      <c r="M50" s="630">
        <f>CFS!N16</f>
        <v/>
      </c>
      <c r="N50" s="630">
        <f>CFS!O16</f>
        <v/>
      </c>
      <c r="O50" s="630">
        <f>CFS!P16</f>
        <v/>
      </c>
      <c r="P50" s="630">
        <f>CFS!Q16</f>
        <v/>
      </c>
      <c r="Q50" s="630">
        <f>CFS!R16</f>
        <v/>
      </c>
      <c r="R50" s="630">
        <f>CFS!S16</f>
        <v/>
      </c>
      <c r="S50" s="630">
        <f>CFS!T16</f>
        <v/>
      </c>
      <c r="T50" s="630">
        <f>CFS!U16</f>
        <v/>
      </c>
      <c r="U50" s="630">
        <f>CFS!V16</f>
        <v/>
      </c>
      <c r="V50" s="630">
        <f>CFS!W16</f>
        <v/>
      </c>
      <c r="W50" s="630">
        <f>CFS!X16</f>
        <v/>
      </c>
      <c r="X50" s="630">
        <f>CFS!Y16</f>
        <v/>
      </c>
      <c r="Y50" s="630">
        <f>CFS!Z16</f>
        <v/>
      </c>
      <c r="Z50" s="630">
        <f>CFS!AA16</f>
        <v/>
      </c>
      <c r="AA50" s="600" t="n"/>
      <c r="AB50" s="630">
        <f>CFS!AC16</f>
        <v/>
      </c>
      <c r="AC50" s="630">
        <f>CFS!AD16</f>
        <v/>
      </c>
      <c r="AD50" s="630">
        <f>CFS!AE16</f>
        <v/>
      </c>
      <c r="AE50" s="630">
        <f>CFS!AF16</f>
        <v/>
      </c>
      <c r="AF50" s="630">
        <f>CFS!AG16</f>
        <v/>
      </c>
      <c r="AG50" s="600" t="n"/>
      <c r="AH50" s="617">
        <f>SUM(S50:V50)</f>
        <v/>
      </c>
      <c r="AI50" s="617">
        <f>SUM(W50:Z50)</f>
        <v/>
      </c>
    </row>
    <row r="51" ht="12.75" customHeight="1" s="223">
      <c r="A51" s="600" t="n"/>
      <c r="B51" s="600" t="n"/>
      <c r="C51" s="600" t="n"/>
      <c r="D51" s="600" t="inlineStr">
        <is>
          <t>Goodwill impairment</t>
        </is>
      </c>
      <c r="E51" s="617">
        <f>E24</f>
        <v/>
      </c>
      <c r="F51" s="617">
        <f>F24</f>
        <v/>
      </c>
      <c r="G51" s="617">
        <f>G24</f>
        <v/>
      </c>
      <c r="H51" s="617">
        <f>H24</f>
        <v/>
      </c>
      <c r="I51" s="617">
        <f>I24</f>
        <v/>
      </c>
      <c r="J51" s="617">
        <f>J24</f>
        <v/>
      </c>
      <c r="K51" s="617">
        <f>K24</f>
        <v/>
      </c>
      <c r="L51" s="617">
        <f>L24</f>
        <v/>
      </c>
      <c r="M51" s="617">
        <f>M24</f>
        <v/>
      </c>
      <c r="N51" s="617">
        <f>N24</f>
        <v/>
      </c>
      <c r="O51" s="617">
        <f>O24</f>
        <v/>
      </c>
      <c r="P51" s="617">
        <f>P24</f>
        <v/>
      </c>
      <c r="Q51" s="617">
        <f>Q24</f>
        <v/>
      </c>
      <c r="R51" s="617">
        <f>R24</f>
        <v/>
      </c>
      <c r="S51" s="617">
        <f>S24</f>
        <v/>
      </c>
      <c r="T51" s="617">
        <f>T24</f>
        <v/>
      </c>
      <c r="U51" s="617">
        <f>U24</f>
        <v/>
      </c>
      <c r="V51" s="617">
        <f>V24</f>
        <v/>
      </c>
      <c r="W51" s="617">
        <f>W24</f>
        <v/>
      </c>
      <c r="X51" s="617">
        <f>X24</f>
        <v/>
      </c>
      <c r="Y51" s="617">
        <f>Y24</f>
        <v/>
      </c>
      <c r="Z51" s="617">
        <f>Z24</f>
        <v/>
      </c>
      <c r="AA51" s="600" t="n"/>
      <c r="AB51" s="617">
        <f>AB24</f>
        <v/>
      </c>
      <c r="AC51" s="617">
        <f>AC24</f>
        <v/>
      </c>
      <c r="AD51" s="617">
        <f>AD24</f>
        <v/>
      </c>
      <c r="AE51" s="617">
        <f>AE24</f>
        <v/>
      </c>
      <c r="AF51" s="617">
        <f>AF24</f>
        <v/>
      </c>
      <c r="AG51" s="600" t="n"/>
      <c r="AH51" s="617">
        <f>SUM(S51:V51)</f>
        <v/>
      </c>
      <c r="AI51" s="617">
        <f>SUM(W51:Z51)</f>
        <v/>
      </c>
    </row>
    <row r="52" ht="12.75" customHeight="1" s="223">
      <c r="A52" s="600" t="n"/>
      <c r="B52" s="600" t="n"/>
      <c r="C52" s="600" t="n"/>
      <c r="D52" s="626" t="inlineStr">
        <is>
          <t>EBITDA</t>
        </is>
      </c>
      <c r="E52" s="631">
        <f>SUM(E46:E51)</f>
        <v/>
      </c>
      <c r="F52" s="631">
        <f>SUM(F46:F51)</f>
        <v/>
      </c>
      <c r="G52" s="631">
        <f>SUM(G46:G51)</f>
        <v/>
      </c>
      <c r="H52" s="631">
        <f>SUM(H46:H51)</f>
        <v/>
      </c>
      <c r="I52" s="631">
        <f>SUM(I46:I51)</f>
        <v/>
      </c>
      <c r="J52" s="631">
        <f>SUM(J46:J51)</f>
        <v/>
      </c>
      <c r="K52" s="631">
        <f>SUM(K46:K51)</f>
        <v/>
      </c>
      <c r="L52" s="631">
        <f>SUM(L46:L51)</f>
        <v/>
      </c>
      <c r="M52" s="631">
        <f>SUM(M46:M51)</f>
        <v/>
      </c>
      <c r="N52" s="631">
        <f>SUM(N46:N51)</f>
        <v/>
      </c>
      <c r="O52" s="631">
        <f>SUM(O46:O51)</f>
        <v/>
      </c>
      <c r="P52" s="631">
        <f>SUM(P46:P51)</f>
        <v/>
      </c>
      <c r="Q52" s="631">
        <f>SUM(Q46:Q51)</f>
        <v/>
      </c>
      <c r="R52" s="631">
        <f>SUM(R46:R51)</f>
        <v/>
      </c>
      <c r="S52" s="631">
        <f>SUM(S46:S51)</f>
        <v/>
      </c>
      <c r="T52" s="631">
        <f>SUM(T46:T51)</f>
        <v/>
      </c>
      <c r="U52" s="631">
        <f>SUM(U46:U51)</f>
        <v/>
      </c>
      <c r="V52" s="631">
        <f>SUM(V46:V51)</f>
        <v/>
      </c>
      <c r="W52" s="631">
        <f>SUM(W46:W51)</f>
        <v/>
      </c>
      <c r="X52" s="631">
        <f>SUM(X46:X51)</f>
        <v/>
      </c>
      <c r="Y52" s="631">
        <f>SUM(Y46:Y51)</f>
        <v/>
      </c>
      <c r="Z52" s="631">
        <f>SUM(Z46:Z51)</f>
        <v/>
      </c>
      <c r="AA52" s="600" t="n"/>
      <c r="AB52" s="631">
        <f>SUM(AB46:AB51)</f>
        <v/>
      </c>
      <c r="AC52" s="631">
        <f>SUM(AC46:AC51)</f>
        <v/>
      </c>
      <c r="AD52" s="631">
        <f>SUM(AD46:AD51)</f>
        <v/>
      </c>
      <c r="AE52" s="631">
        <f>SUM(AE46:AE51)</f>
        <v/>
      </c>
      <c r="AF52" s="631">
        <f>SUM(AF46:AF51)</f>
        <v/>
      </c>
      <c r="AG52" s="600" t="n"/>
      <c r="AH52" s="631">
        <f>SUM(AH46:AH51)</f>
        <v/>
      </c>
      <c r="AI52" s="631">
        <f>SUM(AI46:AI51)</f>
        <v/>
      </c>
    </row>
    <row r="53" ht="12.75" customHeight="1" s="223">
      <c r="A53" s="600" t="n"/>
      <c r="B53" s="600" t="n"/>
      <c r="C53" s="600" t="n"/>
      <c r="D53" s="600" t="n"/>
      <c r="E53" s="600" t="n"/>
      <c r="F53" s="600" t="n"/>
      <c r="G53" s="600" t="n"/>
      <c r="H53" s="600" t="n"/>
      <c r="I53" s="600" t="n"/>
      <c r="J53" s="600" t="n"/>
      <c r="K53" s="600" t="n"/>
      <c r="L53" s="600" t="n"/>
      <c r="M53" s="600" t="n"/>
      <c r="N53" s="600" t="n"/>
      <c r="O53" s="600" t="n"/>
      <c r="P53" s="600" t="n"/>
      <c r="Q53" s="600" t="n"/>
      <c r="R53" s="600" t="n"/>
      <c r="S53" s="600" t="n"/>
      <c r="T53" s="600" t="n"/>
      <c r="U53" s="600" t="n"/>
      <c r="V53" s="600" t="n"/>
      <c r="W53" s="600" t="n"/>
      <c r="X53" s="600" t="n"/>
      <c r="Y53" s="600" t="n"/>
      <c r="Z53" s="600" t="n"/>
      <c r="AA53" s="600" t="n"/>
      <c r="AB53" s="600" t="n"/>
      <c r="AC53" s="600" t="n"/>
      <c r="AD53" s="600" t="n"/>
      <c r="AE53" s="600" t="n"/>
      <c r="AF53" s="600" t="n"/>
      <c r="AG53" s="600" t="n"/>
      <c r="AH53" s="600" t="n"/>
      <c r="AI53" s="600" t="n"/>
    </row>
    <row r="54" ht="12.75" customHeight="1" s="223">
      <c r="A54" s="600" t="n"/>
      <c r="B54" s="600" t="n"/>
      <c r="C54" s="600" t="n"/>
      <c r="D54" s="600" t="inlineStr">
        <is>
          <t>Stock-based compensation</t>
        </is>
      </c>
      <c r="E54" s="630">
        <f>CFS!F25</f>
        <v/>
      </c>
      <c r="F54" s="630">
        <f>CFS!G25</f>
        <v/>
      </c>
      <c r="G54" s="630">
        <f>CFS!H25</f>
        <v/>
      </c>
      <c r="H54" s="630">
        <f>CFS!I25</f>
        <v/>
      </c>
      <c r="I54" s="630">
        <f>CFS!J25</f>
        <v/>
      </c>
      <c r="J54" s="630">
        <f>CFS!K25</f>
        <v/>
      </c>
      <c r="K54" s="630">
        <f>CFS!L25</f>
        <v/>
      </c>
      <c r="L54" s="630">
        <f>CFS!M25</f>
        <v/>
      </c>
      <c r="M54" s="630">
        <f>CFS!N25</f>
        <v/>
      </c>
      <c r="N54" s="630">
        <f>CFS!O25</f>
        <v/>
      </c>
      <c r="O54" s="630">
        <f>CFS!P25</f>
        <v/>
      </c>
      <c r="P54" s="630">
        <f>CFS!Q25</f>
        <v/>
      </c>
      <c r="Q54" s="630">
        <f>CFS!R25</f>
        <v/>
      </c>
      <c r="R54" s="630">
        <f>CFS!S25</f>
        <v/>
      </c>
      <c r="S54" s="630">
        <f>CFS!T25</f>
        <v/>
      </c>
      <c r="T54" s="630">
        <f>CFS!U25</f>
        <v/>
      </c>
      <c r="U54" s="630">
        <f>CFS!V25</f>
        <v/>
      </c>
      <c r="V54" s="630">
        <f>CFS!W25</f>
        <v/>
      </c>
      <c r="W54" s="630">
        <f>CFS!X25</f>
        <v/>
      </c>
      <c r="X54" s="630">
        <f>CFS!Y25</f>
        <v/>
      </c>
      <c r="Y54" s="630">
        <f>CFS!Z25</f>
        <v/>
      </c>
      <c r="Z54" s="630">
        <f>CFS!AA25</f>
        <v/>
      </c>
      <c r="AA54" s="600" t="n"/>
      <c r="AB54" s="630">
        <f>CFS!AC25</f>
        <v/>
      </c>
      <c r="AC54" s="630">
        <f>CFS!AD25</f>
        <v/>
      </c>
      <c r="AD54" s="630">
        <f>CFS!AE25</f>
        <v/>
      </c>
      <c r="AE54" s="630">
        <f>CFS!AF25</f>
        <v/>
      </c>
      <c r="AF54" s="630">
        <f>CFS!AG25</f>
        <v/>
      </c>
      <c r="AG54" s="600" t="n"/>
      <c r="AH54" s="617">
        <f>SUM(S54:V54)</f>
        <v/>
      </c>
      <c r="AI54" s="617">
        <f>SUM(W54:Z54)</f>
        <v/>
      </c>
    </row>
    <row r="55" ht="12.75" customHeight="1" s="223">
      <c r="A55" s="600" t="n"/>
      <c r="B55" s="600" t="n"/>
      <c r="C55" s="600" t="n"/>
      <c r="D55" s="600" t="inlineStr">
        <is>
          <t>Restructuring and related costs, net</t>
        </is>
      </c>
      <c r="E55" s="617">
        <f>E25</f>
        <v/>
      </c>
      <c r="F55" s="617">
        <f>F25</f>
        <v/>
      </c>
      <c r="G55" s="617">
        <f>G25</f>
        <v/>
      </c>
      <c r="H55" s="617">
        <f>H25</f>
        <v/>
      </c>
      <c r="I55" s="617">
        <f>I25</f>
        <v/>
      </c>
      <c r="J55" s="617">
        <f>J25</f>
        <v/>
      </c>
      <c r="K55" s="617">
        <f>K25</f>
        <v/>
      </c>
      <c r="L55" s="617">
        <f>L25</f>
        <v/>
      </c>
      <c r="M55" s="617">
        <f>M25</f>
        <v/>
      </c>
      <c r="N55" s="617">
        <f>N25</f>
        <v/>
      </c>
      <c r="O55" s="617">
        <f>O25</f>
        <v/>
      </c>
      <c r="P55" s="617">
        <f>P25</f>
        <v/>
      </c>
      <c r="Q55" s="617">
        <f>Q25</f>
        <v/>
      </c>
      <c r="R55" s="617">
        <f>R25</f>
        <v/>
      </c>
      <c r="S55" s="617">
        <f>S25</f>
        <v/>
      </c>
      <c r="T55" s="617">
        <f>T25</f>
        <v/>
      </c>
      <c r="U55" s="617">
        <f>U25</f>
        <v/>
      </c>
      <c r="V55" s="617">
        <f>V25</f>
        <v/>
      </c>
      <c r="W55" s="617">
        <f>W25</f>
        <v/>
      </c>
      <c r="X55" s="617">
        <f>X25</f>
        <v/>
      </c>
      <c r="Y55" s="617">
        <f>Y25</f>
        <v/>
      </c>
      <c r="Z55" s="617">
        <f>Z25</f>
        <v/>
      </c>
      <c r="AA55" s="600" t="n"/>
      <c r="AB55" s="617">
        <f>AB25</f>
        <v/>
      </c>
      <c r="AC55" s="617">
        <f>AC25</f>
        <v/>
      </c>
      <c r="AD55" s="617">
        <f>AD25</f>
        <v/>
      </c>
      <c r="AE55" s="617">
        <f>AE25</f>
        <v/>
      </c>
      <c r="AF55" s="617">
        <f>AF25</f>
        <v/>
      </c>
      <c r="AG55" s="600" t="n"/>
      <c r="AH55" s="617">
        <f>SUM(S55:V55)</f>
        <v/>
      </c>
      <c r="AI55" s="617">
        <f>SUM(W55:Z55)</f>
        <v/>
      </c>
    </row>
    <row r="56" ht="12.75" customHeight="1" s="223">
      <c r="A56" s="600" t="n"/>
      <c r="B56" s="600" t="n"/>
      <c r="C56" s="600" t="n"/>
      <c r="D56" s="600" t="inlineStr">
        <is>
          <t>PARC donation</t>
        </is>
      </c>
      <c r="E56" s="617">
        <f>E28</f>
        <v/>
      </c>
      <c r="F56" s="617">
        <f>F28</f>
        <v/>
      </c>
      <c r="G56" s="617">
        <f>G28</f>
        <v/>
      </c>
      <c r="H56" s="617">
        <f>H28</f>
        <v/>
      </c>
      <c r="I56" s="617">
        <f>I28</f>
        <v/>
      </c>
      <c r="J56" s="617">
        <f>J28</f>
        <v/>
      </c>
      <c r="K56" s="617">
        <f>K28</f>
        <v/>
      </c>
      <c r="L56" s="617">
        <f>L28</f>
        <v/>
      </c>
      <c r="M56" s="617">
        <f>M28</f>
        <v/>
      </c>
      <c r="N56" s="617">
        <f>N28</f>
        <v/>
      </c>
      <c r="O56" s="617">
        <f>O28</f>
        <v/>
      </c>
      <c r="P56" s="617">
        <f>P28</f>
        <v/>
      </c>
      <c r="Q56" s="617">
        <f>Q28</f>
        <v/>
      </c>
      <c r="R56" s="617">
        <f>R28</f>
        <v/>
      </c>
      <c r="S56" s="617">
        <f>S28</f>
        <v/>
      </c>
      <c r="T56" s="617">
        <f>T28</f>
        <v/>
      </c>
      <c r="U56" s="617">
        <f>U28</f>
        <v/>
      </c>
      <c r="V56" s="617">
        <f>V28</f>
        <v/>
      </c>
      <c r="W56" s="617">
        <f>W28</f>
        <v/>
      </c>
      <c r="X56" s="617">
        <f>X28</f>
        <v/>
      </c>
      <c r="Y56" s="617">
        <f>Y28</f>
        <v/>
      </c>
      <c r="Z56" s="617">
        <f>Z28</f>
        <v/>
      </c>
      <c r="AA56" s="600" t="n"/>
      <c r="AB56" s="617">
        <f>AB28</f>
        <v/>
      </c>
      <c r="AC56" s="617">
        <f>AC28</f>
        <v/>
      </c>
      <c r="AD56" s="617">
        <f>AD28</f>
        <v/>
      </c>
      <c r="AE56" s="617">
        <f>AE28</f>
        <v/>
      </c>
      <c r="AF56" s="617">
        <f>AF28</f>
        <v/>
      </c>
      <c r="AG56" s="600" t="n"/>
      <c r="AH56" s="617">
        <f>SUM(S56:V56)</f>
        <v/>
      </c>
      <c r="AI56" s="617">
        <f>SUM(W56:Z56)</f>
        <v/>
      </c>
    </row>
    <row r="57" ht="12.75" customHeight="1" s="223">
      <c r="A57" s="600" t="n"/>
      <c r="B57" s="600" t="n"/>
      <c r="C57" s="600" t="n"/>
      <c r="D57" s="600" t="inlineStr">
        <is>
          <t>Divestitures</t>
        </is>
      </c>
      <c r="E57" s="617">
        <f>E27</f>
        <v/>
      </c>
      <c r="F57" s="617">
        <f>F27</f>
        <v/>
      </c>
      <c r="G57" s="617">
        <f>G27</f>
        <v/>
      </c>
      <c r="H57" s="617">
        <f>H27</f>
        <v/>
      </c>
      <c r="I57" s="617">
        <f>I27</f>
        <v/>
      </c>
      <c r="J57" s="617">
        <f>J27</f>
        <v/>
      </c>
      <c r="K57" s="617">
        <f>K27</f>
        <v/>
      </c>
      <c r="L57" s="617">
        <f>L27</f>
        <v/>
      </c>
      <c r="M57" s="617">
        <f>M27</f>
        <v/>
      </c>
      <c r="N57" s="617">
        <f>N27</f>
        <v/>
      </c>
      <c r="O57" s="617">
        <f>O27</f>
        <v/>
      </c>
      <c r="P57" s="617">
        <f>P27</f>
        <v/>
      </c>
      <c r="Q57" s="617">
        <f>Q27</f>
        <v/>
      </c>
      <c r="R57" s="617">
        <f>R27</f>
        <v/>
      </c>
      <c r="S57" s="617">
        <f>S27</f>
        <v/>
      </c>
      <c r="T57" s="617">
        <f>T27</f>
        <v/>
      </c>
      <c r="U57" s="617">
        <f>U27</f>
        <v/>
      </c>
      <c r="V57" s="617">
        <f>V27</f>
        <v/>
      </c>
      <c r="W57" s="617">
        <f>W27</f>
        <v/>
      </c>
      <c r="X57" s="617">
        <f>X27</f>
        <v/>
      </c>
      <c r="Y57" s="617">
        <f>Y27</f>
        <v/>
      </c>
      <c r="Z57" s="617">
        <f>Z27</f>
        <v/>
      </c>
      <c r="AA57" s="600" t="n"/>
      <c r="AB57" s="617">
        <f>AB27</f>
        <v/>
      </c>
      <c r="AC57" s="617">
        <f>AC27</f>
        <v/>
      </c>
      <c r="AD57" s="617">
        <f>AD27</f>
        <v/>
      </c>
      <c r="AE57" s="617">
        <f>AE27</f>
        <v/>
      </c>
      <c r="AF57" s="617">
        <f>AF27</f>
        <v/>
      </c>
      <c r="AG57" s="600" t="n"/>
      <c r="AH57" s="617">
        <f>SUM(S57:V57)</f>
        <v/>
      </c>
      <c r="AI57" s="617">
        <f>SUM(W57:Z57)</f>
        <v/>
      </c>
    </row>
    <row r="58" ht="12.75" customHeight="1" s="223">
      <c r="A58" s="600" t="n"/>
      <c r="B58" s="600" t="n"/>
      <c r="C58" s="600" t="n"/>
      <c r="D58" s="600" t="inlineStr">
        <is>
          <t>Transformation-related costs</t>
        </is>
      </c>
      <c r="E58" s="617" t="n"/>
      <c r="F58" s="617" t="n"/>
      <c r="G58" s="617" t="n"/>
      <c r="H58" s="617" t="n"/>
      <c r="I58" s="617" t="n"/>
      <c r="J58" s="617" t="n"/>
      <c r="K58" s="617" t="n"/>
      <c r="L58" s="617" t="n"/>
      <c r="M58" s="617" t="n"/>
      <c r="N58" s="617" t="n"/>
      <c r="O58" s="617" t="n"/>
      <c r="P58" s="617" t="n"/>
      <c r="Q58" s="616" t="n">
        <v>0</v>
      </c>
      <c r="R58" s="616" t="n">
        <v>0</v>
      </c>
      <c r="S58" s="616" t="n">
        <v>0</v>
      </c>
      <c r="T58" s="617">
        <f>AE58-SUM(Q58:S58)</f>
        <v/>
      </c>
      <c r="U58" s="616" t="n">
        <v>6</v>
      </c>
      <c r="V58" s="616" t="n">
        <v>3</v>
      </c>
      <c r="W58" s="616" t="n">
        <v>3</v>
      </c>
      <c r="X58" s="617">
        <f>AF58-SUM(U58:W58)</f>
        <v/>
      </c>
      <c r="Y58" s="616" t="n">
        <v>2</v>
      </c>
      <c r="Z58" s="616" t="n">
        <v>2</v>
      </c>
      <c r="AA58" s="600" t="n"/>
      <c r="AB58" s="617" t="n"/>
      <c r="AC58" s="617" t="n"/>
      <c r="AD58" s="617" t="n"/>
      <c r="AE58" s="616" t="n">
        <v>12</v>
      </c>
      <c r="AF58" s="616" t="n">
        <v>17</v>
      </c>
      <c r="AG58" s="600" t="n"/>
      <c r="AH58" s="617">
        <f>SUM(S58:V58)</f>
        <v/>
      </c>
      <c r="AI58" s="617">
        <f>SUM(W58:Z58)</f>
        <v/>
      </c>
    </row>
    <row r="59" ht="12.75" customHeight="1" s="223">
      <c r="A59" s="600" t="n"/>
      <c r="B59" s="600" t="n"/>
      <c r="C59" s="600" t="n"/>
      <c r="D59" s="600" t="inlineStr">
        <is>
          <t>Transaction and related costs, net</t>
        </is>
      </c>
      <c r="E59" s="617" t="n"/>
      <c r="F59" s="617" t="n"/>
      <c r="G59" s="617" t="n"/>
      <c r="H59" s="617" t="n"/>
      <c r="I59" s="617" t="n"/>
      <c r="J59" s="617" t="n"/>
      <c r="K59" s="617" t="n"/>
      <c r="L59" s="617" t="n"/>
      <c r="M59" s="617" t="n"/>
      <c r="N59" s="617" t="n"/>
      <c r="O59" s="617" t="n"/>
      <c r="P59" s="617" t="n"/>
      <c r="Q59" s="616" t="n">
        <v>0</v>
      </c>
      <c r="R59" s="616" t="n">
        <v>0</v>
      </c>
      <c r="S59" s="616" t="n">
        <v>0</v>
      </c>
      <c r="T59" s="617">
        <f>AE59-SUM(Q59:S59)</f>
        <v/>
      </c>
      <c r="U59" s="616" t="n">
        <v>3</v>
      </c>
      <c r="V59" s="616" t="n">
        <v>6</v>
      </c>
      <c r="W59" s="616" t="n">
        <v>23</v>
      </c>
      <c r="X59" s="617">
        <f>AF59-SUM(U59:W59)</f>
        <v/>
      </c>
      <c r="Y59" s="616" t="n">
        <v>4</v>
      </c>
      <c r="Z59" s="616" t="n">
        <v>0</v>
      </c>
      <c r="AA59" s="600" t="n"/>
      <c r="AB59" s="617" t="n"/>
      <c r="AC59" s="617" t="n"/>
      <c r="AD59" s="617" t="n"/>
      <c r="AE59" s="616" t="n">
        <v>7</v>
      </c>
      <c r="AF59" s="616" t="n">
        <v>34</v>
      </c>
      <c r="AG59" s="600" t="n"/>
      <c r="AH59" s="617">
        <f>SUM(S59:V59)</f>
        <v/>
      </c>
      <c r="AI59" s="617">
        <f>SUM(W59:Z59)</f>
        <v/>
      </c>
    </row>
    <row r="60" ht="12.75" customHeight="1" s="223">
      <c r="A60" s="600" t="n"/>
      <c r="B60" s="600" t="n"/>
      <c r="C60" s="600" t="n"/>
      <c r="D60" s="600" t="inlineStr">
        <is>
          <t>Inventory impact, exit of Production Print manufacturing</t>
        </is>
      </c>
      <c r="E60" s="617" t="n"/>
      <c r="F60" s="617" t="n"/>
      <c r="G60" s="617" t="n"/>
      <c r="H60" s="617" t="n"/>
      <c r="I60" s="617" t="n"/>
      <c r="J60" s="617" t="n"/>
      <c r="K60" s="617" t="n"/>
      <c r="L60" s="617" t="n"/>
      <c r="M60" s="617" t="n"/>
      <c r="N60" s="617" t="n"/>
      <c r="O60" s="617" t="n"/>
      <c r="P60" s="617" t="n"/>
      <c r="Q60" s="616" t="n">
        <v>36</v>
      </c>
      <c r="R60" s="616" t="n">
        <v>8</v>
      </c>
      <c r="S60" s="616" t="n">
        <v>0</v>
      </c>
      <c r="T60" s="617">
        <f>AE60-SUM(Q60:S60)</f>
        <v/>
      </c>
      <c r="U60" s="616" t="n">
        <v>7</v>
      </c>
      <c r="V60" s="616" t="n">
        <v>10</v>
      </c>
      <c r="W60" s="616" t="n">
        <v>3</v>
      </c>
      <c r="X60" s="617">
        <f>AF60-SUM(U60:W60)</f>
        <v/>
      </c>
      <c r="Y60" s="616" t="n">
        <v>0</v>
      </c>
      <c r="Z60" s="616" t="n">
        <v>0</v>
      </c>
      <c r="AA60" s="600" t="n"/>
      <c r="AB60" s="617" t="n"/>
      <c r="AC60" s="617" t="n"/>
      <c r="AD60" s="617" t="n"/>
      <c r="AE60" s="616" t="n">
        <v>51</v>
      </c>
      <c r="AF60" s="616" t="n">
        <v>24</v>
      </c>
      <c r="AG60" s="600" t="n"/>
      <c r="AH60" s="617">
        <f>SUM(S60:V60)</f>
        <v/>
      </c>
      <c r="AI60" s="617">
        <f>SUM(W60:Z60)</f>
        <v/>
      </c>
    </row>
    <row r="61" ht="12.75" customHeight="1" s="223">
      <c r="A61" s="600" t="n"/>
      <c r="B61" s="600" t="n"/>
      <c r="C61" s="600" t="n"/>
      <c r="D61" s="600" t="inlineStr">
        <is>
          <t>Lexmark inventory purchase accounting adjustment</t>
        </is>
      </c>
      <c r="E61" s="617" t="n"/>
      <c r="F61" s="617" t="n"/>
      <c r="G61" s="617" t="n"/>
      <c r="H61" s="617" t="n"/>
      <c r="I61" s="617" t="n"/>
      <c r="J61" s="617" t="n"/>
      <c r="K61" s="617" t="n"/>
      <c r="L61" s="617" t="n"/>
      <c r="M61" s="617" t="n"/>
      <c r="N61" s="617" t="n"/>
      <c r="O61" s="617" t="n"/>
      <c r="P61" s="617" t="n"/>
      <c r="Q61" s="617" t="n"/>
      <c r="R61" s="617" t="n"/>
      <c r="S61" s="617" t="n"/>
      <c r="T61" s="617" t="n"/>
      <c r="U61" s="616" t="n">
        <v>0</v>
      </c>
      <c r="V61" s="616" t="n">
        <v>0</v>
      </c>
      <c r="W61" s="616" t="n">
        <v>102</v>
      </c>
      <c r="X61" s="617">
        <f>AF61-SUM(U61:W61)</f>
        <v/>
      </c>
      <c r="Y61" s="616" t="n">
        <v>0</v>
      </c>
      <c r="Z61" s="616" t="n">
        <v>0</v>
      </c>
      <c r="AA61" s="600" t="n"/>
      <c r="AB61" s="617" t="n"/>
      <c r="AC61" s="617" t="n"/>
      <c r="AD61" s="617" t="n"/>
      <c r="AE61" s="617" t="n"/>
      <c r="AF61" s="616" t="n">
        <v>102</v>
      </c>
      <c r="AG61" s="600" t="n"/>
      <c r="AH61" s="617">
        <f>SUM(S61:V61)</f>
        <v/>
      </c>
      <c r="AI61" s="617">
        <f>SUM(W61:Z61)</f>
        <v/>
      </c>
    </row>
    <row r="62" ht="12.75" customHeight="1" s="223">
      <c r="A62" s="600" t="n"/>
      <c r="B62" s="600" t="n"/>
      <c r="C62" s="600" t="n"/>
      <c r="D62" s="600" t="inlineStr">
        <is>
          <t>Lexmark settlement of pre-existing employment agreements</t>
        </is>
      </c>
      <c r="E62" s="617" t="n"/>
      <c r="F62" s="617" t="n"/>
      <c r="G62" s="617" t="n"/>
      <c r="H62" s="617" t="n"/>
      <c r="I62" s="617" t="n"/>
      <c r="J62" s="617" t="n"/>
      <c r="K62" s="617" t="n"/>
      <c r="L62" s="617" t="n"/>
      <c r="M62" s="617" t="n"/>
      <c r="N62" s="617" t="n"/>
      <c r="O62" s="617" t="n"/>
      <c r="P62" s="617" t="n"/>
      <c r="Q62" s="617" t="n"/>
      <c r="R62" s="617" t="n"/>
      <c r="S62" s="617" t="n"/>
      <c r="T62" s="617" t="n"/>
      <c r="U62" s="616" t="n">
        <v>0</v>
      </c>
      <c r="V62" s="616" t="n">
        <v>0</v>
      </c>
      <c r="W62" s="616" t="n">
        <v>24</v>
      </c>
      <c r="X62" s="617">
        <f>AF62-SUM(U62:W62)</f>
        <v/>
      </c>
      <c r="Y62" s="616" t="n">
        <v>0</v>
      </c>
      <c r="Z62" s="616" t="n">
        <v>0</v>
      </c>
      <c r="AA62" s="600" t="n"/>
      <c r="AB62" s="617" t="n"/>
      <c r="AC62" s="617" t="n"/>
      <c r="AD62" s="617" t="n"/>
      <c r="AE62" s="617" t="n"/>
      <c r="AF62" s="616" t="n">
        <v>25</v>
      </c>
      <c r="AG62" s="600" t="n"/>
      <c r="AH62" s="617">
        <f>SUM(S62:V62)</f>
        <v/>
      </c>
      <c r="AI62" s="617">
        <f>SUM(W62:Z62)</f>
        <v/>
      </c>
    </row>
    <row r="63" ht="12.75" customHeight="1" s="223">
      <c r="A63" s="600" t="n"/>
      <c r="B63" s="600" t="n"/>
      <c r="C63" s="600" t="n"/>
      <c r="D63" s="618" t="inlineStr">
        <is>
          <t>Adjusted EBITDA</t>
        </is>
      </c>
      <c r="E63" s="619">
        <f>E52+SUM(E54:E62)</f>
        <v/>
      </c>
      <c r="F63" s="619">
        <f>F52+SUM(F54:F62)</f>
        <v/>
      </c>
      <c r="G63" s="619">
        <f>G52+SUM(G54:G62)</f>
        <v/>
      </c>
      <c r="H63" s="619">
        <f>H52+SUM(H54:H62)</f>
        <v/>
      </c>
      <c r="I63" s="619">
        <f>I52+SUM(I54:I62)</f>
        <v/>
      </c>
      <c r="J63" s="619">
        <f>J52+SUM(J54:J62)</f>
        <v/>
      </c>
      <c r="K63" s="619">
        <f>K52+SUM(K54:K62)</f>
        <v/>
      </c>
      <c r="L63" s="619">
        <f>L52+SUM(L54:L62)</f>
        <v/>
      </c>
      <c r="M63" s="619">
        <f>M52+SUM(M54:M62)</f>
        <v/>
      </c>
      <c r="N63" s="619">
        <f>N52+SUM(N54:N62)</f>
        <v/>
      </c>
      <c r="O63" s="619">
        <f>O52+SUM(O54:O62)</f>
        <v/>
      </c>
      <c r="P63" s="619">
        <f>P52+SUM(P54:P62)</f>
        <v/>
      </c>
      <c r="Q63" s="619">
        <f>Q52+SUM(Q54:Q62)</f>
        <v/>
      </c>
      <c r="R63" s="619">
        <f>R52+SUM(R54:R62)</f>
        <v/>
      </c>
      <c r="S63" s="619">
        <f>S52+SUM(S54:S62)</f>
        <v/>
      </c>
      <c r="T63" s="619">
        <f>T52+SUM(T54:T62)</f>
        <v/>
      </c>
      <c r="U63" s="619">
        <f>U52+SUM(U54:U62)</f>
        <v/>
      </c>
      <c r="V63" s="619">
        <f>V52+SUM(V54:V62)</f>
        <v/>
      </c>
      <c r="W63" s="619">
        <f>W52+SUM(W54:W62)</f>
        <v/>
      </c>
      <c r="X63" s="619">
        <f>X52+SUM(X54:X62)</f>
        <v/>
      </c>
      <c r="Y63" s="619">
        <f>Y52+SUM(Y54:Y62)</f>
        <v/>
      </c>
      <c r="Z63" s="620">
        <f>Z52+SUM(Z54:Z62)</f>
        <v/>
      </c>
      <c r="AA63" s="600" t="n"/>
      <c r="AB63" s="621">
        <f>AB52+SUM(AB54:AB62)</f>
        <v/>
      </c>
      <c r="AC63" s="619">
        <f>AC52+SUM(AC54:AC62)</f>
        <v/>
      </c>
      <c r="AD63" s="619">
        <f>AD52+SUM(AD54:AD62)</f>
        <v/>
      </c>
      <c r="AE63" s="619">
        <f>AE52+SUM(AE54:AE62)</f>
        <v/>
      </c>
      <c r="AF63" s="620">
        <f>AF52+SUM(AF54:AF62)</f>
        <v/>
      </c>
      <c r="AG63" s="600" t="n"/>
      <c r="AH63" s="621">
        <f>AH52+SUM(AH54:AH62)</f>
        <v/>
      </c>
      <c r="AI63" s="620">
        <f>AI52+SUM(AI54:AI62)</f>
        <v/>
      </c>
    </row>
    <row r="64" ht="12.75" customHeight="1" s="223">
      <c r="A64" s="600" t="n"/>
      <c r="B64" s="600" t="n"/>
      <c r="C64" s="600" t="n"/>
      <c r="D64" s="622" t="inlineStr">
        <is>
          <t>Adjusted EBITDA (company-reported)</t>
        </is>
      </c>
      <c r="E64" s="617" t="n"/>
      <c r="F64" s="617" t="n"/>
      <c r="G64" s="617" t="n"/>
      <c r="H64" s="617" t="n"/>
      <c r="I64" s="617" t="n"/>
      <c r="J64" s="617" t="n"/>
      <c r="K64" s="617" t="n"/>
      <c r="L64" s="617" t="n"/>
      <c r="M64" s="617" t="n"/>
      <c r="N64" s="617" t="n"/>
      <c r="O64" s="617" t="n"/>
      <c r="P64" s="617" t="n"/>
      <c r="Q64" s="623" t="n">
        <v>94</v>
      </c>
      <c r="R64" s="623" t="n">
        <v>151</v>
      </c>
      <c r="S64" s="623" t="n">
        <v>138</v>
      </c>
      <c r="T64" s="623" t="n">
        <v>172</v>
      </c>
      <c r="U64" s="623" t="n">
        <v>84</v>
      </c>
      <c r="V64" s="623" t="n">
        <v>120</v>
      </c>
      <c r="W64" s="623" t="n">
        <v>133</v>
      </c>
      <c r="X64" s="623" t="n">
        <v>175</v>
      </c>
      <c r="Y64" s="623" t="n">
        <v>140</v>
      </c>
      <c r="Z64" s="623" t="n">
        <v>271</v>
      </c>
      <c r="AA64" s="600" t="n"/>
      <c r="AB64" s="617" t="n"/>
      <c r="AC64" s="617" t="n"/>
      <c r="AD64" s="623" t="n">
        <v>651</v>
      </c>
      <c r="AE64" s="623" t="n">
        <v>555</v>
      </c>
      <c r="AF64" s="623" t="n">
        <v>512</v>
      </c>
      <c r="AG64" s="600" t="n"/>
      <c r="AH64" s="617" t="n"/>
      <c r="AI64" s="617" t="n"/>
    </row>
    <row r="65" ht="12.75" customHeight="1" s="223">
      <c r="A65" s="600" t="n"/>
      <c r="B65" s="600" t="n"/>
      <c r="C65" s="600" t="n"/>
      <c r="D65" s="624" t="inlineStr">
        <is>
          <t>Check</t>
        </is>
      </c>
      <c r="E65" s="617" t="n"/>
      <c r="F65" s="617" t="n"/>
      <c r="G65" s="617" t="n"/>
      <c r="H65" s="617" t="n"/>
      <c r="I65" s="617" t="n"/>
      <c r="J65" s="617" t="n"/>
      <c r="K65" s="617" t="n"/>
      <c r="L65" s="617" t="n"/>
      <c r="M65" s="617" t="n"/>
      <c r="N65" s="617" t="n"/>
      <c r="O65" s="617" t="n"/>
      <c r="P65" s="617" t="n"/>
      <c r="Q65" s="625">
        <f>Q63-Q64</f>
        <v/>
      </c>
      <c r="R65" s="625">
        <f>R63-R64</f>
        <v/>
      </c>
      <c r="S65" s="625">
        <f>S63-S64</f>
        <v/>
      </c>
      <c r="T65" s="625">
        <f>T63-T64</f>
        <v/>
      </c>
      <c r="U65" s="625">
        <f>U63-U64</f>
        <v/>
      </c>
      <c r="V65" s="625">
        <f>V63-V64</f>
        <v/>
      </c>
      <c r="W65" s="625">
        <f>W63-W64</f>
        <v/>
      </c>
      <c r="X65" s="625">
        <f>X63-X64</f>
        <v/>
      </c>
      <c r="Y65" s="625">
        <f>Y63-Y64</f>
        <v/>
      </c>
      <c r="Z65" s="625">
        <f>Z63-Z64</f>
        <v/>
      </c>
      <c r="AA65" s="600" t="n"/>
      <c r="AB65" s="617" t="n"/>
      <c r="AC65" s="617" t="n"/>
      <c r="AD65" s="625">
        <f>AD63-AD64</f>
        <v/>
      </c>
      <c r="AE65" s="625">
        <f>AE63-AE64</f>
        <v/>
      </c>
      <c r="AF65" s="625">
        <f>AF63-AF64</f>
        <v/>
      </c>
      <c r="AG65" s="600" t="n"/>
      <c r="AH65" s="617" t="n"/>
      <c r="AI65" s="617" t="n"/>
    </row>
    <row r="66" ht="12.75" customHeight="1" s="223">
      <c r="A66" s="600" t="n"/>
      <c r="B66" s="600" t="n"/>
      <c r="C66" s="600" t="n"/>
      <c r="D66" s="600" t="n"/>
      <c r="E66" s="600" t="n"/>
      <c r="F66" s="600" t="n"/>
      <c r="G66" s="600" t="n"/>
      <c r="H66" s="600" t="n"/>
      <c r="I66" s="600" t="n"/>
      <c r="J66" s="600" t="n"/>
      <c r="K66" s="600" t="n"/>
      <c r="L66" s="600" t="n"/>
      <c r="M66" s="600" t="n"/>
      <c r="N66" s="600" t="n"/>
      <c r="O66" s="600" t="n"/>
      <c r="P66" s="600" t="n"/>
      <c r="Q66" s="600" t="n"/>
      <c r="R66" s="600" t="n"/>
      <c r="S66" s="600" t="n"/>
      <c r="T66" s="600" t="n"/>
      <c r="U66" s="600" t="n"/>
      <c r="V66" s="600" t="n"/>
      <c r="W66" s="600" t="n"/>
      <c r="X66" s="600" t="n"/>
      <c r="Y66" s="600" t="n"/>
      <c r="Z66" s="600" t="n"/>
      <c r="AA66" s="600" t="n"/>
      <c r="AB66" s="600" t="n"/>
      <c r="AC66" s="600" t="n"/>
      <c r="AD66" s="600" t="n"/>
      <c r="AE66" s="600" t="n"/>
      <c r="AF66" s="600" t="n"/>
      <c r="AG66" s="600" t="n"/>
      <c r="AH66" s="600" t="n"/>
      <c r="AI66" s="600" t="n"/>
    </row>
    <row r="67" ht="12.75" customHeight="1" s="223">
      <c r="A67" s="600" t="n"/>
      <c r="B67" s="600" t="n"/>
      <c r="C67" s="600" t="n"/>
      <c r="D67" s="600" t="inlineStr">
        <is>
          <t>Less: IEEPA tariff refund benefit (in cost of sales)</t>
        </is>
      </c>
      <c r="E67" s="617" t="n"/>
      <c r="F67" s="617" t="n"/>
      <c r="G67" s="617" t="n"/>
      <c r="H67" s="617" t="n"/>
      <c r="I67" s="617" t="n"/>
      <c r="J67" s="617" t="n"/>
      <c r="K67" s="617" t="n"/>
      <c r="L67" s="617" t="n"/>
      <c r="M67" s="617" t="n"/>
      <c r="N67" s="617" t="n"/>
      <c r="O67" s="617" t="n"/>
      <c r="P67" s="617" t="n"/>
      <c r="Q67" s="617" t="n"/>
      <c r="R67" s="617" t="n"/>
      <c r="S67" s="617" t="n"/>
      <c r="T67" s="617" t="n"/>
      <c r="U67" s="617" t="n"/>
      <c r="V67" s="617" t="n"/>
      <c r="W67" s="617" t="n"/>
      <c r="X67" s="617" t="n"/>
      <c r="Y67" s="617" t="n"/>
      <c r="Z67" s="616" t="n">
        <v>-105</v>
      </c>
      <c r="AA67" s="600" t="n"/>
      <c r="AB67" s="617" t="n"/>
      <c r="AC67" s="617" t="n"/>
      <c r="AD67" s="617" t="n"/>
      <c r="AE67" s="617" t="n"/>
      <c r="AF67" s="617" t="n"/>
      <c r="AG67" s="600" t="n"/>
      <c r="AH67" s="617">
        <f>SUM(S67:V67)</f>
        <v/>
      </c>
      <c r="AI67" s="617">
        <f>SUM(W67:Z67)</f>
        <v/>
      </c>
    </row>
    <row r="68" ht="12.75" customHeight="1" s="223">
      <c r="A68" s="600" t="n"/>
      <c r="B68" s="600" t="n"/>
      <c r="C68" s="600" t="n"/>
      <c r="D68" s="618" t="inlineStr">
        <is>
          <t>Adjusted EBITDA excl. IEEPA tariff benefit</t>
        </is>
      </c>
      <c r="E68" s="619">
        <f>E63+E67</f>
        <v/>
      </c>
      <c r="F68" s="619">
        <f>F63+F67</f>
        <v/>
      </c>
      <c r="G68" s="619">
        <f>G63+G67</f>
        <v/>
      </c>
      <c r="H68" s="619">
        <f>H63+H67</f>
        <v/>
      </c>
      <c r="I68" s="619">
        <f>I63+I67</f>
        <v/>
      </c>
      <c r="J68" s="619">
        <f>J63+J67</f>
        <v/>
      </c>
      <c r="K68" s="619">
        <f>K63+K67</f>
        <v/>
      </c>
      <c r="L68" s="619">
        <f>L63+L67</f>
        <v/>
      </c>
      <c r="M68" s="619">
        <f>M63+M67</f>
        <v/>
      </c>
      <c r="N68" s="619">
        <f>N63+N67</f>
        <v/>
      </c>
      <c r="O68" s="619">
        <f>O63+O67</f>
        <v/>
      </c>
      <c r="P68" s="619">
        <f>P63+P67</f>
        <v/>
      </c>
      <c r="Q68" s="619">
        <f>Q63+Q67</f>
        <v/>
      </c>
      <c r="R68" s="619">
        <f>R63+R67</f>
        <v/>
      </c>
      <c r="S68" s="619">
        <f>S63+S67</f>
        <v/>
      </c>
      <c r="T68" s="619">
        <f>T63+T67</f>
        <v/>
      </c>
      <c r="U68" s="619">
        <f>U63+U67</f>
        <v/>
      </c>
      <c r="V68" s="619">
        <f>V63+V67</f>
        <v/>
      </c>
      <c r="W68" s="619">
        <f>W63+W67</f>
        <v/>
      </c>
      <c r="X68" s="619">
        <f>X63+X67</f>
        <v/>
      </c>
      <c r="Y68" s="619">
        <f>Y63+Y67</f>
        <v/>
      </c>
      <c r="Z68" s="620">
        <f>Z63+Z67</f>
        <v/>
      </c>
      <c r="AA68" s="600" t="n"/>
      <c r="AB68" s="621">
        <f>AB63+AB67</f>
        <v/>
      </c>
      <c r="AC68" s="619">
        <f>AC63+AC67</f>
        <v/>
      </c>
      <c r="AD68" s="619">
        <f>AD63+AD67</f>
        <v/>
      </c>
      <c r="AE68" s="619">
        <f>AE63+AE67</f>
        <v/>
      </c>
      <c r="AF68" s="620">
        <f>AF63+AF67</f>
        <v/>
      </c>
      <c r="AG68" s="600" t="n"/>
      <c r="AH68" s="621">
        <f>AH63+AH67</f>
        <v/>
      </c>
      <c r="AI68" s="620">
        <f>AI63+AI67</f>
        <v/>
      </c>
    </row>
    <row r="69" ht="12.75" customHeight="1" s="223">
      <c r="A69" s="600" t="n"/>
      <c r="B69" s="600" t="n"/>
      <c r="C69" s="600" t="n"/>
      <c r="D69" s="600" t="n"/>
      <c r="E69" s="600" t="n"/>
      <c r="F69" s="600" t="n"/>
      <c r="G69" s="600" t="n"/>
      <c r="H69" s="600" t="n"/>
      <c r="I69" s="600" t="n"/>
      <c r="J69" s="600" t="n"/>
      <c r="K69" s="600" t="n"/>
      <c r="L69" s="600" t="n"/>
      <c r="M69" s="600" t="n"/>
      <c r="N69" s="600" t="n"/>
      <c r="O69" s="600" t="n"/>
      <c r="P69" s="600" t="n"/>
      <c r="Q69" s="600" t="n"/>
      <c r="R69" s="600" t="n"/>
      <c r="S69" s="600" t="n"/>
      <c r="T69" s="600" t="n"/>
      <c r="U69" s="600" t="n"/>
      <c r="V69" s="600" t="n"/>
      <c r="W69" s="600" t="n"/>
      <c r="X69" s="600" t="n"/>
      <c r="Y69" s="600" t="n"/>
      <c r="Z69" s="600" t="n"/>
      <c r="AA69" s="600" t="n"/>
      <c r="AB69" s="600" t="n"/>
      <c r="AC69" s="600" t="n"/>
      <c r="AD69" s="600" t="n"/>
      <c r="AE69" s="600" t="n"/>
      <c r="AF69" s="600" t="n"/>
      <c r="AG69" s="600" t="n"/>
      <c r="AH69" s="600" t="n"/>
      <c r="AI69" s="600" t="n"/>
    </row>
    <row r="70" ht="12.75" customHeight="1" s="223">
      <c r="A70" s="600" t="n"/>
      <c r="B70" s="600" t="n"/>
      <c r="C70" s="600" t="n"/>
      <c r="D70" s="632" t="inlineStr">
        <is>
          <t>Memo:</t>
        </is>
      </c>
      <c r="E70" s="633" t="n"/>
      <c r="F70" s="633" t="n"/>
      <c r="G70" s="633" t="n"/>
      <c r="H70" s="633" t="n"/>
      <c r="I70" s="633" t="n"/>
      <c r="J70" s="633" t="n"/>
      <c r="K70" s="633" t="n"/>
      <c r="L70" s="633" t="n"/>
      <c r="M70" s="633" t="n"/>
      <c r="N70" s="633" t="n"/>
      <c r="O70" s="633" t="n"/>
      <c r="P70" s="633" t="n"/>
      <c r="Q70" s="633" t="n"/>
      <c r="R70" s="633" t="n"/>
      <c r="S70" s="633" t="n"/>
      <c r="T70" s="633" t="n"/>
      <c r="U70" s="633" t="n"/>
      <c r="V70" s="633" t="n"/>
      <c r="W70" s="633" t="n"/>
      <c r="X70" s="633" t="n"/>
      <c r="Y70" s="633" t="n"/>
      <c r="Z70" s="633" t="n"/>
      <c r="AA70" s="634" t="n"/>
      <c r="AB70" s="633" t="n"/>
      <c r="AC70" s="633" t="n"/>
      <c r="AD70" s="633" t="n"/>
      <c r="AE70" s="633" t="n"/>
      <c r="AF70" s="633" t="n"/>
      <c r="AG70" s="634" t="n"/>
      <c r="AH70" s="633" t="n"/>
      <c r="AI70" s="635" t="n"/>
    </row>
    <row r="71" ht="12.75" customHeight="1" s="223">
      <c r="A71" s="600" t="n"/>
      <c r="B71" s="600" t="n"/>
      <c r="C71" s="600" t="n"/>
      <c r="D71" s="636" t="inlineStr">
        <is>
          <t>Total revenue growth (YoY)</t>
        </is>
      </c>
      <c r="E71" s="637" t="n"/>
      <c r="F71" s="637" t="n"/>
      <c r="G71" s="637" t="n"/>
      <c r="H71" s="637" t="n"/>
      <c r="I71" s="637">
        <f>I13/E13-1</f>
        <v/>
      </c>
      <c r="J71" s="637">
        <f>J13/F13-1</f>
        <v/>
      </c>
      <c r="K71" s="637">
        <f>K13/G13-1</f>
        <v/>
      </c>
      <c r="L71" s="637">
        <f>L13/H13-1</f>
        <v/>
      </c>
      <c r="M71" s="637">
        <f>M13/I13-1</f>
        <v/>
      </c>
      <c r="N71" s="637">
        <f>N13/J13-1</f>
        <v/>
      </c>
      <c r="O71" s="637">
        <f>O13/K13-1</f>
        <v/>
      </c>
      <c r="P71" s="637">
        <f>P13/L13-1</f>
        <v/>
      </c>
      <c r="Q71" s="637">
        <f>Q13/M13-1</f>
        <v/>
      </c>
      <c r="R71" s="637">
        <f>R13/N13-1</f>
        <v/>
      </c>
      <c r="S71" s="637">
        <f>S13/O13-1</f>
        <v/>
      </c>
      <c r="T71" s="637">
        <f>T13/P13-1</f>
        <v/>
      </c>
      <c r="U71" s="637">
        <f>U13/Q13-1</f>
        <v/>
      </c>
      <c r="V71" s="637">
        <f>V13/R13-1</f>
        <v/>
      </c>
      <c r="W71" s="637">
        <f>W13/S13-1</f>
        <v/>
      </c>
      <c r="X71" s="637">
        <f>X13/T13-1</f>
        <v/>
      </c>
      <c r="Y71" s="637">
        <f>Y13/U13-1</f>
        <v/>
      </c>
      <c r="Z71" s="637">
        <f>Z13/V13-1</f>
        <v/>
      </c>
      <c r="AA71" s="600" t="n"/>
      <c r="AB71" s="637" t="n"/>
      <c r="AC71" s="637">
        <f>AC13/AB13-1</f>
        <v/>
      </c>
      <c r="AD71" s="637">
        <f>AD13/AC13-1</f>
        <v/>
      </c>
      <c r="AE71" s="637">
        <f>AE13/AD13-1</f>
        <v/>
      </c>
      <c r="AF71" s="637">
        <f>AF13/AE13-1</f>
        <v/>
      </c>
      <c r="AG71" s="600" t="n"/>
      <c r="AH71" s="637">
        <f>SUM(S13:V13)/SUM(O13:R13)-1</f>
        <v/>
      </c>
      <c r="AI71" s="638">
        <f>AI13/AH13-1</f>
        <v/>
      </c>
    </row>
    <row r="72" ht="12.75" customHeight="1" s="223">
      <c r="A72" s="600" t="n"/>
      <c r="B72" s="600" t="n"/>
      <c r="C72" s="600" t="n"/>
      <c r="D72" s="636" t="inlineStr">
        <is>
          <t>Gross margin %</t>
        </is>
      </c>
      <c r="E72" s="637">
        <f>E20/E13</f>
        <v/>
      </c>
      <c r="F72" s="637">
        <f>F20/F13</f>
        <v/>
      </c>
      <c r="G72" s="637">
        <f>G20/G13</f>
        <v/>
      </c>
      <c r="H72" s="637">
        <f>H20/H13</f>
        <v/>
      </c>
      <c r="I72" s="637">
        <f>I20/I13</f>
        <v/>
      </c>
      <c r="J72" s="637">
        <f>J20/J13</f>
        <v/>
      </c>
      <c r="K72" s="637">
        <f>K20/K13</f>
        <v/>
      </c>
      <c r="L72" s="637">
        <f>L20/L13</f>
        <v/>
      </c>
      <c r="M72" s="637">
        <f>M20/M13</f>
        <v/>
      </c>
      <c r="N72" s="637">
        <f>N20/N13</f>
        <v/>
      </c>
      <c r="O72" s="637">
        <f>O20/O13</f>
        <v/>
      </c>
      <c r="P72" s="637">
        <f>P20/P13</f>
        <v/>
      </c>
      <c r="Q72" s="637">
        <f>Q20/Q13</f>
        <v/>
      </c>
      <c r="R72" s="637">
        <f>R20/R13</f>
        <v/>
      </c>
      <c r="S72" s="637">
        <f>S20/S13</f>
        <v/>
      </c>
      <c r="T72" s="637">
        <f>T20/T13</f>
        <v/>
      </c>
      <c r="U72" s="637">
        <f>U20/U13</f>
        <v/>
      </c>
      <c r="V72" s="637">
        <f>V20/V13</f>
        <v/>
      </c>
      <c r="W72" s="637">
        <f>W20/W13</f>
        <v/>
      </c>
      <c r="X72" s="637">
        <f>X20/X13</f>
        <v/>
      </c>
      <c r="Y72" s="637">
        <f>Y20/Y13</f>
        <v/>
      </c>
      <c r="Z72" s="637">
        <f>Z20/Z13</f>
        <v/>
      </c>
      <c r="AA72" s="600" t="n"/>
      <c r="AB72" s="637">
        <f>AB20/AB13</f>
        <v/>
      </c>
      <c r="AC72" s="637">
        <f>AC20/AC13</f>
        <v/>
      </c>
      <c r="AD72" s="637">
        <f>AD20/AD13</f>
        <v/>
      </c>
      <c r="AE72" s="637">
        <f>AE20/AE13</f>
        <v/>
      </c>
      <c r="AF72" s="637">
        <f>AF20/AF13</f>
        <v/>
      </c>
      <c r="AG72" s="600" t="n"/>
      <c r="AH72" s="637">
        <f>AH20/AH13</f>
        <v/>
      </c>
      <c r="AI72" s="638">
        <f>AI20/AI13</f>
        <v/>
      </c>
    </row>
    <row r="73" ht="12.75" customHeight="1" s="223">
      <c r="A73" s="600" t="n"/>
      <c r="B73" s="600" t="n"/>
      <c r="C73" s="600" t="n"/>
      <c r="D73" s="636" t="inlineStr">
        <is>
          <t>EBITDA margin %</t>
        </is>
      </c>
      <c r="E73" s="637">
        <f>E52/E13</f>
        <v/>
      </c>
      <c r="F73" s="637">
        <f>F52/F13</f>
        <v/>
      </c>
      <c r="G73" s="637">
        <f>G52/G13</f>
        <v/>
      </c>
      <c r="H73" s="637">
        <f>H52/H13</f>
        <v/>
      </c>
      <c r="I73" s="637">
        <f>I52/I13</f>
        <v/>
      </c>
      <c r="J73" s="637">
        <f>J52/J13</f>
        <v/>
      </c>
      <c r="K73" s="637">
        <f>K52/K13</f>
        <v/>
      </c>
      <c r="L73" s="637">
        <f>L52/L13</f>
        <v/>
      </c>
      <c r="M73" s="637">
        <f>M52/M13</f>
        <v/>
      </c>
      <c r="N73" s="637">
        <f>N52/N13</f>
        <v/>
      </c>
      <c r="O73" s="637">
        <f>O52/O13</f>
        <v/>
      </c>
      <c r="P73" s="637">
        <f>P52/P13</f>
        <v/>
      </c>
      <c r="Q73" s="637">
        <f>Q52/Q13</f>
        <v/>
      </c>
      <c r="R73" s="637">
        <f>R52/R13</f>
        <v/>
      </c>
      <c r="S73" s="637">
        <f>S52/S13</f>
        <v/>
      </c>
      <c r="T73" s="637">
        <f>T52/T13</f>
        <v/>
      </c>
      <c r="U73" s="637">
        <f>U52/U13</f>
        <v/>
      </c>
      <c r="V73" s="637">
        <f>V52/V13</f>
        <v/>
      </c>
      <c r="W73" s="637">
        <f>W52/W13</f>
        <v/>
      </c>
      <c r="X73" s="637">
        <f>X52/X13</f>
        <v/>
      </c>
      <c r="Y73" s="637">
        <f>Y52/Y13</f>
        <v/>
      </c>
      <c r="Z73" s="637">
        <f>Z52/Z13</f>
        <v/>
      </c>
      <c r="AA73" s="600" t="n"/>
      <c r="AB73" s="637">
        <f>AB52/AB13</f>
        <v/>
      </c>
      <c r="AC73" s="637">
        <f>AC52/AC13</f>
        <v/>
      </c>
      <c r="AD73" s="637">
        <f>AD52/AD13</f>
        <v/>
      </c>
      <c r="AE73" s="637">
        <f>AE52/AE13</f>
        <v/>
      </c>
      <c r="AF73" s="637">
        <f>AF52/AF13</f>
        <v/>
      </c>
      <c r="AG73" s="600" t="n"/>
      <c r="AH73" s="637">
        <f>AH52/AH13</f>
        <v/>
      </c>
      <c r="AI73" s="638">
        <f>AI52/AI13</f>
        <v/>
      </c>
    </row>
    <row r="74" ht="12.75" customHeight="1" s="223">
      <c r="A74" s="600" t="n"/>
      <c r="B74" s="600" t="n"/>
      <c r="C74" s="600" t="n"/>
      <c r="D74" s="636" t="inlineStr">
        <is>
          <t>Adjusted EBITDA margin %</t>
        </is>
      </c>
      <c r="E74" s="637">
        <f>E63/E13</f>
        <v/>
      </c>
      <c r="F74" s="637">
        <f>F63/F13</f>
        <v/>
      </c>
      <c r="G74" s="637">
        <f>G63/G13</f>
        <v/>
      </c>
      <c r="H74" s="637">
        <f>H63/H13</f>
        <v/>
      </c>
      <c r="I74" s="637">
        <f>I63/I13</f>
        <v/>
      </c>
      <c r="J74" s="637">
        <f>J63/J13</f>
        <v/>
      </c>
      <c r="K74" s="637">
        <f>K63/K13</f>
        <v/>
      </c>
      <c r="L74" s="637">
        <f>L63/L13</f>
        <v/>
      </c>
      <c r="M74" s="637">
        <f>M63/M13</f>
        <v/>
      </c>
      <c r="N74" s="637">
        <f>N63/N13</f>
        <v/>
      </c>
      <c r="O74" s="637">
        <f>O63/O13</f>
        <v/>
      </c>
      <c r="P74" s="637">
        <f>P63/P13</f>
        <v/>
      </c>
      <c r="Q74" s="637">
        <f>Q63/Q13</f>
        <v/>
      </c>
      <c r="R74" s="637">
        <f>R63/R13</f>
        <v/>
      </c>
      <c r="S74" s="637">
        <f>S63/S13</f>
        <v/>
      </c>
      <c r="T74" s="637">
        <f>T63/T13</f>
        <v/>
      </c>
      <c r="U74" s="637">
        <f>U63/U13</f>
        <v/>
      </c>
      <c r="V74" s="637">
        <f>V63/V13</f>
        <v/>
      </c>
      <c r="W74" s="637">
        <f>W63/W13</f>
        <v/>
      </c>
      <c r="X74" s="637">
        <f>X63/X13</f>
        <v/>
      </c>
      <c r="Y74" s="637">
        <f>Y63/Y13</f>
        <v/>
      </c>
      <c r="Z74" s="637">
        <f>Z63/Z13</f>
        <v/>
      </c>
      <c r="AA74" s="600" t="n"/>
      <c r="AB74" s="637">
        <f>AB63/AB13</f>
        <v/>
      </c>
      <c r="AC74" s="637">
        <f>AC63/AC13</f>
        <v/>
      </c>
      <c r="AD74" s="637">
        <f>AD63/AD13</f>
        <v/>
      </c>
      <c r="AE74" s="637">
        <f>AE63/AE13</f>
        <v/>
      </c>
      <c r="AF74" s="637">
        <f>AF63/AF13</f>
        <v/>
      </c>
      <c r="AG74" s="600" t="n"/>
      <c r="AH74" s="637">
        <f>AH63/AH13</f>
        <v/>
      </c>
      <c r="AI74" s="638">
        <f>AI63/AI13</f>
        <v/>
      </c>
    </row>
    <row r="75" ht="12.75" customHeight="1" s="223">
      <c r="A75" s="600" t="n"/>
      <c r="B75" s="600" t="n"/>
      <c r="C75" s="600" t="n"/>
      <c r="D75" s="639" t="inlineStr">
        <is>
          <t>Adjusted EBITDA excl. IEEPA margin %</t>
        </is>
      </c>
      <c r="E75" s="640">
        <f>E68/E13</f>
        <v/>
      </c>
      <c r="F75" s="640">
        <f>F68/F13</f>
        <v/>
      </c>
      <c r="G75" s="640">
        <f>G68/G13</f>
        <v/>
      </c>
      <c r="H75" s="640">
        <f>H68/H13</f>
        <v/>
      </c>
      <c r="I75" s="640">
        <f>I68/I13</f>
        <v/>
      </c>
      <c r="J75" s="640">
        <f>J68/J13</f>
        <v/>
      </c>
      <c r="K75" s="640">
        <f>K68/K13</f>
        <v/>
      </c>
      <c r="L75" s="640">
        <f>L68/L13</f>
        <v/>
      </c>
      <c r="M75" s="640">
        <f>M68/M13</f>
        <v/>
      </c>
      <c r="N75" s="640">
        <f>N68/N13</f>
        <v/>
      </c>
      <c r="O75" s="640">
        <f>O68/O13</f>
        <v/>
      </c>
      <c r="P75" s="640">
        <f>P68/P13</f>
        <v/>
      </c>
      <c r="Q75" s="640">
        <f>Q68/Q13</f>
        <v/>
      </c>
      <c r="R75" s="640">
        <f>R68/R13</f>
        <v/>
      </c>
      <c r="S75" s="640">
        <f>S68/S13</f>
        <v/>
      </c>
      <c r="T75" s="640">
        <f>T68/T13</f>
        <v/>
      </c>
      <c r="U75" s="640">
        <f>U68/U13</f>
        <v/>
      </c>
      <c r="V75" s="640">
        <f>V68/V13</f>
        <v/>
      </c>
      <c r="W75" s="640">
        <f>W68/W13</f>
        <v/>
      </c>
      <c r="X75" s="640">
        <f>X68/X13</f>
        <v/>
      </c>
      <c r="Y75" s="640">
        <f>Y68/Y13</f>
        <v/>
      </c>
      <c r="Z75" s="640">
        <f>Z68/Z13</f>
        <v/>
      </c>
      <c r="AA75" s="641" t="n"/>
      <c r="AB75" s="640">
        <f>AB68/AB13</f>
        <v/>
      </c>
      <c r="AC75" s="640">
        <f>AC68/AC13</f>
        <v/>
      </c>
      <c r="AD75" s="640">
        <f>AD68/AD13</f>
        <v/>
      </c>
      <c r="AE75" s="640">
        <f>AE68/AE13</f>
        <v/>
      </c>
      <c r="AF75" s="640">
        <f>AF68/AF13</f>
        <v/>
      </c>
      <c r="AG75" s="641" t="n"/>
      <c r="AH75" s="640">
        <f>AH68/AH13</f>
        <v/>
      </c>
      <c r="AI75" s="642">
        <f>AI68/AI13</f>
        <v/>
      </c>
    </row>
    <row r="76" ht="12.75" customHeight="1" s="223">
      <c r="A76" s="600" t="n"/>
      <c r="B76" s="600" t="n"/>
      <c r="C76" s="600" t="n"/>
      <c r="D76" s="600" t="n"/>
      <c r="E76" s="600" t="n"/>
      <c r="F76" s="600" t="n"/>
      <c r="G76" s="600" t="n"/>
      <c r="H76" s="600" t="n"/>
      <c r="I76" s="600" t="n"/>
      <c r="J76" s="600" t="n"/>
      <c r="K76" s="600" t="n"/>
      <c r="L76" s="600" t="n"/>
      <c r="M76" s="600" t="n"/>
      <c r="N76" s="600" t="n"/>
      <c r="O76" s="600" t="n"/>
      <c r="P76" s="600" t="n"/>
      <c r="Q76" s="600" t="n"/>
      <c r="R76" s="600" t="n"/>
      <c r="S76" s="600" t="n"/>
      <c r="T76" s="600" t="n"/>
      <c r="U76" s="600" t="n"/>
      <c r="V76" s="600" t="n"/>
      <c r="W76" s="600" t="n"/>
      <c r="X76" s="600" t="n"/>
      <c r="Y76" s="600" t="n"/>
      <c r="Z76" s="600" t="n"/>
      <c r="AA76" s="600" t="n"/>
      <c r="AB76" s="600" t="n"/>
      <c r="AC76" s="600" t="n"/>
      <c r="AD76" s="600" t="n"/>
      <c r="AE76" s="600" t="n"/>
      <c r="AF76" s="600" t="n"/>
      <c r="AG76" s="600" t="n"/>
      <c r="AH76" s="600" t="n"/>
      <c r="AI76" s="600" t="n"/>
    </row>
    <row r="77" ht="12.75" customHeight="1" s="223">
      <c r="A77" s="600" t="n"/>
      <c r="B77" s="600" t="n"/>
      <c r="C77" s="600" t="n"/>
      <c r="D77" s="626" t="inlineStr">
        <is>
          <t>Notes:</t>
        </is>
      </c>
      <c r="E77" s="600" t="n"/>
      <c r="F77" s="600" t="n"/>
      <c r="G77" s="600" t="n"/>
      <c r="H77" s="600" t="n"/>
      <c r="I77" s="600" t="n"/>
      <c r="J77" s="600" t="n"/>
      <c r="K77" s="600" t="n"/>
      <c r="L77" s="600" t="n"/>
      <c r="M77" s="600" t="n"/>
      <c r="N77" s="600" t="n"/>
      <c r="O77" s="600" t="n"/>
      <c r="P77" s="600" t="n"/>
      <c r="Q77" s="600" t="n"/>
      <c r="R77" s="600" t="n"/>
      <c r="S77" s="600" t="n"/>
      <c r="T77" s="600" t="n"/>
      <c r="U77" s="600" t="n"/>
      <c r="V77" s="600" t="n"/>
      <c r="W77" s="600" t="n"/>
      <c r="X77" s="600" t="n"/>
      <c r="Y77" s="600" t="n"/>
      <c r="Z77" s="600" t="n"/>
      <c r="AA77" s="600" t="n"/>
      <c r="AB77" s="600" t="n"/>
      <c r="AC77" s="600" t="n"/>
      <c r="AD77" s="600" t="n"/>
      <c r="AE77" s="600" t="n"/>
      <c r="AF77" s="600" t="n"/>
      <c r="AG77" s="600" t="n"/>
      <c r="AH77" s="600" t="n"/>
      <c r="AI77" s="600" t="n"/>
    </row>
    <row r="78" ht="12.75" customHeight="1" s="223">
      <c r="A78" s="600" t="n"/>
      <c r="B78" s="600" t="n"/>
      <c r="C78" s="600" t="n"/>
      <c r="D78" s="600" t="inlineStr">
        <is>
          <t>(1) All periods are shown in Xerox's current presentation: Financing revenue and cost of financing are included in Services, maintenance, rentals and other (2025 reclassification); non-financing interest is shown separately from Other expenses, net (2026 reclassification); equity in net income of unconsolidated affiliates is included in Other expenses, net.</t>
        </is>
      </c>
      <c r="E78" s="600" t="n"/>
      <c r="F78" s="600" t="n"/>
      <c r="G78" s="600" t="n"/>
      <c r="H78" s="600" t="n"/>
      <c r="I78" s="600" t="n"/>
      <c r="J78" s="600" t="n"/>
      <c r="K78" s="600" t="n"/>
      <c r="L78" s="600" t="n"/>
      <c r="M78" s="600" t="n"/>
      <c r="N78" s="600" t="n"/>
      <c r="O78" s="600" t="n"/>
      <c r="P78" s="600" t="n"/>
      <c r="Q78" s="600" t="n"/>
      <c r="R78" s="600" t="n"/>
      <c r="S78" s="600" t="n"/>
      <c r="T78" s="600" t="n"/>
      <c r="U78" s="600" t="n"/>
      <c r="V78" s="600" t="n"/>
      <c r="W78" s="600" t="n"/>
      <c r="X78" s="600" t="n"/>
      <c r="Y78" s="600" t="n"/>
      <c r="Z78" s="600" t="n"/>
      <c r="AA78" s="600" t="n"/>
      <c r="AB78" s="600" t="n"/>
      <c r="AC78" s="600" t="n"/>
      <c r="AD78" s="600" t="n"/>
      <c r="AE78" s="600" t="n"/>
      <c r="AF78" s="600" t="n"/>
      <c r="AG78" s="600" t="n"/>
      <c r="AH78" s="600" t="n"/>
      <c r="AI78" s="600" t="n"/>
    </row>
    <row r="79" ht="12.75" customHeight="1" s="223">
      <c r="A79" s="600" t="n"/>
      <c r="B79" s="600" t="n"/>
      <c r="C79" s="600" t="n"/>
      <c r="D79" s="600" t="inlineStr">
        <is>
          <t>(2) Lexmark was acquired July 1, 2025 and is included from 3Q'25 onward. Figures are as reported, not pro forma.</t>
        </is>
      </c>
      <c r="E79" s="600" t="n"/>
      <c r="F79" s="600" t="n"/>
      <c r="G79" s="600" t="n"/>
      <c r="H79" s="600" t="n"/>
      <c r="I79" s="600" t="n"/>
      <c r="J79" s="600" t="n"/>
      <c r="K79" s="600" t="n"/>
      <c r="L79" s="600" t="n"/>
      <c r="M79" s="600" t="n"/>
      <c r="N79" s="600" t="n"/>
      <c r="O79" s="600" t="n"/>
      <c r="P79" s="600" t="n"/>
      <c r="Q79" s="600" t="n"/>
      <c r="R79" s="600" t="n"/>
      <c r="S79" s="600" t="n"/>
      <c r="T79" s="600" t="n"/>
      <c r="U79" s="600" t="n"/>
      <c r="V79" s="600" t="n"/>
      <c r="W79" s="600" t="n"/>
      <c r="X79" s="600" t="n"/>
      <c r="Y79" s="600" t="n"/>
      <c r="Z79" s="600" t="n"/>
      <c r="AA79" s="600" t="n"/>
      <c r="AB79" s="600" t="n"/>
      <c r="AC79" s="600" t="n"/>
      <c r="AD79" s="600" t="n"/>
      <c r="AE79" s="600" t="n"/>
      <c r="AF79" s="600" t="n"/>
      <c r="AG79" s="600" t="n"/>
      <c r="AH79" s="600" t="n"/>
      <c r="AI79" s="600" t="n"/>
    </row>
    <row r="80" ht="12.75" customHeight="1" s="223">
      <c r="A80" s="600" t="n"/>
      <c r="B80" s="600" t="n"/>
      <c r="C80" s="600" t="n"/>
      <c r="D80" s="600" t="inlineStr">
        <is>
          <t>(3) Xerox first reported Adjusted EBITDA for FY2023. Adjusted EBITDA for 2021, 2022 and the 2023 quarters is rebuilt on the company's current definition from filed figures; the FY2023 rebuild ties to the reported $651M.</t>
        </is>
      </c>
      <c r="E80" s="600" t="n"/>
      <c r="F80" s="600" t="n"/>
      <c r="G80" s="600" t="n"/>
      <c r="H80" s="600" t="n"/>
      <c r="I80" s="600" t="n"/>
      <c r="J80" s="600" t="n"/>
      <c r="K80" s="600" t="n"/>
      <c r="L80" s="600" t="n"/>
      <c r="M80" s="600" t="n"/>
      <c r="N80" s="600" t="n"/>
      <c r="O80" s="600" t="n"/>
      <c r="P80" s="600" t="n"/>
      <c r="Q80" s="600" t="n"/>
      <c r="R80" s="600" t="n"/>
      <c r="S80" s="600" t="n"/>
      <c r="T80" s="600" t="n"/>
      <c r="U80" s="600" t="n"/>
      <c r="V80" s="600" t="n"/>
      <c r="W80" s="600" t="n"/>
      <c r="X80" s="600" t="n"/>
      <c r="Y80" s="600" t="n"/>
      <c r="Z80" s="600" t="n"/>
      <c r="AA80" s="600" t="n"/>
      <c r="AB80" s="600" t="n"/>
      <c r="AC80" s="600" t="n"/>
      <c r="AD80" s="600" t="n"/>
      <c r="AE80" s="600" t="n"/>
      <c r="AF80" s="600" t="n"/>
      <c r="AG80" s="600" t="n"/>
      <c r="AH80" s="600" t="n"/>
      <c r="AI80" s="600" t="n"/>
    </row>
    <row r="81" ht="12.75" customHeight="1" s="223">
      <c r="A81" s="600" t="n"/>
      <c r="B81" s="600" t="n"/>
      <c r="C81" s="600" t="n"/>
      <c r="D81" s="600" t="inlineStr">
        <is>
          <t>(4) 2Q'26 includes a $105M pre-tax benefit in cost of sales from recognition of IEEPA tariff receivables, backed out in the row below Adjusted EBITDA.</t>
        </is>
      </c>
      <c r="E81" s="600" t="n"/>
      <c r="F81" s="600" t="n"/>
      <c r="G81" s="600" t="n"/>
      <c r="H81" s="600" t="n"/>
      <c r="I81" s="600" t="n"/>
      <c r="J81" s="600" t="n"/>
      <c r="K81" s="600" t="n"/>
      <c r="L81" s="600" t="n"/>
      <c r="M81" s="600" t="n"/>
      <c r="N81" s="600" t="n"/>
      <c r="O81" s="600" t="n"/>
      <c r="P81" s="600" t="n"/>
      <c r="Q81" s="600" t="n"/>
      <c r="R81" s="600" t="n"/>
      <c r="S81" s="600" t="n"/>
      <c r="T81" s="600" t="n"/>
      <c r="U81" s="600" t="n"/>
      <c r="V81" s="600" t="n"/>
      <c r="W81" s="600" t="n"/>
      <c r="X81" s="600" t="n"/>
      <c r="Y81" s="600" t="n"/>
      <c r="Z81" s="600" t="n"/>
      <c r="AA81" s="600" t="n"/>
      <c r="AB81" s="600" t="n"/>
      <c r="AC81" s="600" t="n"/>
      <c r="AD81" s="600" t="n"/>
      <c r="AE81" s="600" t="n"/>
      <c r="AF81" s="600" t="n"/>
      <c r="AG81" s="600" t="n"/>
      <c r="AH81" s="600" t="n"/>
      <c r="AI81" s="600" t="n"/>
    </row>
    <row r="82" ht="12.75" customHeight="1" s="223">
      <c r="A82" s="600" t="n"/>
      <c r="B82" s="600" t="n"/>
      <c r="C82" s="600" t="n"/>
      <c r="D82" s="600" t="inlineStr">
        <is>
          <t>(5) Q4 figures are derived as full year less 1Q-3Q, except EPS and the reported tie-out rows. 2Q/3Q D&amp;A and stock-based compensation from 2022 onward are derived from year-to-date cash flow statements.</t>
        </is>
      </c>
      <c r="E82" s="600" t="n"/>
      <c r="F82" s="600" t="n"/>
      <c r="G82" s="600" t="n"/>
      <c r="H82" s="600" t="n"/>
      <c r="I82" s="600" t="n"/>
      <c r="J82" s="600" t="n"/>
      <c r="K82" s="600" t="n"/>
      <c r="L82" s="600" t="n"/>
      <c r="M82" s="600" t="n"/>
      <c r="N82" s="600" t="n"/>
      <c r="O82" s="600" t="n"/>
      <c r="P82" s="600" t="n"/>
      <c r="Q82" s="600" t="n"/>
      <c r="R82" s="600" t="n"/>
      <c r="S82" s="600" t="n"/>
      <c r="T82" s="600" t="n"/>
      <c r="U82" s="600" t="n"/>
      <c r="V82" s="600" t="n"/>
      <c r="W82" s="600" t="n"/>
      <c r="X82" s="600" t="n"/>
      <c r="Y82" s="600" t="n"/>
      <c r="Z82" s="600" t="n"/>
      <c r="AA82" s="600" t="n"/>
      <c r="AB82" s="600" t="n"/>
      <c r="AC82" s="600" t="n"/>
      <c r="AD82" s="600" t="n"/>
      <c r="AE82" s="600" t="n"/>
      <c r="AF82" s="600" t="n"/>
      <c r="AG82" s="600" t="n"/>
      <c r="AH82" s="600" t="n"/>
      <c r="AI82" s="600" t="n"/>
    </row>
    <row r="83" ht="12.75" customHeight="1" s="223">
      <c r="A83" s="600" t="n"/>
      <c r="B83" s="600" t="n"/>
      <c r="C83" s="600" t="n"/>
      <c r="D83" s="600" t="n"/>
      <c r="E83" s="600" t="n"/>
      <c r="F83" s="600" t="n"/>
      <c r="G83" s="600" t="n"/>
      <c r="H83" s="600" t="n"/>
      <c r="I83" s="600" t="n"/>
      <c r="J83" s="600" t="n"/>
      <c r="K83" s="600" t="n"/>
      <c r="L83" s="600" t="n"/>
      <c r="M83" s="600" t="n"/>
      <c r="N83" s="600" t="n"/>
      <c r="O83" s="600" t="n"/>
      <c r="P83" s="600" t="n"/>
      <c r="Q83" s="600" t="n"/>
      <c r="R83" s="600" t="n"/>
      <c r="S83" s="600" t="n"/>
      <c r="T83" s="600" t="n"/>
      <c r="U83" s="600" t="n"/>
      <c r="V83" s="600" t="n"/>
      <c r="W83" s="600" t="n"/>
      <c r="X83" s="600" t="n"/>
      <c r="Y83" s="600" t="n"/>
      <c r="Z83" s="600" t="n"/>
      <c r="AA83" s="600" t="n"/>
      <c r="AB83" s="600" t="n"/>
      <c r="AC83" s="600" t="n"/>
      <c r="AD83" s="600" t="n"/>
      <c r="AE83" s="600" t="n"/>
      <c r="AF83" s="600" t="n"/>
      <c r="AG83" s="600" t="n"/>
      <c r="AH83" s="600" t="n"/>
      <c r="AI83" s="600" t="n"/>
    </row>
  </sheetData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K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7" customWidth="1" style="222" min="1" max="3"/>
    <col width="54" customWidth="1" style="222" min="4" max="4"/>
    <col width="13.2" customWidth="1" style="222" min="5" max="11"/>
    <col width="10.5" customWidth="1" style="223" min="6" max="6"/>
    <col width="10.5" customWidth="1" style="223" min="7" max="7"/>
    <col width="10.5" customWidth="1" style="223" min="8" max="8"/>
    <col width="10.5" customWidth="1" style="223" min="9" max="9"/>
    <col width="10.5" customWidth="1" style="223" min="10" max="10"/>
    <col width="10.5" customWidth="1" style="223" min="11" max="11"/>
  </cols>
  <sheetData>
    <row r="1" ht="12.75" customHeight="1" s="223">
      <c r="A1" s="598">
        <f>D3</f>
        <v/>
      </c>
      <c r="B1" s="599">
        <f>'Cover Page'!A1</f>
        <v/>
      </c>
      <c r="C1" s="600" t="n"/>
      <c r="D1" s="600" t="n"/>
      <c r="E1" s="600" t="n"/>
      <c r="F1" s="600" t="n"/>
      <c r="G1" s="600" t="n"/>
      <c r="H1" s="600" t="n"/>
      <c r="I1" s="600" t="n"/>
      <c r="J1" s="600" t="n"/>
      <c r="K1" s="600" t="n"/>
    </row>
    <row r="2" ht="12.75" customHeight="1" s="223">
      <c r="A2" s="600" t="n"/>
      <c r="B2" s="600" t="n"/>
      <c r="C2" s="600" t="n"/>
      <c r="D2" s="600" t="n"/>
      <c r="E2" s="600" t="n"/>
      <c r="F2" s="600" t="n"/>
      <c r="G2" s="600" t="n"/>
      <c r="H2" s="600" t="n"/>
      <c r="I2" s="600" t="n"/>
      <c r="J2" s="600" t="n"/>
      <c r="K2" s="600" t="n"/>
    </row>
    <row r="3" ht="14.25" customHeight="1" s="223">
      <c r="A3" s="600" t="n"/>
      <c r="B3" s="600" t="n"/>
      <c r="C3" s="600" t="n"/>
      <c r="D3" s="601" t="inlineStr">
        <is>
          <t>Income Statement Summary &amp; Adjusted EBITDA</t>
        </is>
      </c>
      <c r="E3" s="602" t="n"/>
      <c r="F3" s="602" t="n"/>
      <c r="G3" s="602" t="n"/>
      <c r="H3" s="602" t="n"/>
      <c r="I3" s="602" t="n"/>
      <c r="J3" s="602" t="n"/>
      <c r="K3" s="603" t="n"/>
    </row>
    <row r="4" ht="12.75" customHeight="1" s="223">
      <c r="A4" s="600" t="n"/>
      <c r="B4" s="600" t="n"/>
      <c r="C4" s="600" t="n"/>
      <c r="D4" s="604" t="inlineStr">
        <is>
          <t>Xerox Holdings Corporation – All values in $ millions (USD), except per-share values. Data as of June 30, 2026 (2Q'26).</t>
        </is>
      </c>
      <c r="E4" s="605" t="n"/>
      <c r="F4" s="605" t="n"/>
      <c r="G4" s="605" t="n"/>
      <c r="H4" s="605" t="n"/>
      <c r="I4" s="605" t="n"/>
      <c r="J4" s="605" t="n"/>
      <c r="K4" s="606" t="n"/>
    </row>
    <row r="5" ht="12.75" customHeight="1" s="223">
      <c r="A5" s="600" t="n"/>
      <c r="B5" s="600" t="n"/>
      <c r="C5" s="600" t="n"/>
      <c r="D5" s="604" t="n"/>
      <c r="E5" s="600" t="n"/>
      <c r="F5" s="600" t="n"/>
      <c r="G5" s="600" t="n"/>
      <c r="H5" s="600" t="n"/>
      <c r="I5" s="600" t="n"/>
      <c r="J5" s="600" t="n"/>
      <c r="K5" s="600" t="n"/>
    </row>
    <row r="6" ht="12.75" customHeight="1" s="223">
      <c r="A6" s="600" t="n"/>
      <c r="B6" s="600" t="n"/>
      <c r="C6" s="600" t="n"/>
      <c r="D6" s="604" t="n"/>
      <c r="E6" s="600" t="n"/>
      <c r="F6" s="600" t="n"/>
      <c r="G6" s="600" t="n"/>
      <c r="H6" s="600" t="n"/>
      <c r="I6" s="600" t="n"/>
      <c r="J6" s="600" t="n"/>
      <c r="K6" s="600" t="n"/>
    </row>
    <row r="7" ht="12.75" customHeight="1" s="223">
      <c r="A7" s="600" t="n"/>
      <c r="B7" s="600" t="n"/>
      <c r="C7" s="600" t="n"/>
      <c r="D7" s="600" t="n"/>
      <c r="E7" s="600" t="n"/>
      <c r="F7" s="600" t="n"/>
      <c r="G7" s="600" t="n"/>
      <c r="H7" s="600" t="n"/>
      <c r="I7" s="600" t="n"/>
      <c r="J7" s="600" t="n"/>
      <c r="K7" s="600" t="n"/>
    </row>
    <row r="8" ht="15" customHeight="1" s="223">
      <c r="A8" s="600" t="inlineStr">
        <is>
          <t>x</t>
        </is>
      </c>
      <c r="B8" s="600" t="n"/>
      <c r="C8" s="600" t="n"/>
      <c r="D8" s="607" t="inlineStr">
        <is>
          <t>Income Statement Summary</t>
        </is>
      </c>
      <c r="E8" s="643" t="inlineStr">
        <is>
          <t>Year Ended December 31,</t>
        </is>
      </c>
      <c r="F8" s="644" t="n"/>
      <c r="G8" s="644" t="n"/>
      <c r="H8" s="644" t="n"/>
      <c r="I8" s="644" t="n"/>
      <c r="J8" s="643" t="inlineStr">
        <is>
          <t>LTM</t>
        </is>
      </c>
      <c r="K8" s="644" t="n"/>
    </row>
    <row r="9" ht="15" customHeight="1" s="223">
      <c r="A9" s="600" t="n"/>
      <c r="B9" s="600" t="n"/>
      <c r="C9" s="600" t="n"/>
      <c r="D9" s="601" t="n"/>
      <c r="E9" s="613" t="inlineStr">
        <is>
          <t>2021</t>
        </is>
      </c>
      <c r="F9" s="613" t="inlineStr">
        <is>
          <t>2022</t>
        </is>
      </c>
      <c r="G9" s="613" t="inlineStr">
        <is>
          <t>2023</t>
        </is>
      </c>
      <c r="H9" s="613" t="inlineStr">
        <is>
          <t>2024</t>
        </is>
      </c>
      <c r="I9" s="613" t="inlineStr">
        <is>
          <t>2025</t>
        </is>
      </c>
      <c r="J9" s="613" t="inlineStr">
        <is>
          <t>LTM 2Q'25</t>
        </is>
      </c>
      <c r="K9" s="613" t="inlineStr">
        <is>
          <t>LTM 2Q'26</t>
        </is>
      </c>
    </row>
    <row r="10" ht="3" customHeight="1" s="223">
      <c r="A10" s="600" t="n"/>
      <c r="B10" s="600" t="n"/>
      <c r="C10" s="600" t="n"/>
      <c r="D10" s="600" t="n"/>
      <c r="E10" s="600" t="n"/>
      <c r="F10" s="600" t="n"/>
      <c r="G10" s="600" t="n"/>
      <c r="H10" s="600" t="n"/>
      <c r="I10" s="600" t="n"/>
      <c r="J10" s="645" t="n"/>
      <c r="K10" s="646" t="n"/>
    </row>
    <row r="11" ht="12.75" customHeight="1" s="223">
      <c r="A11" s="600" t="n"/>
      <c r="B11" s="600" t="n"/>
      <c r="C11" s="600" t="n"/>
      <c r="D11" s="647" t="inlineStr">
        <is>
          <t>Sales</t>
        </is>
      </c>
      <c r="E11" s="648">
        <f>IS!AB11</f>
        <v/>
      </c>
      <c r="F11" s="648">
        <f>IS!AC11</f>
        <v/>
      </c>
      <c r="G11" s="648">
        <f>IS!AD11</f>
        <v/>
      </c>
      <c r="H11" s="648">
        <f>IS!AE11</f>
        <v/>
      </c>
      <c r="I11" s="648">
        <f>IS!AF11</f>
        <v/>
      </c>
      <c r="J11" s="649">
        <f>IS!AH11</f>
        <v/>
      </c>
      <c r="K11" s="650">
        <f>IS!AI11</f>
        <v/>
      </c>
    </row>
    <row r="12" ht="12.75" customHeight="1" s="223">
      <c r="A12" s="600" t="n"/>
      <c r="B12" s="600" t="n"/>
      <c r="C12" s="600" t="n"/>
      <c r="D12" s="647" t="inlineStr">
        <is>
          <t>Services, maintenance, rentals and other</t>
        </is>
      </c>
      <c r="E12" s="630">
        <f>IS!AB12</f>
        <v/>
      </c>
      <c r="F12" s="630">
        <f>IS!AC12</f>
        <v/>
      </c>
      <c r="G12" s="630">
        <f>IS!AD12</f>
        <v/>
      </c>
      <c r="H12" s="630">
        <f>IS!AE12</f>
        <v/>
      </c>
      <c r="I12" s="630">
        <f>IS!AF12</f>
        <v/>
      </c>
      <c r="J12" s="651">
        <f>IS!AH12</f>
        <v/>
      </c>
      <c r="K12" s="652">
        <f>IS!AI12</f>
        <v/>
      </c>
    </row>
    <row r="13" ht="12.75" customHeight="1" s="223">
      <c r="A13" s="600" t="n"/>
      <c r="B13" s="600" t="n"/>
      <c r="C13" s="600" t="n"/>
      <c r="D13" s="653" t="inlineStr">
        <is>
          <t>Total revenues</t>
        </is>
      </c>
      <c r="E13" s="619">
        <f>E11+E12</f>
        <v/>
      </c>
      <c r="F13" s="619">
        <f>F11+F12</f>
        <v/>
      </c>
      <c r="G13" s="619">
        <f>G11+G12</f>
        <v/>
      </c>
      <c r="H13" s="619">
        <f>H11+H12</f>
        <v/>
      </c>
      <c r="I13" s="620">
        <f>I11+I12</f>
        <v/>
      </c>
      <c r="J13" s="621">
        <f>J11+J12</f>
        <v/>
      </c>
      <c r="K13" s="620">
        <f>K11+K12</f>
        <v/>
      </c>
    </row>
    <row r="14" ht="12.75" customHeight="1" s="223">
      <c r="A14" s="600" t="n"/>
      <c r="B14" s="600" t="n"/>
      <c r="C14" s="600" t="n"/>
      <c r="D14" s="647" t="inlineStr">
        <is>
          <t>Cost of revenues</t>
        </is>
      </c>
      <c r="E14" s="630">
        <f>-IS!AB19</f>
        <v/>
      </c>
      <c r="F14" s="630">
        <f>-IS!AC19</f>
        <v/>
      </c>
      <c r="G14" s="630">
        <f>-IS!AD19</f>
        <v/>
      </c>
      <c r="H14" s="630">
        <f>-IS!AE19</f>
        <v/>
      </c>
      <c r="I14" s="630">
        <f>-IS!AF19</f>
        <v/>
      </c>
      <c r="J14" s="651">
        <f>-IS!AH19</f>
        <v/>
      </c>
      <c r="K14" s="652">
        <f>-IS!AI19</f>
        <v/>
      </c>
    </row>
    <row r="15" ht="12.75" customHeight="1" s="223">
      <c r="A15" s="600" t="n"/>
      <c r="B15" s="600" t="n"/>
      <c r="C15" s="600" t="n"/>
      <c r="D15" s="653" t="inlineStr">
        <is>
          <t>Gross profit</t>
        </is>
      </c>
      <c r="E15" s="619">
        <f>E13+E14</f>
        <v/>
      </c>
      <c r="F15" s="619">
        <f>F13+F14</f>
        <v/>
      </c>
      <c r="G15" s="619">
        <f>G13+G14</f>
        <v/>
      </c>
      <c r="H15" s="619">
        <f>H13+H14</f>
        <v/>
      </c>
      <c r="I15" s="620">
        <f>I13+I14</f>
        <v/>
      </c>
      <c r="J15" s="621">
        <f>J13+J14</f>
        <v/>
      </c>
      <c r="K15" s="620">
        <f>K13+K14</f>
        <v/>
      </c>
    </row>
    <row r="16" ht="12.75" customHeight="1" s="223">
      <c r="A16" s="600" t="n"/>
      <c r="B16" s="600" t="n"/>
      <c r="C16" s="600" t="n"/>
      <c r="D16" s="647" t="inlineStr">
        <is>
          <t>Research, development and engineering</t>
        </is>
      </c>
      <c r="E16" s="630">
        <f>-IS!AB22</f>
        <v/>
      </c>
      <c r="F16" s="630">
        <f>-IS!AC22</f>
        <v/>
      </c>
      <c r="G16" s="630">
        <f>-IS!AD22</f>
        <v/>
      </c>
      <c r="H16" s="630">
        <f>-IS!AE22</f>
        <v/>
      </c>
      <c r="I16" s="630">
        <f>-IS!AF22</f>
        <v/>
      </c>
      <c r="J16" s="651">
        <f>-IS!AH22</f>
        <v/>
      </c>
      <c r="K16" s="652">
        <f>-IS!AI22</f>
        <v/>
      </c>
    </row>
    <row r="17" ht="12.75" customHeight="1" s="223">
      <c r="A17" s="600" t="n"/>
      <c r="B17" s="600" t="n"/>
      <c r="C17" s="600" t="n"/>
      <c r="D17" s="647" t="inlineStr">
        <is>
          <t>Selling, administrative and general</t>
        </is>
      </c>
      <c r="E17" s="630">
        <f>-IS!AB23</f>
        <v/>
      </c>
      <c r="F17" s="630">
        <f>-IS!AC23</f>
        <v/>
      </c>
      <c r="G17" s="630">
        <f>-IS!AD23</f>
        <v/>
      </c>
      <c r="H17" s="630">
        <f>-IS!AE23</f>
        <v/>
      </c>
      <c r="I17" s="630">
        <f>-IS!AF23</f>
        <v/>
      </c>
      <c r="J17" s="651">
        <f>-IS!AH23</f>
        <v/>
      </c>
      <c r="K17" s="652">
        <f>-IS!AI23</f>
        <v/>
      </c>
    </row>
    <row r="18" ht="12.75" customHeight="1" s="223">
      <c r="A18" s="600" t="n"/>
      <c r="B18" s="600" t="n"/>
      <c r="C18" s="600" t="n"/>
      <c r="D18" s="647" t="inlineStr">
        <is>
          <t>Restructuring and related costs, net</t>
        </is>
      </c>
      <c r="E18" s="630">
        <f>-IS!AB25</f>
        <v/>
      </c>
      <c r="F18" s="630">
        <f>-IS!AC25</f>
        <v/>
      </c>
      <c r="G18" s="630">
        <f>-IS!AD25</f>
        <v/>
      </c>
      <c r="H18" s="630">
        <f>-IS!AE25</f>
        <v/>
      </c>
      <c r="I18" s="630">
        <f>-IS!AF25</f>
        <v/>
      </c>
      <c r="J18" s="651">
        <f>-IS!AH25</f>
        <v/>
      </c>
      <c r="K18" s="652">
        <f>-IS!AI25</f>
        <v/>
      </c>
    </row>
    <row r="19" ht="12.75" customHeight="1" s="223">
      <c r="A19" s="600" t="n"/>
      <c r="B19" s="600" t="n"/>
      <c r="C19" s="600" t="n"/>
      <c r="D19" s="647" t="inlineStr">
        <is>
          <t>Amortization of intangible assets</t>
        </is>
      </c>
      <c r="E19" s="630">
        <f>-IS!AB26</f>
        <v/>
      </c>
      <c r="F19" s="630">
        <f>-IS!AC26</f>
        <v/>
      </c>
      <c r="G19" s="630">
        <f>-IS!AD26</f>
        <v/>
      </c>
      <c r="H19" s="630">
        <f>-IS!AE26</f>
        <v/>
      </c>
      <c r="I19" s="630">
        <f>-IS!AF26</f>
        <v/>
      </c>
      <c r="J19" s="651">
        <f>-IS!AH26</f>
        <v/>
      </c>
      <c r="K19" s="652">
        <f>-IS!AI26</f>
        <v/>
      </c>
    </row>
    <row r="20" ht="12.75" customHeight="1" s="223">
      <c r="A20" s="600" t="n"/>
      <c r="B20" s="600" t="n"/>
      <c r="C20" s="600" t="n"/>
      <c r="D20" s="647" t="inlineStr">
        <is>
          <t>Divestitures</t>
        </is>
      </c>
      <c r="E20" s="630">
        <f>-IS!AB27</f>
        <v/>
      </c>
      <c r="F20" s="630">
        <f>-IS!AC27</f>
        <v/>
      </c>
      <c r="G20" s="630">
        <f>-IS!AD27</f>
        <v/>
      </c>
      <c r="H20" s="630">
        <f>-IS!AE27</f>
        <v/>
      </c>
      <c r="I20" s="630">
        <f>-IS!AF27</f>
        <v/>
      </c>
      <c r="J20" s="651">
        <f>-IS!AH27</f>
        <v/>
      </c>
      <c r="K20" s="652">
        <f>-IS!AI27</f>
        <v/>
      </c>
    </row>
    <row r="21" ht="12.75" customHeight="1" s="223">
      <c r="A21" s="600" t="n"/>
      <c r="B21" s="600" t="n"/>
      <c r="C21" s="600" t="n"/>
      <c r="D21" s="647" t="inlineStr">
        <is>
          <t>PARC donation</t>
        </is>
      </c>
      <c r="E21" s="630">
        <f>-IS!AB28</f>
        <v/>
      </c>
      <c r="F21" s="630">
        <f>-IS!AC28</f>
        <v/>
      </c>
      <c r="G21" s="630">
        <f>-IS!AD28</f>
        <v/>
      </c>
      <c r="H21" s="630">
        <f>-IS!AE28</f>
        <v/>
      </c>
      <c r="I21" s="630">
        <f>-IS!AF28</f>
        <v/>
      </c>
      <c r="J21" s="651">
        <f>-IS!AH28</f>
        <v/>
      </c>
      <c r="K21" s="652">
        <f>-IS!AI28</f>
        <v/>
      </c>
    </row>
    <row r="22" ht="12.75" customHeight="1" s="223">
      <c r="A22" s="600" t="n"/>
      <c r="B22" s="600" t="n"/>
      <c r="C22" s="600" t="n"/>
      <c r="D22" s="647" t="inlineStr">
        <is>
          <t>Depreciation and amortization (add-back)</t>
        </is>
      </c>
      <c r="E22" s="630">
        <f>IS!AB50</f>
        <v/>
      </c>
      <c r="F22" s="630">
        <f>IS!AC50</f>
        <v/>
      </c>
      <c r="G22" s="630">
        <f>IS!AD50</f>
        <v/>
      </c>
      <c r="H22" s="630">
        <f>IS!AE50</f>
        <v/>
      </c>
      <c r="I22" s="630">
        <f>IS!AF50</f>
        <v/>
      </c>
      <c r="J22" s="651">
        <f>IS!AH50</f>
        <v/>
      </c>
      <c r="K22" s="652">
        <f>IS!AI50</f>
        <v/>
      </c>
    </row>
    <row r="23" ht="12.75" customHeight="1" s="223">
      <c r="A23" s="600" t="n"/>
      <c r="B23" s="600" t="n"/>
      <c r="C23" s="600" t="n"/>
      <c r="D23" s="653" t="inlineStr">
        <is>
          <t>EBITDA</t>
        </is>
      </c>
      <c r="E23" s="619">
        <f>E15+SUM(E16:E22)</f>
        <v/>
      </c>
      <c r="F23" s="619">
        <f>F15+SUM(F16:F22)</f>
        <v/>
      </c>
      <c r="G23" s="619">
        <f>G15+SUM(G16:G22)</f>
        <v/>
      </c>
      <c r="H23" s="619">
        <f>H15+SUM(H16:H22)</f>
        <v/>
      </c>
      <c r="I23" s="620">
        <f>I15+SUM(I16:I22)</f>
        <v/>
      </c>
      <c r="J23" s="621">
        <f>J15+SUM(J16:J22)</f>
        <v/>
      </c>
      <c r="K23" s="620">
        <f>K15+SUM(K16:K22)</f>
        <v/>
      </c>
    </row>
    <row r="24" ht="12.75" customHeight="1" s="223">
      <c r="A24" s="600" t="n"/>
      <c r="B24" s="600" t="n"/>
      <c r="C24" s="600" t="n"/>
      <c r="D24" s="600" t="n"/>
      <c r="E24" s="600" t="n"/>
      <c r="F24" s="600" t="n"/>
      <c r="G24" s="600" t="n"/>
      <c r="H24" s="600" t="n"/>
      <c r="I24" s="600" t="n"/>
      <c r="J24" s="645" t="n"/>
      <c r="K24" s="646" t="n"/>
    </row>
    <row r="25" ht="12.75" customHeight="1" s="223">
      <c r="A25" s="600" t="n"/>
      <c r="B25" s="600" t="n"/>
      <c r="C25" s="600" t="n"/>
      <c r="D25" s="647" t="inlineStr">
        <is>
          <t>Stock-based compensation</t>
        </is>
      </c>
      <c r="E25" s="648">
        <f>IS!AB54</f>
        <v/>
      </c>
      <c r="F25" s="648">
        <f>IS!AC54</f>
        <v/>
      </c>
      <c r="G25" s="648">
        <f>IS!AD54</f>
        <v/>
      </c>
      <c r="H25" s="648">
        <f>IS!AE54</f>
        <v/>
      </c>
      <c r="I25" s="648">
        <f>IS!AF54</f>
        <v/>
      </c>
      <c r="J25" s="649">
        <f>IS!AH54</f>
        <v/>
      </c>
      <c r="K25" s="650">
        <f>IS!AI54</f>
        <v/>
      </c>
    </row>
    <row r="26" ht="12.75" customHeight="1" s="223">
      <c r="A26" s="600" t="n"/>
      <c r="B26" s="600" t="n"/>
      <c r="C26" s="600" t="n"/>
      <c r="D26" s="647" t="inlineStr">
        <is>
          <t>Restructuring and related costs, net</t>
        </is>
      </c>
      <c r="E26" s="630">
        <f>IS!AB25</f>
        <v/>
      </c>
      <c r="F26" s="630">
        <f>IS!AC25</f>
        <v/>
      </c>
      <c r="G26" s="630">
        <f>IS!AD25</f>
        <v/>
      </c>
      <c r="H26" s="630">
        <f>IS!AE25</f>
        <v/>
      </c>
      <c r="I26" s="630">
        <f>IS!AF25</f>
        <v/>
      </c>
      <c r="J26" s="651">
        <f>IS!AH25</f>
        <v/>
      </c>
      <c r="K26" s="652">
        <f>IS!AI25</f>
        <v/>
      </c>
    </row>
    <row r="27" ht="12.75" customHeight="1" s="223">
      <c r="A27" s="600" t="n"/>
      <c r="B27" s="600" t="n"/>
      <c r="C27" s="600" t="n"/>
      <c r="D27" s="647" t="inlineStr">
        <is>
          <t>PARC donation</t>
        </is>
      </c>
      <c r="E27" s="630">
        <f>IS!AB28</f>
        <v/>
      </c>
      <c r="F27" s="630">
        <f>IS!AC28</f>
        <v/>
      </c>
      <c r="G27" s="630">
        <f>IS!AD28</f>
        <v/>
      </c>
      <c r="H27" s="630">
        <f>IS!AE28</f>
        <v/>
      </c>
      <c r="I27" s="630">
        <f>IS!AF28</f>
        <v/>
      </c>
      <c r="J27" s="651">
        <f>IS!AH28</f>
        <v/>
      </c>
      <c r="K27" s="652">
        <f>IS!AI28</f>
        <v/>
      </c>
    </row>
    <row r="28" ht="12.75" customHeight="1" s="223">
      <c r="A28" s="600" t="n"/>
      <c r="B28" s="600" t="n"/>
      <c r="C28" s="600" t="n"/>
      <c r="D28" s="647" t="inlineStr">
        <is>
          <t>Divestitures</t>
        </is>
      </c>
      <c r="E28" s="630">
        <f>IS!AB27</f>
        <v/>
      </c>
      <c r="F28" s="630">
        <f>IS!AC27</f>
        <v/>
      </c>
      <c r="G28" s="630">
        <f>IS!AD27</f>
        <v/>
      </c>
      <c r="H28" s="630">
        <f>IS!AE27</f>
        <v/>
      </c>
      <c r="I28" s="630">
        <f>IS!AF27</f>
        <v/>
      </c>
      <c r="J28" s="651">
        <f>IS!AH27</f>
        <v/>
      </c>
      <c r="K28" s="652">
        <f>IS!AI27</f>
        <v/>
      </c>
    </row>
    <row r="29" ht="12.75" customHeight="1" s="223">
      <c r="A29" s="600" t="n"/>
      <c r="B29" s="600" t="n"/>
      <c r="C29" s="600" t="n"/>
      <c r="D29" s="647" t="inlineStr">
        <is>
          <t>Transformation-related costs</t>
        </is>
      </c>
      <c r="E29" s="630">
        <f>IS!AB58</f>
        <v/>
      </c>
      <c r="F29" s="630">
        <f>IS!AC58</f>
        <v/>
      </c>
      <c r="G29" s="630">
        <f>IS!AD58</f>
        <v/>
      </c>
      <c r="H29" s="630">
        <f>IS!AE58</f>
        <v/>
      </c>
      <c r="I29" s="630">
        <f>IS!AF58</f>
        <v/>
      </c>
      <c r="J29" s="651">
        <f>IS!AH58</f>
        <v/>
      </c>
      <c r="K29" s="652">
        <f>IS!AI58</f>
        <v/>
      </c>
    </row>
    <row r="30" ht="12.75" customHeight="1" s="223">
      <c r="A30" s="600" t="n"/>
      <c r="B30" s="600" t="n"/>
      <c r="C30" s="600" t="n"/>
      <c r="D30" s="647" t="inlineStr">
        <is>
          <t>Transaction and related costs, net</t>
        </is>
      </c>
      <c r="E30" s="630">
        <f>IS!AB59</f>
        <v/>
      </c>
      <c r="F30" s="630">
        <f>IS!AC59</f>
        <v/>
      </c>
      <c r="G30" s="630">
        <f>IS!AD59</f>
        <v/>
      </c>
      <c r="H30" s="630">
        <f>IS!AE59</f>
        <v/>
      </c>
      <c r="I30" s="630">
        <f>IS!AF59</f>
        <v/>
      </c>
      <c r="J30" s="651">
        <f>IS!AH59</f>
        <v/>
      </c>
      <c r="K30" s="652">
        <f>IS!AI59</f>
        <v/>
      </c>
    </row>
    <row r="31" ht="12.75" customHeight="1" s="223">
      <c r="A31" s="600" t="n"/>
      <c r="B31" s="600" t="n"/>
      <c r="C31" s="600" t="n"/>
      <c r="D31" s="647" t="inlineStr">
        <is>
          <t>Inventory impact, exit of Production Print manufacturing</t>
        </is>
      </c>
      <c r="E31" s="630">
        <f>IS!AB60</f>
        <v/>
      </c>
      <c r="F31" s="630">
        <f>IS!AC60</f>
        <v/>
      </c>
      <c r="G31" s="630">
        <f>IS!AD60</f>
        <v/>
      </c>
      <c r="H31" s="630">
        <f>IS!AE60</f>
        <v/>
      </c>
      <c r="I31" s="630">
        <f>IS!AF60</f>
        <v/>
      </c>
      <c r="J31" s="651">
        <f>IS!AH60</f>
        <v/>
      </c>
      <c r="K31" s="652">
        <f>IS!AI60</f>
        <v/>
      </c>
    </row>
    <row r="32" ht="12.75" customHeight="1" s="223">
      <c r="A32" s="600" t="n"/>
      <c r="B32" s="600" t="n"/>
      <c r="C32" s="600" t="n"/>
      <c r="D32" s="647" t="inlineStr">
        <is>
          <t>Lexmark inventory purchase accounting adjustment</t>
        </is>
      </c>
      <c r="E32" s="630">
        <f>IS!AB61</f>
        <v/>
      </c>
      <c r="F32" s="630">
        <f>IS!AC61</f>
        <v/>
      </c>
      <c r="G32" s="630">
        <f>IS!AD61</f>
        <v/>
      </c>
      <c r="H32" s="630">
        <f>IS!AE61</f>
        <v/>
      </c>
      <c r="I32" s="630">
        <f>IS!AF61</f>
        <v/>
      </c>
      <c r="J32" s="651">
        <f>IS!AH61</f>
        <v/>
      </c>
      <c r="K32" s="652">
        <f>IS!AI61</f>
        <v/>
      </c>
    </row>
    <row r="33" ht="12.75" customHeight="1" s="223">
      <c r="A33" s="600" t="n"/>
      <c r="B33" s="600" t="n"/>
      <c r="C33" s="600" t="n"/>
      <c r="D33" s="647" t="inlineStr">
        <is>
          <t>Lexmark settlement of pre-existing employment agreements</t>
        </is>
      </c>
      <c r="E33" s="630">
        <f>IS!AB62</f>
        <v/>
      </c>
      <c r="F33" s="630">
        <f>IS!AC62</f>
        <v/>
      </c>
      <c r="G33" s="630">
        <f>IS!AD62</f>
        <v/>
      </c>
      <c r="H33" s="630">
        <f>IS!AE62</f>
        <v/>
      </c>
      <c r="I33" s="630">
        <f>IS!AF62</f>
        <v/>
      </c>
      <c r="J33" s="651">
        <f>IS!AH62</f>
        <v/>
      </c>
      <c r="K33" s="652">
        <f>IS!AI62</f>
        <v/>
      </c>
    </row>
    <row r="34" ht="12.75" customHeight="1" s="223">
      <c r="A34" s="600" t="n"/>
      <c r="B34" s="600" t="n"/>
      <c r="C34" s="600" t="n"/>
      <c r="D34" s="653" t="inlineStr">
        <is>
          <t>Adjusted EBITDA</t>
        </is>
      </c>
      <c r="E34" s="619">
        <f>E23+SUM(E25:E33)</f>
        <v/>
      </c>
      <c r="F34" s="619">
        <f>F23+SUM(F25:F33)</f>
        <v/>
      </c>
      <c r="G34" s="619">
        <f>G23+SUM(G25:G33)</f>
        <v/>
      </c>
      <c r="H34" s="619">
        <f>H23+SUM(H25:H33)</f>
        <v/>
      </c>
      <c r="I34" s="620">
        <f>I23+SUM(I25:I33)</f>
        <v/>
      </c>
      <c r="J34" s="621">
        <f>J23+SUM(J25:J33)</f>
        <v/>
      </c>
      <c r="K34" s="620">
        <f>K23+SUM(K25:K33)</f>
        <v/>
      </c>
    </row>
    <row r="35" ht="12.75" customHeight="1" s="223">
      <c r="A35" s="600" t="n"/>
      <c r="B35" s="600" t="n"/>
      <c r="C35" s="600" t="n"/>
      <c r="D35" s="654" t="inlineStr">
        <is>
          <t>IS Adjusted EBITDA</t>
        </is>
      </c>
      <c r="E35" s="655">
        <f>IS!AB63</f>
        <v/>
      </c>
      <c r="F35" s="655">
        <f>IS!AC63</f>
        <v/>
      </c>
      <c r="G35" s="655">
        <f>IS!AD63</f>
        <v/>
      </c>
      <c r="H35" s="655">
        <f>IS!AE63</f>
        <v/>
      </c>
      <c r="I35" s="655">
        <f>IS!AF63</f>
        <v/>
      </c>
      <c r="J35" s="656">
        <f>IS!AH63</f>
        <v/>
      </c>
      <c r="K35" s="657">
        <f>IS!AI63</f>
        <v/>
      </c>
    </row>
    <row r="36" ht="12.75" customHeight="1" s="223">
      <c r="A36" s="600" t="n"/>
      <c r="B36" s="600" t="n"/>
      <c r="C36" s="600" t="n"/>
      <c r="D36" s="658" t="inlineStr">
        <is>
          <t>Check</t>
        </is>
      </c>
      <c r="E36" s="659">
        <f>E34-E35</f>
        <v/>
      </c>
      <c r="F36" s="659">
        <f>F34-F35</f>
        <v/>
      </c>
      <c r="G36" s="659">
        <f>G34-G35</f>
        <v/>
      </c>
      <c r="H36" s="659">
        <f>H34-H35</f>
        <v/>
      </c>
      <c r="I36" s="659">
        <f>I34-I35</f>
        <v/>
      </c>
      <c r="J36" s="660">
        <f>J34-J35</f>
        <v/>
      </c>
      <c r="K36" s="661">
        <f>K34-K35</f>
        <v/>
      </c>
    </row>
    <row r="37" ht="12.75" customHeight="1" s="223">
      <c r="A37" s="600" t="n"/>
      <c r="B37" s="600" t="n"/>
      <c r="C37" s="600" t="n"/>
      <c r="D37" s="600" t="n"/>
      <c r="E37" s="600" t="n"/>
      <c r="F37" s="600" t="n"/>
      <c r="G37" s="600" t="n"/>
      <c r="H37" s="600" t="n"/>
      <c r="I37" s="600" t="n"/>
      <c r="J37" s="645" t="n"/>
      <c r="K37" s="646" t="n"/>
    </row>
    <row r="38" ht="12.75" customHeight="1" s="223">
      <c r="A38" s="600" t="n"/>
      <c r="B38" s="600" t="n"/>
      <c r="C38" s="600" t="n"/>
      <c r="D38" s="647" t="inlineStr">
        <is>
          <t>Less: IEEPA tariff refund benefit</t>
        </is>
      </c>
      <c r="E38" s="648">
        <f>IS!AB67</f>
        <v/>
      </c>
      <c r="F38" s="648">
        <f>IS!AC67</f>
        <v/>
      </c>
      <c r="G38" s="648">
        <f>IS!AD67</f>
        <v/>
      </c>
      <c r="H38" s="648">
        <f>IS!AE67</f>
        <v/>
      </c>
      <c r="I38" s="648">
        <f>IS!AF67</f>
        <v/>
      </c>
      <c r="J38" s="649">
        <f>IS!AH67</f>
        <v/>
      </c>
      <c r="K38" s="650">
        <f>IS!AI67</f>
        <v/>
      </c>
    </row>
    <row r="39" ht="12.75" customHeight="1" s="223">
      <c r="A39" s="600" t="n"/>
      <c r="B39" s="600" t="n"/>
      <c r="C39" s="600" t="n"/>
      <c r="D39" s="653" t="inlineStr">
        <is>
          <t>Adjusted EBITDA excl. IEEPA tariff benefit</t>
        </is>
      </c>
      <c r="E39" s="619">
        <f>E34+E38</f>
        <v/>
      </c>
      <c r="F39" s="619">
        <f>F34+F38</f>
        <v/>
      </c>
      <c r="G39" s="619">
        <f>G34+G38</f>
        <v/>
      </c>
      <c r="H39" s="619">
        <f>H34+H38</f>
        <v/>
      </c>
      <c r="I39" s="620">
        <f>I34+I38</f>
        <v/>
      </c>
      <c r="J39" s="621">
        <f>J34+J38</f>
        <v/>
      </c>
      <c r="K39" s="620">
        <f>K34+K38</f>
        <v/>
      </c>
    </row>
    <row r="40" ht="12.75" customHeight="1" s="223">
      <c r="A40" s="600" t="n"/>
      <c r="B40" s="600" t="n"/>
      <c r="C40" s="600" t="n"/>
      <c r="D40" s="600" t="n"/>
      <c r="E40" s="600" t="n"/>
      <c r="F40" s="600" t="n"/>
      <c r="G40" s="600" t="n"/>
      <c r="H40" s="600" t="n"/>
      <c r="I40" s="600" t="n"/>
      <c r="J40" s="645" t="n"/>
      <c r="K40" s="646" t="n"/>
    </row>
    <row r="41" ht="12.75" customHeight="1" s="223">
      <c r="A41" s="600" t="n"/>
      <c r="B41" s="600" t="n"/>
      <c r="C41" s="600" t="n"/>
      <c r="D41" s="662" t="inlineStr">
        <is>
          <t>Memo:</t>
        </is>
      </c>
      <c r="E41" s="634" t="n"/>
      <c r="F41" s="634" t="n"/>
      <c r="G41" s="634" t="n"/>
      <c r="H41" s="634" t="n"/>
      <c r="I41" s="634" t="n"/>
      <c r="J41" s="663" t="n"/>
      <c r="K41" s="664" t="n"/>
    </row>
    <row r="42" ht="12.75" customHeight="1" s="223">
      <c r="A42" s="600" t="n"/>
      <c r="B42" s="600" t="n"/>
      <c r="C42" s="600" t="n"/>
      <c r="D42" s="665" t="inlineStr">
        <is>
          <t>Total revenue growth (YoY)</t>
        </is>
      </c>
      <c r="E42" s="637" t="n"/>
      <c r="F42" s="637">
        <f>F13/E13-1</f>
        <v/>
      </c>
      <c r="G42" s="637">
        <f>G13/F13-1</f>
        <v/>
      </c>
      <c r="H42" s="637">
        <f>H13/G13-1</f>
        <v/>
      </c>
      <c r="I42" s="637">
        <f>I13/H13-1</f>
        <v/>
      </c>
      <c r="J42" s="666">
        <f>IS!AH71</f>
        <v/>
      </c>
      <c r="K42" s="667">
        <f>IS!AI71</f>
        <v/>
      </c>
    </row>
    <row r="43" ht="12.75" customHeight="1" s="223">
      <c r="A43" s="600" t="n"/>
      <c r="B43" s="600" t="n"/>
      <c r="C43" s="600" t="n"/>
      <c r="D43" s="665" t="inlineStr">
        <is>
          <t>Gross margin %</t>
        </is>
      </c>
      <c r="E43" s="637">
        <f>E15/E13</f>
        <v/>
      </c>
      <c r="F43" s="637">
        <f>F15/F13</f>
        <v/>
      </c>
      <c r="G43" s="637">
        <f>G15/G13</f>
        <v/>
      </c>
      <c r="H43" s="637">
        <f>H15/H13</f>
        <v/>
      </c>
      <c r="I43" s="637">
        <f>I15/I13</f>
        <v/>
      </c>
      <c r="J43" s="666">
        <f>J15/J13</f>
        <v/>
      </c>
      <c r="K43" s="667">
        <f>K15/K13</f>
        <v/>
      </c>
    </row>
    <row r="44" ht="12.75" customHeight="1" s="223">
      <c r="A44" s="600" t="n"/>
      <c r="B44" s="600" t="n"/>
      <c r="C44" s="600" t="n"/>
      <c r="D44" s="665" t="inlineStr">
        <is>
          <t>EBITDA margin %</t>
        </is>
      </c>
      <c r="E44" s="637">
        <f>E23/E13</f>
        <v/>
      </c>
      <c r="F44" s="637">
        <f>F23/F13</f>
        <v/>
      </c>
      <c r="G44" s="637">
        <f>G23/G13</f>
        <v/>
      </c>
      <c r="H44" s="637">
        <f>H23/H13</f>
        <v/>
      </c>
      <c r="I44" s="637">
        <f>I23/I13</f>
        <v/>
      </c>
      <c r="J44" s="666">
        <f>J23/J13</f>
        <v/>
      </c>
      <c r="K44" s="667">
        <f>K23/K13</f>
        <v/>
      </c>
    </row>
    <row r="45" ht="12.75" customHeight="1" s="223">
      <c r="A45" s="600" t="n"/>
      <c r="B45" s="600" t="n"/>
      <c r="C45" s="600" t="n"/>
      <c r="D45" s="665" t="inlineStr">
        <is>
          <t>Adjusted EBITDA margin %</t>
        </is>
      </c>
      <c r="E45" s="637">
        <f>E34/E13</f>
        <v/>
      </c>
      <c r="F45" s="637">
        <f>F34/F13</f>
        <v/>
      </c>
      <c r="G45" s="637">
        <f>G34/G13</f>
        <v/>
      </c>
      <c r="H45" s="637">
        <f>H34/H13</f>
        <v/>
      </c>
      <c r="I45" s="637">
        <f>I34/I13</f>
        <v/>
      </c>
      <c r="J45" s="666">
        <f>J34/J13</f>
        <v/>
      </c>
      <c r="K45" s="667">
        <f>K34/K13</f>
        <v/>
      </c>
    </row>
    <row r="46" ht="12.75" customHeight="1" s="223">
      <c r="A46" s="600" t="n"/>
      <c r="B46" s="600" t="n"/>
      <c r="C46" s="600" t="n"/>
      <c r="D46" s="668" t="inlineStr">
        <is>
          <t>Adjusted EBITDA excl. IEEPA margin %</t>
        </is>
      </c>
      <c r="E46" s="640">
        <f>E39/E13</f>
        <v/>
      </c>
      <c r="F46" s="640">
        <f>F39/F13</f>
        <v/>
      </c>
      <c r="G46" s="640">
        <f>G39/G13</f>
        <v/>
      </c>
      <c r="H46" s="640">
        <f>H39/H13</f>
        <v/>
      </c>
      <c r="I46" s="640">
        <f>I39/I13</f>
        <v/>
      </c>
      <c r="J46" s="669">
        <f>J39/J13</f>
        <v/>
      </c>
      <c r="K46" s="670">
        <f>K39/K13</f>
        <v/>
      </c>
    </row>
    <row r="47" ht="12.75" customHeight="1" s="223">
      <c r="A47" s="600" t="n"/>
      <c r="B47" s="600" t="n"/>
      <c r="C47" s="600" t="n"/>
      <c r="D47" s="600" t="n"/>
      <c r="E47" s="600" t="n"/>
      <c r="F47" s="600" t="n"/>
      <c r="G47" s="600" t="n"/>
      <c r="H47" s="600" t="n"/>
      <c r="I47" s="600" t="n"/>
      <c r="J47" s="600" t="n"/>
      <c r="K47" s="600" t="n"/>
    </row>
    <row r="48" ht="12.75" customHeight="1" s="223">
      <c r="A48" s="600" t="n"/>
      <c r="B48" s="600" t="n"/>
      <c r="C48" s="600" t="n"/>
      <c r="D48" s="626" t="inlineStr">
        <is>
          <t>Notes:</t>
        </is>
      </c>
      <c r="E48" s="600" t="n"/>
      <c r="F48" s="600" t="n"/>
      <c r="G48" s="600" t="n"/>
      <c r="H48" s="600" t="n"/>
      <c r="I48" s="600" t="n"/>
      <c r="J48" s="600" t="n"/>
      <c r="K48" s="600" t="n"/>
    </row>
    <row r="49" ht="12.75" customHeight="1" s="223">
      <c r="A49" s="600" t="n"/>
      <c r="B49" s="600" t="n"/>
      <c r="C49" s="600" t="n"/>
      <c r="D49" s="600" t="inlineStr">
        <is>
          <t>(1) Shown in Xerox's current presentation (see IS tab notes).</t>
        </is>
      </c>
      <c r="E49" s="600" t="n"/>
      <c r="F49" s="600" t="n"/>
      <c r="G49" s="600" t="n"/>
      <c r="H49" s="600" t="n"/>
      <c r="I49" s="600" t="n"/>
      <c r="J49" s="600" t="n"/>
      <c r="K49" s="600" t="n"/>
    </row>
    <row r="50" ht="12.75" customHeight="1" s="223">
      <c r="A50" s="600" t="n"/>
      <c r="B50" s="600" t="n"/>
      <c r="C50" s="600" t="n"/>
      <c r="D50" s="600" t="inlineStr">
        <is>
          <t>(2) Lexmark included from 3Q'25 (acquired July 1, 2025); figures as reported, not pro forma.</t>
        </is>
      </c>
      <c r="E50" s="600" t="n"/>
      <c r="F50" s="600" t="n"/>
      <c r="G50" s="600" t="n"/>
      <c r="H50" s="600" t="n"/>
      <c r="I50" s="600" t="n"/>
      <c r="J50" s="600" t="n"/>
      <c r="K50" s="600" t="n"/>
    </row>
    <row r="51" ht="12.75" customHeight="1" s="223">
      <c r="A51" s="600" t="n"/>
      <c r="B51" s="600" t="n"/>
      <c r="C51" s="600" t="n"/>
      <c r="D51" s="600" t="inlineStr">
        <is>
          <t>(3) EBITDA and Adjusted EBITDA follow the company definition. Company-reported Adjusted EBITDA</t>
        </is>
      </c>
      <c r="E51" s="600" t="n"/>
      <c r="F51" s="600" t="n"/>
      <c r="G51" s="600" t="n"/>
      <c r="H51" s="600" t="n"/>
      <c r="I51" s="600" t="n"/>
      <c r="J51" s="600" t="n"/>
      <c r="K51" s="600" t="n"/>
    </row>
    <row r="52" ht="12.75" customHeight="1" s="223">
      <c r="A52" s="600" t="n"/>
      <c r="B52" s="600" t="n"/>
      <c r="C52" s="600" t="n"/>
      <c r="D52" s="600" t="inlineStr">
        <is>
          <t xml:space="preserve">     begins FY2023; FY2021 and FY2022 are rebuilt from filed figures.</t>
        </is>
      </c>
      <c r="E52" s="600" t="n"/>
      <c r="F52" s="600" t="n"/>
      <c r="G52" s="600" t="n"/>
      <c r="H52" s="600" t="n"/>
      <c r="I52" s="600" t="n"/>
      <c r="J52" s="600" t="n"/>
      <c r="K52" s="600" t="n"/>
    </row>
    <row r="53" ht="12.75" customHeight="1" s="223">
      <c r="A53" s="600" t="n"/>
      <c r="B53" s="600" t="n"/>
      <c r="C53" s="600" t="n"/>
      <c r="D53" s="600" t="inlineStr">
        <is>
          <t>(4) LTM 2Q'26 includes the $105M IEEPA tariff refund benefit in 2Q'26 cost of sales.</t>
        </is>
      </c>
      <c r="E53" s="600" t="n"/>
      <c r="F53" s="600" t="n"/>
      <c r="G53" s="600" t="n"/>
      <c r="H53" s="600" t="n"/>
      <c r="I53" s="600" t="n"/>
      <c r="J53" s="600" t="n"/>
      <c r="K53" s="600" t="n"/>
    </row>
    <row r="54" ht="12.75" customHeight="1" s="223">
      <c r="A54" s="600" t="n"/>
      <c r="B54" s="600" t="n"/>
      <c r="C54" s="600" t="n"/>
      <c r="D54" s="600" t="n"/>
      <c r="E54" s="600" t="n"/>
      <c r="F54" s="600" t="n"/>
      <c r="G54" s="600" t="n"/>
      <c r="H54" s="600" t="n"/>
      <c r="I54" s="600" t="n"/>
      <c r="J54" s="600" t="n"/>
      <c r="K54" s="600" t="n"/>
    </row>
  </sheetData>
  <mergeCells count="2">
    <mergeCell ref="E8:I8"/>
    <mergeCell ref="J8:K8"/>
  </mergeCells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J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8" ySplit="0" topLeftCell="I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1.7" customWidth="1" style="222" min="1" max="3"/>
    <col width="66" customWidth="1" style="222" min="4" max="4"/>
    <col width="1.6" customWidth="1" style="222" min="5" max="5"/>
    <col width="9.800000000000001" customWidth="1" style="222" min="6" max="27"/>
    <col width="10.5" customWidth="1" style="223" min="7" max="7"/>
    <col width="10.5" customWidth="1" style="223" min="8" max="8"/>
    <col width="10.5" customWidth="1" style="223" min="9" max="9"/>
    <col width="10.5" customWidth="1" style="223" min="10" max="10"/>
    <col width="10.5" customWidth="1" style="223" min="11" max="11"/>
    <col width="10.5" customWidth="1" style="223" min="12" max="12"/>
    <col width="10.5" customWidth="1" style="223" min="13" max="13"/>
    <col width="10.5" customWidth="1" style="223" min="14" max="14"/>
    <col width="10.5" customWidth="1" style="223" min="15" max="15"/>
    <col width="10.5" customWidth="1" style="223" min="16" max="16"/>
    <col width="10.5" customWidth="1" style="223" min="17" max="17"/>
    <col width="10.5" customWidth="1" style="223" min="18" max="18"/>
    <col width="10.5" customWidth="1" style="223" min="19" max="19"/>
    <col width="10.5" customWidth="1" style="223" min="20" max="20"/>
    <col width="10.5" customWidth="1" style="223" min="21" max="21"/>
    <col width="10.5" customWidth="1" style="223" min="22" max="22"/>
    <col width="10.5" customWidth="1" style="223" min="23" max="23"/>
    <col width="10.5" customWidth="1" style="223" min="24" max="24"/>
    <col width="10.5" customWidth="1" style="223" min="25" max="25"/>
    <col width="10.5" customWidth="1" style="223" min="26" max="26"/>
    <col width="10.5" customWidth="1" style="223" min="27" max="27"/>
    <col width="3" customWidth="1" style="222" min="28" max="28"/>
    <col width="9.800000000000001" customWidth="1" style="222" min="29" max="33"/>
    <col width="10.5" customWidth="1" style="223" min="30" max="30"/>
    <col width="10.5" customWidth="1" style="223" min="31" max="31"/>
    <col width="10.5" customWidth="1" style="223" min="32" max="32"/>
    <col width="10.5" customWidth="1" style="223" min="33" max="33"/>
    <col width="3" customWidth="1" style="222" min="34" max="34"/>
    <col width="12.7" customWidth="1" style="222" min="35" max="36"/>
    <col width="10.5" customWidth="1" style="223" min="36" max="36"/>
  </cols>
  <sheetData>
    <row r="1" ht="15" customHeight="1" s="223">
      <c r="A1" s="671">
        <f>D3</f>
        <v/>
      </c>
      <c r="B1" s="597">
        <f>'Cover Page'!A1</f>
        <v/>
      </c>
    </row>
    <row r="2" ht="15" customHeight="1" s="223"/>
    <row r="3" ht="15" customHeight="1" s="223">
      <c r="A3" s="600" t="n"/>
      <c r="B3" s="600" t="n"/>
      <c r="C3" s="600" t="n"/>
      <c r="D3" s="601" t="inlineStr">
        <is>
          <t>Statement of Cash Flows Spread</t>
        </is>
      </c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  <c r="S3" s="602" t="n"/>
      <c r="T3" s="602" t="n"/>
      <c r="U3" s="602" t="n"/>
      <c r="V3" s="602" t="n"/>
      <c r="W3" s="602" t="n"/>
      <c r="X3" s="602" t="n"/>
      <c r="Y3" s="602" t="n"/>
      <c r="Z3" s="602" t="n"/>
      <c r="AA3" s="602" t="n"/>
      <c r="AB3" s="602" t="n"/>
      <c r="AC3" s="602" t="n"/>
      <c r="AD3" s="602" t="n"/>
      <c r="AE3" s="602" t="n"/>
      <c r="AF3" s="602" t="n"/>
      <c r="AG3" s="602" t="n"/>
      <c r="AH3" s="602" t="n"/>
      <c r="AI3" s="602" t="n"/>
      <c r="AJ3" s="603" t="n"/>
    </row>
    <row r="4" ht="15" customHeight="1" s="223">
      <c r="A4" s="600" t="n"/>
      <c r="B4" s="600" t="n"/>
      <c r="C4" s="600" t="n"/>
      <c r="D4" s="604" t="inlineStr">
        <is>
          <t>Xerox Holdings Corporation – All values in $ millions (USD), except per-share values. Data as of June 30, 2026 (2Q'26).</t>
        </is>
      </c>
      <c r="E4" s="605" t="n"/>
      <c r="F4" s="605" t="n"/>
      <c r="G4" s="605" t="n"/>
      <c r="H4" s="605" t="n"/>
      <c r="I4" s="605" t="n"/>
      <c r="J4" s="605" t="n"/>
      <c r="K4" s="605" t="n"/>
      <c r="L4" s="605" t="n"/>
      <c r="M4" s="605" t="n"/>
      <c r="N4" s="605" t="n"/>
      <c r="O4" s="605" t="n"/>
      <c r="P4" s="605" t="n"/>
      <c r="Q4" s="605" t="n"/>
      <c r="R4" s="605" t="n"/>
      <c r="S4" s="605" t="n"/>
      <c r="T4" s="605" t="n"/>
      <c r="U4" s="605" t="n"/>
      <c r="V4" s="605" t="n"/>
      <c r="W4" s="605" t="n"/>
      <c r="X4" s="605" t="n"/>
      <c r="Y4" s="605" t="n"/>
      <c r="Z4" s="605" t="n"/>
      <c r="AA4" s="605" t="n"/>
      <c r="AB4" s="605" t="n"/>
      <c r="AC4" s="605" t="n"/>
      <c r="AD4" s="605" t="n"/>
      <c r="AE4" s="605" t="n"/>
      <c r="AF4" s="605" t="n"/>
      <c r="AG4" s="605" t="n"/>
      <c r="AH4" s="605" t="n"/>
      <c r="AI4" s="605" t="n"/>
      <c r="AJ4" s="606" t="n"/>
    </row>
    <row r="5" ht="15" customHeight="1" s="223">
      <c r="A5" s="600" t="n"/>
      <c r="B5" s="600" t="n"/>
      <c r="C5" s="600" t="n"/>
      <c r="D5" s="600" t="n"/>
      <c r="E5" s="600" t="n"/>
      <c r="F5" s="600" t="n"/>
      <c r="G5" s="600" t="n"/>
      <c r="H5" s="600" t="n"/>
      <c r="I5" s="600" t="n"/>
      <c r="J5" s="600" t="n"/>
      <c r="K5" s="600" t="n"/>
      <c r="L5" s="600" t="n"/>
      <c r="M5" s="600" t="n"/>
      <c r="N5" s="600" t="n"/>
      <c r="O5" s="600" t="n"/>
      <c r="P5" s="600" t="n"/>
      <c r="Q5" s="600" t="n"/>
      <c r="R5" s="600" t="n"/>
      <c r="S5" s="600" t="n"/>
      <c r="T5" s="600" t="n"/>
      <c r="U5" s="600" t="n"/>
      <c r="V5" s="600" t="n"/>
      <c r="W5" s="600" t="n"/>
      <c r="X5" s="600" t="n"/>
      <c r="Y5" s="600" t="n"/>
      <c r="Z5" s="600" t="n"/>
      <c r="AA5" s="600" t="n"/>
      <c r="AB5" s="600" t="n"/>
      <c r="AC5" s="600" t="n"/>
      <c r="AD5" s="600" t="n"/>
      <c r="AE5" s="600" t="n"/>
      <c r="AF5" s="600" t="n"/>
      <c r="AG5" s="600" t="n"/>
      <c r="AH5" s="600" t="n"/>
      <c r="AI5" s="600" t="n"/>
      <c r="AJ5" s="600" t="n"/>
    </row>
    <row r="6" ht="15" customHeight="1" s="223">
      <c r="A6" s="600" t="inlineStr">
        <is>
          <t>x</t>
        </is>
      </c>
      <c r="B6" s="600" t="n"/>
      <c r="C6" s="600" t="n"/>
      <c r="D6" s="607" t="inlineStr">
        <is>
          <t>Cash Flow Statement</t>
        </is>
      </c>
      <c r="E6" s="609" t="n"/>
      <c r="F6" s="608" t="inlineStr">
        <is>
          <t>Quarter Ended</t>
        </is>
      </c>
      <c r="G6" s="608" t="n"/>
      <c r="H6" s="608" t="n"/>
      <c r="I6" s="608" t="n"/>
      <c r="J6" s="608" t="n"/>
      <c r="K6" s="608" t="n"/>
      <c r="L6" s="608" t="n"/>
      <c r="M6" s="608" t="n"/>
      <c r="N6" s="608" t="n"/>
      <c r="O6" s="608" t="n"/>
      <c r="P6" s="608" t="n"/>
      <c r="Q6" s="608" t="n"/>
      <c r="R6" s="608" t="n"/>
      <c r="S6" s="608" t="n"/>
      <c r="T6" s="608" t="n"/>
      <c r="U6" s="608" t="n"/>
      <c r="V6" s="608" t="n"/>
      <c r="W6" s="608" t="n"/>
      <c r="X6" s="608" t="n"/>
      <c r="Y6" s="608" t="n"/>
      <c r="Z6" s="608" t="n"/>
      <c r="AA6" s="608" t="n"/>
      <c r="AB6" s="609" t="n"/>
      <c r="AC6" s="608" t="inlineStr">
        <is>
          <t>Fiscal Year Ended December 31,</t>
        </is>
      </c>
      <c r="AD6" s="608" t="n"/>
      <c r="AE6" s="608" t="n"/>
      <c r="AF6" s="608" t="n"/>
      <c r="AG6" s="608" t="n"/>
      <c r="AH6" s="609" t="n"/>
      <c r="AI6" s="608" t="inlineStr">
        <is>
          <t>LTM</t>
        </is>
      </c>
      <c r="AJ6" s="608" t="n"/>
    </row>
    <row r="7" ht="15" customHeight="1" s="223">
      <c r="A7" s="600" t="n"/>
      <c r="B7" s="600" t="n"/>
      <c r="C7" s="600" t="n"/>
      <c r="D7" s="610" t="n"/>
      <c r="E7" s="610" t="n"/>
      <c r="F7" s="611" t="n">
        <v>1</v>
      </c>
      <c r="G7" s="611" t="n">
        <v>2</v>
      </c>
      <c r="H7" s="611" t="n">
        <v>3</v>
      </c>
      <c r="I7" s="611" t="n">
        <v>4</v>
      </c>
      <c r="J7" s="611" t="n">
        <v>1</v>
      </c>
      <c r="K7" s="611" t="n">
        <v>2</v>
      </c>
      <c r="L7" s="611" t="n">
        <v>3</v>
      </c>
      <c r="M7" s="611" t="n">
        <v>4</v>
      </c>
      <c r="N7" s="611" t="n">
        <v>1</v>
      </c>
      <c r="O7" s="611" t="n">
        <v>2</v>
      </c>
      <c r="P7" s="611" t="n">
        <v>3</v>
      </c>
      <c r="Q7" s="611" t="n">
        <v>4</v>
      </c>
      <c r="R7" s="611" t="n">
        <v>1</v>
      </c>
      <c r="S7" s="611" t="n">
        <v>2</v>
      </c>
      <c r="T7" s="611" t="n">
        <v>3</v>
      </c>
      <c r="U7" s="611" t="n">
        <v>4</v>
      </c>
      <c r="V7" s="611" t="n">
        <v>1</v>
      </c>
      <c r="W7" s="611" t="n">
        <v>2</v>
      </c>
      <c r="X7" s="611" t="n">
        <v>3</v>
      </c>
      <c r="Y7" s="611" t="n">
        <v>4</v>
      </c>
      <c r="Z7" s="611" t="n">
        <v>1</v>
      </c>
      <c r="AA7" s="611" t="n">
        <v>2</v>
      </c>
      <c r="AB7" s="610" t="n"/>
      <c r="AC7" s="611" t="n"/>
      <c r="AD7" s="611" t="n"/>
      <c r="AE7" s="611" t="n"/>
      <c r="AF7" s="611" t="n"/>
      <c r="AG7" s="611" t="n"/>
      <c r="AH7" s="610" t="n"/>
      <c r="AI7" s="611" t="n"/>
      <c r="AJ7" s="611" t="n"/>
    </row>
    <row r="8" ht="15" customHeight="1" s="223">
      <c r="A8" s="600" t="n"/>
      <c r="B8" s="600" t="n"/>
      <c r="C8" s="600" t="n"/>
      <c r="D8" s="610" t="n"/>
      <c r="E8" s="610" t="n"/>
      <c r="F8" s="611" t="n">
        <v>2021</v>
      </c>
      <c r="G8" s="611" t="n">
        <v>2021</v>
      </c>
      <c r="H8" s="611" t="n">
        <v>2021</v>
      </c>
      <c r="I8" s="611" t="n">
        <v>2021</v>
      </c>
      <c r="J8" s="611" t="n">
        <v>2022</v>
      </c>
      <c r="K8" s="611" t="n">
        <v>2022</v>
      </c>
      <c r="L8" s="611" t="n">
        <v>2022</v>
      </c>
      <c r="M8" s="611" t="n">
        <v>2022</v>
      </c>
      <c r="N8" s="611" t="n">
        <v>2023</v>
      </c>
      <c r="O8" s="611" t="n">
        <v>2023</v>
      </c>
      <c r="P8" s="611" t="n">
        <v>2023</v>
      </c>
      <c r="Q8" s="611" t="n">
        <v>2023</v>
      </c>
      <c r="R8" s="611" t="n">
        <v>2024</v>
      </c>
      <c r="S8" s="611" t="n">
        <v>2024</v>
      </c>
      <c r="T8" s="611" t="n">
        <v>2024</v>
      </c>
      <c r="U8" s="611" t="n">
        <v>2024</v>
      </c>
      <c r="V8" s="611" t="n">
        <v>2025</v>
      </c>
      <c r="W8" s="611" t="n">
        <v>2025</v>
      </c>
      <c r="X8" s="611" t="n">
        <v>2025</v>
      </c>
      <c r="Y8" s="611" t="n">
        <v>2025</v>
      </c>
      <c r="Z8" s="611" t="n">
        <v>2026</v>
      </c>
      <c r="AA8" s="611" t="n">
        <v>2026</v>
      </c>
      <c r="AB8" s="610" t="n"/>
      <c r="AC8" s="611" t="n">
        <v>2021</v>
      </c>
      <c r="AD8" s="611" t="n">
        <v>2022</v>
      </c>
      <c r="AE8" s="611" t="n">
        <v>2023</v>
      </c>
      <c r="AF8" s="611" t="n">
        <v>2024</v>
      </c>
      <c r="AG8" s="611" t="n">
        <v>2025</v>
      </c>
      <c r="AH8" s="610" t="n"/>
      <c r="AI8" s="611" t="n"/>
      <c r="AJ8" s="611" t="n"/>
    </row>
    <row r="9" ht="15" customHeight="1" s="223">
      <c r="A9" s="600" t="n"/>
      <c r="B9" s="600" t="n"/>
      <c r="C9" s="600" t="n"/>
      <c r="D9" s="610" t="n"/>
      <c r="E9" s="610" t="n"/>
      <c r="F9" s="672" t="n">
        <v>44286</v>
      </c>
      <c r="G9" s="672" t="n">
        <v>44377</v>
      </c>
      <c r="H9" s="672" t="n">
        <v>44469</v>
      </c>
      <c r="I9" s="672" t="n">
        <v>44561</v>
      </c>
      <c r="J9" s="672" t="n">
        <v>44651</v>
      </c>
      <c r="K9" s="672" t="n">
        <v>44742</v>
      </c>
      <c r="L9" s="672" t="n">
        <v>44834</v>
      </c>
      <c r="M9" s="672" t="n">
        <v>44926</v>
      </c>
      <c r="N9" s="672" t="n">
        <v>45016</v>
      </c>
      <c r="O9" s="672" t="n">
        <v>45107</v>
      </c>
      <c r="P9" s="672" t="n">
        <v>45199</v>
      </c>
      <c r="Q9" s="672" t="n">
        <v>45291</v>
      </c>
      <c r="R9" s="672" t="n">
        <v>45382</v>
      </c>
      <c r="S9" s="672" t="n">
        <v>45473</v>
      </c>
      <c r="T9" s="672" t="n">
        <v>45565</v>
      </c>
      <c r="U9" s="672" t="n">
        <v>45657</v>
      </c>
      <c r="V9" s="672" t="n">
        <v>45747</v>
      </c>
      <c r="W9" s="672" t="n">
        <v>45838</v>
      </c>
      <c r="X9" s="672" t="n">
        <v>45930</v>
      </c>
      <c r="Y9" s="672" t="n">
        <v>46022</v>
      </c>
      <c r="Z9" s="672" t="n">
        <v>46112</v>
      </c>
      <c r="AA9" s="672" t="n">
        <v>46203</v>
      </c>
      <c r="AB9" s="610" t="n"/>
      <c r="AC9" s="672" t="n">
        <v>44561</v>
      </c>
      <c r="AD9" s="672" t="n">
        <v>44926</v>
      </c>
      <c r="AE9" s="672" t="n">
        <v>45291</v>
      </c>
      <c r="AF9" s="672" t="n">
        <v>45657</v>
      </c>
      <c r="AG9" s="672" t="n">
        <v>46022</v>
      </c>
      <c r="AH9" s="610" t="n"/>
      <c r="AI9" s="611" t="n"/>
      <c r="AJ9" s="611" t="n"/>
    </row>
    <row r="10" ht="15" customHeight="1" s="223">
      <c r="A10" s="600" t="n"/>
      <c r="B10" s="600" t="n"/>
      <c r="C10" s="600" t="n"/>
      <c r="D10" s="600" t="n"/>
      <c r="E10" s="600" t="n"/>
      <c r="F10" s="600" t="n"/>
      <c r="G10" s="600" t="n"/>
      <c r="H10" s="600" t="n"/>
      <c r="I10" s="600" t="n"/>
      <c r="J10" s="600" t="n"/>
      <c r="K10" s="600" t="n"/>
      <c r="L10" s="600" t="n"/>
      <c r="M10" s="600" t="n"/>
      <c r="N10" s="600" t="n"/>
      <c r="O10" s="600" t="n"/>
      <c r="P10" s="600" t="n"/>
      <c r="Q10" s="600" t="n"/>
      <c r="R10" s="600" t="n"/>
      <c r="S10" s="600" t="n"/>
      <c r="T10" s="600" t="n"/>
      <c r="U10" s="600" t="n"/>
      <c r="V10" s="600" t="n"/>
      <c r="W10" s="600" t="n"/>
      <c r="X10" s="600" t="n"/>
      <c r="Y10" s="600" t="n"/>
      <c r="Z10" s="600" t="n"/>
      <c r="AA10" s="600" t="n"/>
      <c r="AB10" s="600" t="n"/>
      <c r="AC10" s="600" t="n"/>
      <c r="AD10" s="600" t="n"/>
      <c r="AE10" s="600" t="n"/>
      <c r="AF10" s="600" t="n"/>
      <c r="AG10" s="600" t="n"/>
      <c r="AH10" s="600" t="n"/>
      <c r="AI10" s="600" t="n"/>
      <c r="AJ10" s="600" t="n"/>
    </row>
    <row r="11" ht="15" customHeight="1" s="223">
      <c r="A11" s="600" t="n"/>
      <c r="B11" s="600" t="n"/>
      <c r="C11" s="600" t="n"/>
      <c r="D11" s="601" t="n"/>
      <c r="E11" s="601" t="n"/>
      <c r="F11" s="613">
        <f>F7&amp;"Q'"&amp;RIGHT(F8,2)</f>
        <v/>
      </c>
      <c r="G11" s="613">
        <f>G7&amp;"Q'"&amp;RIGHT(G8,2)</f>
        <v/>
      </c>
      <c r="H11" s="613">
        <f>H7&amp;"Q'"&amp;RIGHT(H8,2)</f>
        <v/>
      </c>
      <c r="I11" s="613">
        <f>I7&amp;"Q'"&amp;RIGHT(I8,2)</f>
        <v/>
      </c>
      <c r="J11" s="613">
        <f>J7&amp;"Q'"&amp;RIGHT(J8,2)</f>
        <v/>
      </c>
      <c r="K11" s="613">
        <f>K7&amp;"Q'"&amp;RIGHT(K8,2)</f>
        <v/>
      </c>
      <c r="L11" s="613">
        <f>L7&amp;"Q'"&amp;RIGHT(L8,2)</f>
        <v/>
      </c>
      <c r="M11" s="613">
        <f>M7&amp;"Q'"&amp;RIGHT(M8,2)</f>
        <v/>
      </c>
      <c r="N11" s="613">
        <f>N7&amp;"Q'"&amp;RIGHT(N8,2)</f>
        <v/>
      </c>
      <c r="O11" s="613">
        <f>O7&amp;"Q'"&amp;RIGHT(O8,2)</f>
        <v/>
      </c>
      <c r="P11" s="613">
        <f>P7&amp;"Q'"&amp;RIGHT(P8,2)</f>
        <v/>
      </c>
      <c r="Q11" s="613">
        <f>Q7&amp;"Q'"&amp;RIGHT(Q8,2)</f>
        <v/>
      </c>
      <c r="R11" s="613">
        <f>R7&amp;"Q'"&amp;RIGHT(R8,2)</f>
        <v/>
      </c>
      <c r="S11" s="613">
        <f>S7&amp;"Q'"&amp;RIGHT(S8,2)</f>
        <v/>
      </c>
      <c r="T11" s="613">
        <f>T7&amp;"Q'"&amp;RIGHT(T8,2)</f>
        <v/>
      </c>
      <c r="U11" s="613">
        <f>U7&amp;"Q'"&amp;RIGHT(U8,2)</f>
        <v/>
      </c>
      <c r="V11" s="613">
        <f>V7&amp;"Q'"&amp;RIGHT(V8,2)</f>
        <v/>
      </c>
      <c r="W11" s="613">
        <f>W7&amp;"Q'"&amp;RIGHT(W8,2)</f>
        <v/>
      </c>
      <c r="X11" s="613">
        <f>X7&amp;"Q'"&amp;RIGHT(X8,2)</f>
        <v/>
      </c>
      <c r="Y11" s="613">
        <f>Y7&amp;"Q'"&amp;RIGHT(Y8,2)</f>
        <v/>
      </c>
      <c r="Z11" s="613">
        <f>Z7&amp;"Q'"&amp;RIGHT(Z8,2)</f>
        <v/>
      </c>
      <c r="AA11" s="613">
        <f>AA7&amp;"Q'"&amp;RIGHT(AA8,2)</f>
        <v/>
      </c>
      <c r="AB11" s="601" t="n"/>
      <c r="AC11" s="613" t="n">
        <v>2021</v>
      </c>
      <c r="AD11" s="613" t="n">
        <v>2022</v>
      </c>
      <c r="AE11" s="613" t="n">
        <v>2023</v>
      </c>
      <c r="AF11" s="613" t="n">
        <v>2024</v>
      </c>
      <c r="AG11" s="613" t="n">
        <v>2025</v>
      </c>
      <c r="AH11" s="601" t="n"/>
      <c r="AI11" s="613" t="inlineStr">
        <is>
          <t>LTM 2Q'25</t>
        </is>
      </c>
      <c r="AJ11" s="613" t="inlineStr">
        <is>
          <t>LTM 2Q'26</t>
        </is>
      </c>
    </row>
    <row r="12" ht="0.75" customHeight="1" s="223"/>
    <row r="13" ht="12.75" customHeight="1" s="223">
      <c r="D13" s="673" t="inlineStr">
        <is>
          <t>OPERATING ACTIVITIES</t>
        </is>
      </c>
    </row>
    <row r="14" ht="12.75" customHeight="1" s="223">
      <c r="D14" s="674" t="inlineStr">
        <is>
          <t>Net (loss) income</t>
        </is>
      </c>
      <c r="F14" s="675">
        <f>IS!E36</f>
        <v/>
      </c>
      <c r="G14" s="675">
        <f>IS!F36</f>
        <v/>
      </c>
      <c r="H14" s="675">
        <f>IS!G36</f>
        <v/>
      </c>
      <c r="I14" s="675">
        <f>IS!H36</f>
        <v/>
      </c>
      <c r="J14" s="675">
        <f>IS!I36</f>
        <v/>
      </c>
      <c r="K14" s="675">
        <f>IS!J36</f>
        <v/>
      </c>
      <c r="L14" s="675">
        <f>IS!K36</f>
        <v/>
      </c>
      <c r="M14" s="675">
        <f>IS!L36</f>
        <v/>
      </c>
      <c r="N14" s="675">
        <f>IS!M36</f>
        <v/>
      </c>
      <c r="O14" s="675">
        <f>IS!N36</f>
        <v/>
      </c>
      <c r="P14" s="675">
        <f>IS!O36</f>
        <v/>
      </c>
      <c r="Q14" s="675">
        <f>IS!P36</f>
        <v/>
      </c>
      <c r="R14" s="675">
        <f>IS!Q36</f>
        <v/>
      </c>
      <c r="S14" s="675">
        <f>IS!R36</f>
        <v/>
      </c>
      <c r="T14" s="675">
        <f>IS!S36</f>
        <v/>
      </c>
      <c r="U14" s="675">
        <f>IS!T36</f>
        <v/>
      </c>
      <c r="V14" s="675">
        <f>IS!U36</f>
        <v/>
      </c>
      <c r="W14" s="675">
        <f>IS!V36</f>
        <v/>
      </c>
      <c r="X14" s="675">
        <f>IS!W36</f>
        <v/>
      </c>
      <c r="Y14" s="675">
        <f>IS!X36</f>
        <v/>
      </c>
      <c r="Z14" s="675">
        <f>IS!Y36</f>
        <v/>
      </c>
      <c r="AA14" s="675">
        <f>IS!Z36</f>
        <v/>
      </c>
      <c r="AC14" s="675">
        <f>IS!AB36</f>
        <v/>
      </c>
      <c r="AD14" s="675">
        <f>IS!AC36</f>
        <v/>
      </c>
      <c r="AE14" s="675">
        <f>IS!AD36</f>
        <v/>
      </c>
      <c r="AF14" s="675">
        <f>IS!AE36</f>
        <v/>
      </c>
      <c r="AG14" s="675">
        <f>IS!AF36</f>
        <v/>
      </c>
      <c r="AI14" s="676">
        <f>SUM(T14:W14)</f>
        <v/>
      </c>
      <c r="AJ14" s="676">
        <f>SUM(X14:AA14)</f>
        <v/>
      </c>
    </row>
    <row r="15" ht="12.75" customHeight="1" s="223">
      <c r="D15" s="673" t="inlineStr">
        <is>
          <t>Adjustments required to reconcile net (loss) income to cash flows from operating activities:</t>
        </is>
      </c>
    </row>
    <row r="16" ht="12.75" customHeight="1" s="223">
      <c r="D16" s="674" t="inlineStr">
        <is>
          <t>Depreciation and amortization</t>
        </is>
      </c>
      <c r="F16" s="677" t="n">
        <v>86</v>
      </c>
      <c r="G16" s="677">
        <f>170-F16</f>
        <v/>
      </c>
      <c r="H16" s="677">
        <f>249-SUM(F16:G16)</f>
        <v/>
      </c>
      <c r="I16" s="676">
        <f>AC16-SUM(F16:H16)</f>
        <v/>
      </c>
      <c r="J16" s="677" t="n">
        <v>72</v>
      </c>
      <c r="K16" s="677">
        <f>140-J16</f>
        <v/>
      </c>
      <c r="L16" s="677">
        <f>205-SUM(J16:K16)</f>
        <v/>
      </c>
      <c r="M16" s="676">
        <f>AD16-SUM(J16:L16)</f>
        <v/>
      </c>
      <c r="N16" s="677" t="n">
        <v>64</v>
      </c>
      <c r="O16" s="677">
        <f>126-N16</f>
        <v/>
      </c>
      <c r="P16" s="677">
        <f>189-SUM(N16:O16)</f>
        <v/>
      </c>
      <c r="Q16" s="676">
        <f>AE16-SUM(N16:P16)</f>
        <v/>
      </c>
      <c r="R16" s="677" t="n">
        <v>59</v>
      </c>
      <c r="S16" s="677">
        <f>118-R16</f>
        <v/>
      </c>
      <c r="T16" s="677">
        <f>177-SUM(R16:S16)</f>
        <v/>
      </c>
      <c r="U16" s="676">
        <f>AF16-SUM(R16:T16)</f>
        <v/>
      </c>
      <c r="V16" s="677" t="n">
        <v>60</v>
      </c>
      <c r="W16" s="677">
        <f>117-V16</f>
        <v/>
      </c>
      <c r="X16" s="677">
        <f>224-SUM(V16:W16)</f>
        <v/>
      </c>
      <c r="Y16" s="676">
        <f>AG16-SUM(V16:X16)</f>
        <v/>
      </c>
      <c r="Z16" s="677" t="n">
        <v>100</v>
      </c>
      <c r="AA16" s="677">
        <f>201-Z16</f>
        <v/>
      </c>
      <c r="AC16" s="677" t="n">
        <v>327</v>
      </c>
      <c r="AD16" s="677" t="n">
        <v>270</v>
      </c>
      <c r="AE16" s="677" t="n">
        <v>251</v>
      </c>
      <c r="AF16" s="677" t="n">
        <v>274</v>
      </c>
      <c r="AG16" s="677" t="n">
        <v>331</v>
      </c>
      <c r="AI16" s="676">
        <f>SUM(T16:W16)</f>
        <v/>
      </c>
      <c r="AJ16" s="676">
        <f>SUM(X16:AA16)</f>
        <v/>
      </c>
    </row>
    <row r="17" ht="12.75" customHeight="1" s="223">
      <c r="D17" s="674" t="inlineStr">
        <is>
          <t>Provisions</t>
        </is>
      </c>
      <c r="F17" s="678" t="n">
        <v>20</v>
      </c>
      <c r="G17" s="678">
        <f>34-F17</f>
        <v/>
      </c>
      <c r="H17" s="678">
        <f>38-SUM(F17:G17)</f>
        <v/>
      </c>
      <c r="I17" s="679">
        <f>AC17-SUM(F17:H17)</f>
        <v/>
      </c>
      <c r="J17" s="678" t="n">
        <v>19</v>
      </c>
      <c r="K17" s="678">
        <f>35-J17</f>
        <v/>
      </c>
      <c r="L17" s="678">
        <f>48-SUM(J17:K17)</f>
        <v/>
      </c>
      <c r="M17" s="679">
        <f>AD17-SUM(J17:L17)</f>
        <v/>
      </c>
      <c r="N17" s="678" t="n">
        <v>0</v>
      </c>
      <c r="O17" s="678">
        <f>21-N17</f>
        <v/>
      </c>
      <c r="P17" s="678">
        <f>37-SUM(N17:O17)</f>
        <v/>
      </c>
      <c r="Q17" s="679">
        <f>AE17-SUM(N17:P17)</f>
        <v/>
      </c>
      <c r="R17" s="678" t="n">
        <v>57</v>
      </c>
      <c r="S17" s="678">
        <f>79-R17</f>
        <v/>
      </c>
      <c r="T17" s="678">
        <f>92-SUM(R17:S17)</f>
        <v/>
      </c>
      <c r="U17" s="679">
        <f>AF17-SUM(R17:T17)</f>
        <v/>
      </c>
      <c r="V17" s="678" t="n">
        <v>18</v>
      </c>
      <c r="W17" s="678">
        <f>48-V17</f>
        <v/>
      </c>
      <c r="X17" s="678">
        <f>67-SUM(V17:W17)</f>
        <v/>
      </c>
      <c r="Y17" s="679">
        <f>AG17-SUM(V17:X17)</f>
        <v/>
      </c>
      <c r="Z17" s="678" t="n">
        <v>18</v>
      </c>
      <c r="AA17" s="678">
        <f>36-Z17</f>
        <v/>
      </c>
      <c r="AC17" s="678" t="n">
        <v>46</v>
      </c>
      <c r="AD17" s="678" t="n">
        <v>65</v>
      </c>
      <c r="AE17" s="678" t="n">
        <v>54</v>
      </c>
      <c r="AF17" s="678" t="n">
        <v>110</v>
      </c>
      <c r="AG17" s="678" t="n">
        <v>85</v>
      </c>
      <c r="AI17" s="679">
        <f>SUM(T17:W17)</f>
        <v/>
      </c>
      <c r="AJ17" s="679">
        <f>SUM(X17:AA17)</f>
        <v/>
      </c>
    </row>
    <row r="18" ht="12.75" customHeight="1" s="223">
      <c r="D18" s="674" t="inlineStr">
        <is>
          <t>Net (gain) loss on early extinguishment of debt</t>
        </is>
      </c>
      <c r="F18" s="679" t="n"/>
      <c r="G18" s="679" t="n"/>
      <c r="H18" s="679" t="n"/>
      <c r="I18" s="679" t="n"/>
      <c r="J18" s="679" t="n"/>
      <c r="K18" s="679" t="n"/>
      <c r="L18" s="679" t="n"/>
      <c r="M18" s="679" t="n"/>
      <c r="N18" s="679" t="n"/>
      <c r="O18" s="679" t="n"/>
      <c r="P18" s="679" t="n"/>
      <c r="Q18" s="679" t="n"/>
      <c r="R18" s="679" t="n"/>
      <c r="S18" s="679" t="n"/>
      <c r="T18" s="679" t="n"/>
      <c r="U18" s="679" t="n"/>
      <c r="V18" s="679" t="n"/>
      <c r="W18" s="679" t="n"/>
      <c r="X18" s="679" t="n"/>
      <c r="Y18" s="679" t="n"/>
      <c r="Z18" s="678" t="n">
        <v>-56</v>
      </c>
      <c r="AA18" s="678">
        <f>-95-Z18</f>
        <v/>
      </c>
      <c r="AC18" s="679" t="n"/>
      <c r="AD18" s="679" t="n"/>
      <c r="AE18" s="679" t="n"/>
      <c r="AF18" s="679" t="n"/>
      <c r="AG18" s="679" t="n"/>
      <c r="AI18" s="679">
        <f>SUM(T18:W18)</f>
        <v/>
      </c>
      <c r="AJ18" s="679">
        <f>SUM(X18:AA18)</f>
        <v/>
      </c>
    </row>
    <row r="19" ht="12.75" customHeight="1" s="223">
      <c r="D19" s="674" t="inlineStr">
        <is>
          <t>Net (gain) loss on sales of businesses and assets</t>
        </is>
      </c>
      <c r="F19" s="678" t="n">
        <v>0</v>
      </c>
      <c r="G19" s="678">
        <f>-1-F19</f>
        <v/>
      </c>
      <c r="H19" s="678">
        <f>-40-SUM(F19:G19)</f>
        <v/>
      </c>
      <c r="I19" s="679">
        <f>AC19-SUM(F19:H19)</f>
        <v/>
      </c>
      <c r="J19" s="678" t="n">
        <v>0</v>
      </c>
      <c r="K19" s="678">
        <f>-1-J19</f>
        <v/>
      </c>
      <c r="L19" s="678">
        <f>-17-SUM(J19:K19)</f>
        <v/>
      </c>
      <c r="M19" s="679">
        <f>AD19-SUM(J19:L19)</f>
        <v/>
      </c>
      <c r="N19" s="678" t="n">
        <v>0</v>
      </c>
      <c r="O19" s="678">
        <f>-2-N19</f>
        <v/>
      </c>
      <c r="P19" s="678">
        <f>-37-SUM(N19:O19)</f>
        <v/>
      </c>
      <c r="Q19" s="679">
        <f>AE19-SUM(N19:P19)</f>
        <v/>
      </c>
      <c r="R19" s="678" t="n">
        <v>0</v>
      </c>
      <c r="S19" s="678">
        <f>-1-R19</f>
        <v/>
      </c>
      <c r="T19" s="678">
        <f>-3-SUM(R19:S19)</f>
        <v/>
      </c>
      <c r="U19" s="679">
        <f>AF19-SUM(R19:T19)</f>
        <v/>
      </c>
      <c r="V19" s="678" t="n">
        <v>-3</v>
      </c>
      <c r="W19" s="678">
        <f>-5-V19</f>
        <v/>
      </c>
      <c r="X19" s="678">
        <f>-6-SUM(V19:W19)</f>
        <v/>
      </c>
      <c r="Y19" s="679">
        <f>AG19-SUM(V19:X19)</f>
        <v/>
      </c>
      <c r="Z19" s="678" t="n">
        <v>2</v>
      </c>
      <c r="AA19" s="678">
        <f>2-Z19</f>
        <v/>
      </c>
      <c r="AC19" s="678" t="n">
        <v>-40</v>
      </c>
      <c r="AD19" s="678" t="n">
        <v>-56</v>
      </c>
      <c r="AE19" s="678" t="n">
        <v>-39</v>
      </c>
      <c r="AF19" s="678" t="n">
        <v>-8</v>
      </c>
      <c r="AG19" s="678" t="n">
        <v>-5</v>
      </c>
      <c r="AI19" s="679">
        <f>SUM(T19:W19)</f>
        <v/>
      </c>
      <c r="AJ19" s="679">
        <f>SUM(X19:AA19)</f>
        <v/>
      </c>
    </row>
    <row r="20" ht="12.75" customHeight="1" s="223">
      <c r="D20" s="674" t="inlineStr">
        <is>
          <t>Inventory-related purchase accounting adjustment, noncash (Lexmark)</t>
        </is>
      </c>
      <c r="F20" s="679" t="n"/>
      <c r="G20" s="679" t="n"/>
      <c r="H20" s="679" t="n"/>
      <c r="I20" s="679" t="n"/>
      <c r="J20" s="679" t="n"/>
      <c r="K20" s="679" t="n"/>
      <c r="L20" s="679" t="n"/>
      <c r="M20" s="679" t="n"/>
      <c r="N20" s="679" t="n"/>
      <c r="O20" s="679" t="n"/>
      <c r="P20" s="679" t="n"/>
      <c r="Q20" s="679" t="n"/>
      <c r="R20" s="679" t="n"/>
      <c r="S20" s="679" t="n"/>
      <c r="T20" s="679" t="n"/>
      <c r="U20" s="679" t="n"/>
      <c r="V20" s="678" t="n">
        <v>0</v>
      </c>
      <c r="W20" s="678">
        <f>0-V20</f>
        <v/>
      </c>
      <c r="X20" s="678">
        <f>102-SUM(V20:W20)</f>
        <v/>
      </c>
      <c r="Y20" s="679">
        <f>AG20-SUM(V20:X20)</f>
        <v/>
      </c>
      <c r="Z20" s="679" t="n"/>
      <c r="AA20" s="679" t="n"/>
      <c r="AC20" s="679" t="n"/>
      <c r="AD20" s="679" t="n"/>
      <c r="AE20" s="679" t="n"/>
      <c r="AF20" s="679" t="n"/>
      <c r="AG20" s="678" t="n">
        <v>102</v>
      </c>
      <c r="AI20" s="679">
        <f>SUM(T20:W20)</f>
        <v/>
      </c>
      <c r="AJ20" s="679">
        <f>SUM(X20:AA20)</f>
        <v/>
      </c>
    </row>
    <row r="21" ht="12.75" customHeight="1" s="223">
      <c r="D21" s="674" t="inlineStr">
        <is>
          <t>Effective settlement of pre-existing relationship between Lexmark and Xerox</t>
        </is>
      </c>
      <c r="F21" s="679" t="n"/>
      <c r="G21" s="679" t="n"/>
      <c r="H21" s="679" t="n"/>
      <c r="I21" s="679" t="n"/>
      <c r="J21" s="679" t="n"/>
      <c r="K21" s="679" t="n"/>
      <c r="L21" s="679" t="n"/>
      <c r="M21" s="679" t="n"/>
      <c r="N21" s="679" t="n"/>
      <c r="O21" s="679" t="n"/>
      <c r="P21" s="679" t="n"/>
      <c r="Q21" s="679" t="n"/>
      <c r="R21" s="679" t="n"/>
      <c r="S21" s="679" t="n"/>
      <c r="T21" s="679" t="n"/>
      <c r="U21" s="679" t="n"/>
      <c r="V21" s="678" t="n">
        <v>0</v>
      </c>
      <c r="W21" s="678">
        <f>0-V21</f>
        <v/>
      </c>
      <c r="X21" s="678">
        <f>-43-SUM(V21:W21)</f>
        <v/>
      </c>
      <c r="Y21" s="679">
        <f>AG21-SUM(V21:X21)</f>
        <v/>
      </c>
      <c r="Z21" s="679" t="n"/>
      <c r="AA21" s="679" t="n"/>
      <c r="AC21" s="679" t="n"/>
      <c r="AD21" s="679" t="n"/>
      <c r="AE21" s="679" t="n"/>
      <c r="AF21" s="679" t="n"/>
      <c r="AG21" s="678" t="n">
        <v>-43</v>
      </c>
      <c r="AI21" s="679">
        <f>SUM(T21:W21)</f>
        <v/>
      </c>
      <c r="AJ21" s="679">
        <f>SUM(X21:AA21)</f>
        <v/>
      </c>
    </row>
    <row r="22" ht="12.75" customHeight="1" s="223">
      <c r="D22" s="674" t="inlineStr">
        <is>
          <t>Divestitures</t>
        </is>
      </c>
      <c r="F22" s="680">
        <f>IS!E27</f>
        <v/>
      </c>
      <c r="G22" s="680">
        <f>IS!F27</f>
        <v/>
      </c>
      <c r="H22" s="680">
        <f>IS!G27</f>
        <v/>
      </c>
      <c r="I22" s="680">
        <f>IS!H27</f>
        <v/>
      </c>
      <c r="J22" s="680">
        <f>IS!I27</f>
        <v/>
      </c>
      <c r="K22" s="680">
        <f>IS!J27</f>
        <v/>
      </c>
      <c r="L22" s="680">
        <f>IS!K27</f>
        <v/>
      </c>
      <c r="M22" s="680">
        <f>IS!L27</f>
        <v/>
      </c>
      <c r="N22" s="680">
        <f>IS!M27</f>
        <v/>
      </c>
      <c r="O22" s="680">
        <f>IS!N27</f>
        <v/>
      </c>
      <c r="P22" s="680">
        <f>IS!O27</f>
        <v/>
      </c>
      <c r="Q22" s="680">
        <f>IS!P27</f>
        <v/>
      </c>
      <c r="R22" s="680">
        <f>IS!Q27</f>
        <v/>
      </c>
      <c r="S22" s="680">
        <f>IS!R27</f>
        <v/>
      </c>
      <c r="T22" s="680">
        <f>IS!S27</f>
        <v/>
      </c>
      <c r="U22" s="680">
        <f>IS!T27</f>
        <v/>
      </c>
      <c r="V22" s="680">
        <f>IS!U27</f>
        <v/>
      </c>
      <c r="W22" s="680">
        <f>IS!V27</f>
        <v/>
      </c>
      <c r="X22" s="680">
        <f>IS!W27</f>
        <v/>
      </c>
      <c r="Y22" s="680">
        <f>IS!X27</f>
        <v/>
      </c>
      <c r="Z22" s="680">
        <f>IS!Y27</f>
        <v/>
      </c>
      <c r="AA22" s="680">
        <f>IS!Z27</f>
        <v/>
      </c>
      <c r="AC22" s="680">
        <f>IS!AB27</f>
        <v/>
      </c>
      <c r="AD22" s="680">
        <f>IS!AC27</f>
        <v/>
      </c>
      <c r="AE22" s="680">
        <f>IS!AD27</f>
        <v/>
      </c>
      <c r="AF22" s="680">
        <f>IS!AE27</f>
        <v/>
      </c>
      <c r="AG22" s="680">
        <f>IS!AF27</f>
        <v/>
      </c>
      <c r="AI22" s="679">
        <f>SUM(T22:W22)</f>
        <v/>
      </c>
      <c r="AJ22" s="679">
        <f>SUM(X22:AA22)</f>
        <v/>
      </c>
    </row>
    <row r="23" ht="12.75" customHeight="1" s="223">
      <c r="D23" s="674" t="inlineStr">
        <is>
          <t>PARC donation</t>
        </is>
      </c>
      <c r="F23" s="680">
        <f>IS!E28</f>
        <v/>
      </c>
      <c r="G23" s="680">
        <f>IS!F28</f>
        <v/>
      </c>
      <c r="H23" s="680">
        <f>IS!G28</f>
        <v/>
      </c>
      <c r="I23" s="680">
        <f>IS!H28</f>
        <v/>
      </c>
      <c r="J23" s="680">
        <f>IS!I28</f>
        <v/>
      </c>
      <c r="K23" s="680">
        <f>IS!J28</f>
        <v/>
      </c>
      <c r="L23" s="680">
        <f>IS!K28</f>
        <v/>
      </c>
      <c r="M23" s="680">
        <f>IS!L28</f>
        <v/>
      </c>
      <c r="N23" s="680">
        <f>IS!M28</f>
        <v/>
      </c>
      <c r="O23" s="680">
        <f>IS!N28</f>
        <v/>
      </c>
      <c r="P23" s="680">
        <f>IS!O28</f>
        <v/>
      </c>
      <c r="Q23" s="680">
        <f>IS!P28</f>
        <v/>
      </c>
      <c r="R23" s="680">
        <f>IS!Q28</f>
        <v/>
      </c>
      <c r="S23" s="680">
        <f>IS!R28</f>
        <v/>
      </c>
      <c r="T23" s="680">
        <f>IS!S28</f>
        <v/>
      </c>
      <c r="U23" s="680">
        <f>IS!T28</f>
        <v/>
      </c>
      <c r="V23" s="680">
        <f>IS!U28</f>
        <v/>
      </c>
      <c r="W23" s="680">
        <f>IS!V28</f>
        <v/>
      </c>
      <c r="X23" s="680">
        <f>IS!W28</f>
        <v/>
      </c>
      <c r="Y23" s="680">
        <f>IS!X28</f>
        <v/>
      </c>
      <c r="Z23" s="680">
        <f>IS!Y28</f>
        <v/>
      </c>
      <c r="AA23" s="680">
        <f>IS!Z28</f>
        <v/>
      </c>
      <c r="AC23" s="680">
        <f>IS!AB28</f>
        <v/>
      </c>
      <c r="AD23" s="680">
        <f>IS!AC28</f>
        <v/>
      </c>
      <c r="AE23" s="680">
        <f>IS!AD28</f>
        <v/>
      </c>
      <c r="AF23" s="680">
        <f>IS!AE28</f>
        <v/>
      </c>
      <c r="AG23" s="680">
        <f>IS!AF28</f>
        <v/>
      </c>
      <c r="AI23" s="679">
        <f>SUM(T23:W23)</f>
        <v/>
      </c>
      <c r="AJ23" s="679">
        <f>SUM(X23:AA23)</f>
        <v/>
      </c>
    </row>
    <row r="24" ht="12.75" customHeight="1" s="223">
      <c r="D24" s="674" t="inlineStr">
        <is>
          <t>Goodwill impairment</t>
        </is>
      </c>
      <c r="F24" s="680">
        <f>IS!E24</f>
        <v/>
      </c>
      <c r="G24" s="680">
        <f>IS!F24</f>
        <v/>
      </c>
      <c r="H24" s="680">
        <f>IS!G24</f>
        <v/>
      </c>
      <c r="I24" s="680">
        <f>IS!H24</f>
        <v/>
      </c>
      <c r="J24" s="680">
        <f>IS!I24</f>
        <v/>
      </c>
      <c r="K24" s="680">
        <f>IS!J24</f>
        <v/>
      </c>
      <c r="L24" s="680">
        <f>IS!K24</f>
        <v/>
      </c>
      <c r="M24" s="680">
        <f>IS!L24</f>
        <v/>
      </c>
      <c r="N24" s="680">
        <f>IS!M24</f>
        <v/>
      </c>
      <c r="O24" s="680">
        <f>IS!N24</f>
        <v/>
      </c>
      <c r="P24" s="680">
        <f>IS!O24</f>
        <v/>
      </c>
      <c r="Q24" s="680">
        <f>IS!P24</f>
        <v/>
      </c>
      <c r="R24" s="680">
        <f>IS!Q24</f>
        <v/>
      </c>
      <c r="S24" s="680">
        <f>IS!R24</f>
        <v/>
      </c>
      <c r="T24" s="680">
        <f>IS!S24</f>
        <v/>
      </c>
      <c r="U24" s="680">
        <f>IS!T24</f>
        <v/>
      </c>
      <c r="V24" s="680">
        <f>IS!U24</f>
        <v/>
      </c>
      <c r="W24" s="680">
        <f>IS!V24</f>
        <v/>
      </c>
      <c r="X24" s="680">
        <f>IS!W24</f>
        <v/>
      </c>
      <c r="Y24" s="680">
        <f>IS!X24</f>
        <v/>
      </c>
      <c r="Z24" s="680">
        <f>IS!Y24</f>
        <v/>
      </c>
      <c r="AA24" s="680">
        <f>IS!Z24</f>
        <v/>
      </c>
      <c r="AC24" s="680">
        <f>IS!AB24</f>
        <v/>
      </c>
      <c r="AD24" s="680">
        <f>IS!AC24</f>
        <v/>
      </c>
      <c r="AE24" s="680">
        <f>IS!AD24</f>
        <v/>
      </c>
      <c r="AF24" s="680">
        <f>IS!AE24</f>
        <v/>
      </c>
      <c r="AG24" s="680">
        <f>IS!AF24</f>
        <v/>
      </c>
      <c r="AI24" s="679">
        <f>SUM(T24:W24)</f>
        <v/>
      </c>
      <c r="AJ24" s="679">
        <f>SUM(X24:AA24)</f>
        <v/>
      </c>
    </row>
    <row r="25" ht="12.75" customHeight="1" s="223">
      <c r="D25" s="674" t="inlineStr">
        <is>
          <t>Stock-based compensation</t>
        </is>
      </c>
      <c r="F25" s="678" t="n">
        <v>16</v>
      </c>
      <c r="G25" s="678">
        <f>30-F25</f>
        <v/>
      </c>
      <c r="H25" s="678">
        <f>44-SUM(F25:G25)</f>
        <v/>
      </c>
      <c r="I25" s="679">
        <f>AC25-SUM(F25:H25)</f>
        <v/>
      </c>
      <c r="J25" s="678" t="n">
        <v>15</v>
      </c>
      <c r="K25" s="678">
        <f>50-J25</f>
        <v/>
      </c>
      <c r="L25" s="678">
        <f>63-SUM(J25:K25)</f>
        <v/>
      </c>
      <c r="M25" s="679">
        <f>AD25-SUM(J25:L25)</f>
        <v/>
      </c>
      <c r="N25" s="678" t="n">
        <v>14</v>
      </c>
      <c r="O25" s="678">
        <f>28-N25</f>
        <v/>
      </c>
      <c r="P25" s="678">
        <f>40-SUM(N25:O25)</f>
        <v/>
      </c>
      <c r="Q25" s="679">
        <f>AE25-SUM(N25:P25)</f>
        <v/>
      </c>
      <c r="R25" s="678" t="n">
        <v>12</v>
      </c>
      <c r="S25" s="678">
        <f>29-R25</f>
        <v/>
      </c>
      <c r="T25" s="678">
        <f>38-SUM(R25:S25)</f>
        <v/>
      </c>
      <c r="U25" s="679">
        <f>AF25-SUM(R25:T25)</f>
        <v/>
      </c>
      <c r="V25" s="678" t="n">
        <v>12</v>
      </c>
      <c r="W25" s="678">
        <f>26-V25</f>
        <v/>
      </c>
      <c r="X25" s="678">
        <f>33-SUM(V25:W25)</f>
        <v/>
      </c>
      <c r="Y25" s="679">
        <f>AG25-SUM(V25:X25)</f>
        <v/>
      </c>
      <c r="Z25" s="678" t="n">
        <v>9</v>
      </c>
      <c r="AA25" s="678">
        <f>18-Z25</f>
        <v/>
      </c>
      <c r="AC25" s="678" t="n">
        <v>54</v>
      </c>
      <c r="AD25" s="678" t="n">
        <v>75</v>
      </c>
      <c r="AE25" s="678" t="n">
        <v>54</v>
      </c>
      <c r="AF25" s="678" t="n">
        <v>52</v>
      </c>
      <c r="AG25" s="678" t="n">
        <v>45</v>
      </c>
      <c r="AI25" s="679">
        <f>SUM(T25:W25)</f>
        <v/>
      </c>
      <c r="AJ25" s="679">
        <f>SUM(X25:AA25)</f>
        <v/>
      </c>
    </row>
    <row r="26" ht="12.75" customHeight="1" s="223">
      <c r="D26" s="674" t="inlineStr">
        <is>
          <t>Restructuring and asset impairment charges</t>
        </is>
      </c>
      <c r="F26" s="678" t="n">
        <v>21</v>
      </c>
      <c r="G26" s="678">
        <f>25-F26</f>
        <v/>
      </c>
      <c r="H26" s="678">
        <f>28-SUM(F26:G26)</f>
        <v/>
      </c>
      <c r="I26" s="679">
        <f>AC26-SUM(F26:H26)</f>
        <v/>
      </c>
      <c r="J26" s="678" t="n">
        <v>20</v>
      </c>
      <c r="K26" s="678">
        <f>22-J26</f>
        <v/>
      </c>
      <c r="L26" s="678">
        <f>44-SUM(J26:K26)</f>
        <v/>
      </c>
      <c r="M26" s="679">
        <f>AD26-SUM(J26:L26)</f>
        <v/>
      </c>
      <c r="N26" s="678" t="n">
        <v>1</v>
      </c>
      <c r="O26" s="678">
        <f>14-N26</f>
        <v/>
      </c>
      <c r="P26" s="678">
        <f>25-SUM(N26:O26)</f>
        <v/>
      </c>
      <c r="Q26" s="679">
        <f>AE26-SUM(N26:P26)</f>
        <v/>
      </c>
      <c r="R26" s="678" t="n">
        <v>31</v>
      </c>
      <c r="S26" s="678">
        <f>34-R26</f>
        <v/>
      </c>
      <c r="T26" s="678">
        <f>80-SUM(R26:S26)</f>
        <v/>
      </c>
      <c r="U26" s="679">
        <f>AF26-SUM(R26:T26)</f>
        <v/>
      </c>
      <c r="V26" s="678" t="n">
        <v>-1</v>
      </c>
      <c r="W26" s="678">
        <f>10-V26</f>
        <v/>
      </c>
      <c r="X26" s="678">
        <f>69-SUM(V26:W26)</f>
        <v/>
      </c>
      <c r="Y26" s="679">
        <f>AG26-SUM(V26:X26)</f>
        <v/>
      </c>
      <c r="Z26" s="678" t="n">
        <v>44</v>
      </c>
      <c r="AA26" s="678">
        <f>65-Z26</f>
        <v/>
      </c>
      <c r="AC26" s="678" t="n">
        <v>27</v>
      </c>
      <c r="AD26" s="678" t="n">
        <v>62</v>
      </c>
      <c r="AE26" s="678" t="n">
        <v>146</v>
      </c>
      <c r="AF26" s="678" t="n">
        <v>87</v>
      </c>
      <c r="AG26" s="678" t="n">
        <v>67</v>
      </c>
      <c r="AI26" s="679">
        <f>SUM(T26:W26)</f>
        <v/>
      </c>
      <c r="AJ26" s="679">
        <f>SUM(X26:AA26)</f>
        <v/>
      </c>
    </row>
    <row r="27" ht="12.75" customHeight="1" s="223">
      <c r="D27" s="674" t="inlineStr">
        <is>
          <t>Payments for restructurings</t>
        </is>
      </c>
      <c r="F27" s="678" t="n">
        <v>-27</v>
      </c>
      <c r="G27" s="678">
        <f>-49-F27</f>
        <v/>
      </c>
      <c r="H27" s="678">
        <f>-61-SUM(F27:G27)</f>
        <v/>
      </c>
      <c r="I27" s="679">
        <f>AC27-SUM(F27:H27)</f>
        <v/>
      </c>
      <c r="J27" s="678" t="n">
        <v>-7</v>
      </c>
      <c r="K27" s="678">
        <f>-21-J27</f>
        <v/>
      </c>
      <c r="L27" s="678">
        <f>-38-SUM(J27:K27)</f>
        <v/>
      </c>
      <c r="M27" s="679">
        <f>AD27-SUM(J27:L27)</f>
        <v/>
      </c>
      <c r="N27" s="678" t="n">
        <v>-6</v>
      </c>
      <c r="O27" s="678">
        <f>-14-N27</f>
        <v/>
      </c>
      <c r="P27" s="678">
        <f>-23-SUM(N27:O27)</f>
        <v/>
      </c>
      <c r="Q27" s="679">
        <f>AE27-SUM(N27:P27)</f>
        <v/>
      </c>
      <c r="R27" s="678" t="n">
        <v>-16</v>
      </c>
      <c r="S27" s="678">
        <f>-47-R27</f>
        <v/>
      </c>
      <c r="T27" s="678">
        <f>-58-SUM(R27:S27)</f>
        <v/>
      </c>
      <c r="U27" s="679">
        <f>AF27-SUM(R27:T27)</f>
        <v/>
      </c>
      <c r="V27" s="678" t="n">
        <v>-18</v>
      </c>
      <c r="W27" s="678">
        <f>-33-V27</f>
        <v/>
      </c>
      <c r="X27" s="678">
        <f>-41-SUM(V27:W27)</f>
        <v/>
      </c>
      <c r="Y27" s="679">
        <f>AG27-SUM(V27:X27)</f>
        <v/>
      </c>
      <c r="Z27" s="678" t="n">
        <v>-21</v>
      </c>
      <c r="AA27" s="678">
        <f>-40-Z27</f>
        <v/>
      </c>
      <c r="AC27" s="678" t="n">
        <v>-72</v>
      </c>
      <c r="AD27" s="678" t="n">
        <v>-52</v>
      </c>
      <c r="AE27" s="678" t="n">
        <v>-27</v>
      </c>
      <c r="AF27" s="678" t="n">
        <v>-78</v>
      </c>
      <c r="AG27" s="678" t="n">
        <v>-69</v>
      </c>
      <c r="AI27" s="679">
        <f>SUM(T27:W27)</f>
        <v/>
      </c>
      <c r="AJ27" s="679">
        <f>SUM(X27:AA27)</f>
        <v/>
      </c>
    </row>
    <row r="28" ht="12.75" customHeight="1" s="223">
      <c r="D28" s="674" t="inlineStr">
        <is>
          <t>Non-service retirement-related costs</t>
        </is>
      </c>
      <c r="F28" s="678" t="n">
        <v>0</v>
      </c>
      <c r="G28" s="678">
        <f>-2-F28</f>
        <v/>
      </c>
      <c r="H28" s="678">
        <f>-5-SUM(F28:G28)</f>
        <v/>
      </c>
      <c r="I28" s="679">
        <f>AC28-SUM(F28:H28)</f>
        <v/>
      </c>
      <c r="J28" s="678" t="n">
        <v>-7</v>
      </c>
      <c r="K28" s="678">
        <f>-11-J28</f>
        <v/>
      </c>
      <c r="L28" s="678">
        <f>-18-SUM(J28:K28)</f>
        <v/>
      </c>
      <c r="M28" s="679">
        <f>AD28-SUM(J28:L28)</f>
        <v/>
      </c>
      <c r="N28" s="678" t="n">
        <v>-1</v>
      </c>
      <c r="O28" s="678">
        <f>10-N28</f>
        <v/>
      </c>
      <c r="P28" s="678">
        <f>14-SUM(N28:O28)</f>
        <v/>
      </c>
      <c r="Q28" s="679">
        <f>AE28-SUM(N28:P28)</f>
        <v/>
      </c>
      <c r="R28" s="678" t="n">
        <v>23</v>
      </c>
      <c r="S28" s="678">
        <f>49-R28</f>
        <v/>
      </c>
      <c r="T28" s="678">
        <f>74-SUM(R28:S28)</f>
        <v/>
      </c>
      <c r="U28" s="679">
        <f>AF28-SUM(R28:T28)</f>
        <v/>
      </c>
      <c r="V28" s="678" t="n">
        <v>18</v>
      </c>
      <c r="W28" s="678">
        <f>37-V28</f>
        <v/>
      </c>
      <c r="X28" s="678">
        <f>57-SUM(V28:W28)</f>
        <v/>
      </c>
      <c r="Y28" s="679">
        <f>AG28-SUM(V28:X28)</f>
        <v/>
      </c>
      <c r="Z28" s="678" t="n">
        <v>21</v>
      </c>
      <c r="AA28" s="678">
        <f>42-Z28</f>
        <v/>
      </c>
      <c r="AC28" s="678" t="n">
        <v>-10</v>
      </c>
      <c r="AD28" s="678" t="n">
        <v>-12</v>
      </c>
      <c r="AE28" s="678" t="n">
        <v>19</v>
      </c>
      <c r="AF28" s="678" t="n">
        <v>80</v>
      </c>
      <c r="AG28" s="678" t="n">
        <v>78</v>
      </c>
      <c r="AI28" s="679">
        <f>SUM(T28:W28)</f>
        <v/>
      </c>
      <c r="AJ28" s="679">
        <f>SUM(X28:AA28)</f>
        <v/>
      </c>
    </row>
    <row r="29" ht="12.75" customHeight="1" s="223">
      <c r="D29" s="674" t="inlineStr">
        <is>
          <t>Contributions to retirement plans</t>
        </is>
      </c>
      <c r="F29" s="678" t="n">
        <v>-35</v>
      </c>
      <c r="G29" s="678">
        <f>-69-F29</f>
        <v/>
      </c>
      <c r="H29" s="678">
        <f>-102-SUM(F29:G29)</f>
        <v/>
      </c>
      <c r="I29" s="679">
        <f>AC29-SUM(F29:H29)</f>
        <v/>
      </c>
      <c r="J29" s="678" t="n">
        <v>-38</v>
      </c>
      <c r="K29" s="678">
        <f>-72-J29</f>
        <v/>
      </c>
      <c r="L29" s="678">
        <f>-106-SUM(J29:K29)</f>
        <v/>
      </c>
      <c r="M29" s="679">
        <f>AD29-SUM(J29:L29)</f>
        <v/>
      </c>
      <c r="N29" s="678" t="n">
        <v>-17</v>
      </c>
      <c r="O29" s="678">
        <f>-32-N29</f>
        <v/>
      </c>
      <c r="P29" s="678">
        <f>-75-SUM(N29:O29)</f>
        <v/>
      </c>
      <c r="Q29" s="679">
        <f>AE29-SUM(N29:P29)</f>
        <v/>
      </c>
      <c r="R29" s="678" t="n">
        <v>-31</v>
      </c>
      <c r="S29" s="678">
        <f>-58-R29</f>
        <v/>
      </c>
      <c r="T29" s="678">
        <f>-114-SUM(R29:S29)</f>
        <v/>
      </c>
      <c r="U29" s="679">
        <f>AF29-SUM(R29:T29)</f>
        <v/>
      </c>
      <c r="V29" s="678" t="n">
        <v>-34</v>
      </c>
      <c r="W29" s="678">
        <f>-67-V29</f>
        <v/>
      </c>
      <c r="X29" s="678">
        <f>-123-SUM(V29:W29)</f>
        <v/>
      </c>
      <c r="Y29" s="679">
        <f>AG29-SUM(V29:X29)</f>
        <v/>
      </c>
      <c r="Z29" s="678" t="n">
        <v>-36</v>
      </c>
      <c r="AA29" s="678">
        <f>-72-Z29</f>
        <v/>
      </c>
      <c r="AC29" s="678" t="n">
        <v>-135</v>
      </c>
      <c r="AD29" s="678" t="n">
        <v>-124</v>
      </c>
      <c r="AE29" s="678" t="n">
        <v>-102</v>
      </c>
      <c r="AF29" s="678" t="n">
        <v>-145</v>
      </c>
      <c r="AG29" s="678" t="n">
        <v>-161</v>
      </c>
      <c r="AI29" s="679">
        <f>SUM(T29:W29)</f>
        <v/>
      </c>
      <c r="AJ29" s="679">
        <f>SUM(X29:AA29)</f>
        <v/>
      </c>
    </row>
    <row r="30" ht="12.75" customHeight="1" s="223">
      <c r="D30" s="673" t="inlineStr">
        <is>
          <t>Changes in operating assets and liabilities:</t>
        </is>
      </c>
    </row>
    <row r="31" ht="12.75" customHeight="1" s="223">
      <c r="D31" s="674" t="inlineStr">
        <is>
          <t>(Increase) decrease in accounts receivable and billed portion of finance receivables</t>
        </is>
      </c>
      <c r="F31" s="678" t="n">
        <v>92</v>
      </c>
      <c r="G31" s="678">
        <f>37-F31</f>
        <v/>
      </c>
      <c r="H31" s="678">
        <f>-30-SUM(F31:G31)</f>
        <v/>
      </c>
      <c r="I31" s="679">
        <f>AC31-SUM(F31:H31)</f>
        <v/>
      </c>
      <c r="J31" s="678" t="n">
        <v>13</v>
      </c>
      <c r="K31" s="678">
        <f>-49-J31</f>
        <v/>
      </c>
      <c r="L31" s="678">
        <f>-48-SUM(J31:K31)</f>
        <v/>
      </c>
      <c r="M31" s="679">
        <f>AD31-SUM(J31:L31)</f>
        <v/>
      </c>
      <c r="N31" s="678" t="n">
        <v>39</v>
      </c>
      <c r="O31" s="678">
        <f>-36-N31</f>
        <v/>
      </c>
      <c r="P31" s="678">
        <f>-47-SUM(N31:O31)</f>
        <v/>
      </c>
      <c r="Q31" s="679">
        <f>AE31-SUM(N31:P31)</f>
        <v/>
      </c>
      <c r="R31" s="678" t="n">
        <v>-19</v>
      </c>
      <c r="S31" s="678">
        <f>-32-R31</f>
        <v/>
      </c>
      <c r="T31" s="678">
        <f>18-SUM(R31:S31)</f>
        <v/>
      </c>
      <c r="U31" s="679">
        <f>AF31-SUM(R31:T31)</f>
        <v/>
      </c>
      <c r="V31" s="678" t="n">
        <v>-12</v>
      </c>
      <c r="W31" s="678">
        <f>-44-V31</f>
        <v/>
      </c>
      <c r="X31" s="678">
        <f>-41-SUM(V31:W31)</f>
        <v/>
      </c>
      <c r="Y31" s="679">
        <f>AG31-SUM(V31:X31)</f>
        <v/>
      </c>
      <c r="Z31" s="678" t="n">
        <v>-106</v>
      </c>
      <c r="AA31" s="678">
        <f>-86-Z31</f>
        <v/>
      </c>
      <c r="AC31" s="678" t="n">
        <v>41</v>
      </c>
      <c r="AD31" s="678" t="n">
        <v>-48</v>
      </c>
      <c r="AE31" s="678" t="n">
        <v>-5</v>
      </c>
      <c r="AF31" s="678" t="n">
        <v>71</v>
      </c>
      <c r="AG31" s="678" t="n">
        <v>-36</v>
      </c>
      <c r="AI31" s="679">
        <f>SUM(T31:W31)</f>
        <v/>
      </c>
      <c r="AJ31" s="679">
        <f>SUM(X31:AA31)</f>
        <v/>
      </c>
    </row>
    <row r="32" ht="12.75" customHeight="1" s="223">
      <c r="D32" s="674" t="inlineStr">
        <is>
          <t>(Increase) decrease in inventories</t>
        </is>
      </c>
      <c r="F32" s="678" t="n">
        <v>-18</v>
      </c>
      <c r="G32" s="678">
        <f>4-F32</f>
        <v/>
      </c>
      <c r="H32" s="678">
        <f>10-SUM(F32:G32)</f>
        <v/>
      </c>
      <c r="I32" s="679">
        <f>AC32-SUM(F32:H32)</f>
        <v/>
      </c>
      <c r="J32" s="678" t="n">
        <v>-31</v>
      </c>
      <c r="K32" s="678">
        <f>-95-J32</f>
        <v/>
      </c>
      <c r="L32" s="678">
        <f>-136-SUM(J32:K32)</f>
        <v/>
      </c>
      <c r="M32" s="679">
        <f>AD32-SUM(J32:L32)</f>
        <v/>
      </c>
      <c r="N32" s="678" t="n">
        <v>-64</v>
      </c>
      <c r="O32" s="678">
        <f>12-N32</f>
        <v/>
      </c>
      <c r="P32" s="678">
        <f>50-SUM(N32:O32)</f>
        <v/>
      </c>
      <c r="Q32" s="679">
        <f>AE32-SUM(N32:P32)</f>
        <v/>
      </c>
      <c r="R32" s="678" t="n">
        <v>-133</v>
      </c>
      <c r="S32" s="678">
        <f>-148-R32</f>
        <v/>
      </c>
      <c r="T32" s="678">
        <f>-136-SUM(R32:S32)</f>
        <v/>
      </c>
      <c r="U32" s="679">
        <f>AF32-SUM(R32:T32)</f>
        <v/>
      </c>
      <c r="V32" s="678" t="n">
        <v>-137</v>
      </c>
      <c r="W32" s="678">
        <f>-160-V32</f>
        <v/>
      </c>
      <c r="X32" s="678">
        <f>-123-SUM(V32:W32)</f>
        <v/>
      </c>
      <c r="Y32" s="679">
        <f>AG32-SUM(V32:X32)</f>
        <v/>
      </c>
      <c r="Z32" s="678" t="n">
        <v>-49</v>
      </c>
      <c r="AA32" s="678">
        <f>-60-Z32</f>
        <v/>
      </c>
      <c r="AC32" s="678" t="n">
        <v>88</v>
      </c>
      <c r="AD32" s="678" t="n">
        <v>-143</v>
      </c>
      <c r="AE32" s="678" t="n">
        <v>123</v>
      </c>
      <c r="AF32" s="678" t="n">
        <v>-122</v>
      </c>
      <c r="AG32" s="678" t="n">
        <v>-12</v>
      </c>
      <c r="AI32" s="679">
        <f>SUM(T32:W32)</f>
        <v/>
      </c>
      <c r="AJ32" s="679">
        <f>SUM(X32:AA32)</f>
        <v/>
      </c>
    </row>
    <row r="33" ht="12.75" customHeight="1" s="223">
      <c r="D33" s="674" t="inlineStr">
        <is>
          <t>Increase in equipment on operating leases</t>
        </is>
      </c>
      <c r="F33" s="678" t="n">
        <v>-28</v>
      </c>
      <c r="G33" s="678">
        <f>-63-F33</f>
        <v/>
      </c>
      <c r="H33" s="678">
        <f>-92-SUM(F33:G33)</f>
        <v/>
      </c>
      <c r="I33" s="679">
        <f>AC33-SUM(F33:H33)</f>
        <v/>
      </c>
      <c r="J33" s="678" t="n">
        <v>-36</v>
      </c>
      <c r="K33" s="678">
        <f>-47-J33</f>
        <v/>
      </c>
      <c r="L33" s="678">
        <f>-74-SUM(J33:K33)</f>
        <v/>
      </c>
      <c r="M33" s="679">
        <f>AD33-SUM(J33:L33)</f>
        <v/>
      </c>
      <c r="N33" s="678" t="n">
        <v>-40</v>
      </c>
      <c r="O33" s="678">
        <f>-77-N33</f>
        <v/>
      </c>
      <c r="P33" s="678">
        <f>-109-SUM(N33:O33)</f>
        <v/>
      </c>
      <c r="Q33" s="679">
        <f>AE33-SUM(N33:P33)</f>
        <v/>
      </c>
      <c r="R33" s="678" t="n">
        <v>-22</v>
      </c>
      <c r="S33" s="678">
        <f>-50-R33</f>
        <v/>
      </c>
      <c r="T33" s="678">
        <f>-78-SUM(R33:S33)</f>
        <v/>
      </c>
      <c r="U33" s="679">
        <f>AF33-SUM(R33:T33)</f>
        <v/>
      </c>
      <c r="V33" s="678" t="n">
        <v>-30</v>
      </c>
      <c r="W33" s="678">
        <f>-52-V33</f>
        <v/>
      </c>
      <c r="X33" s="678">
        <f>-88-SUM(V33:W33)</f>
        <v/>
      </c>
      <c r="Y33" s="679">
        <f>AG33-SUM(V33:X33)</f>
        <v/>
      </c>
      <c r="Z33" s="678" t="n">
        <v>-32</v>
      </c>
      <c r="AA33" s="678">
        <f>-67-Z33</f>
        <v/>
      </c>
      <c r="AC33" s="678" t="n">
        <v>-129</v>
      </c>
      <c r="AD33" s="678" t="n">
        <v>-112</v>
      </c>
      <c r="AE33" s="678" t="n">
        <v>-141</v>
      </c>
      <c r="AF33" s="678" t="n">
        <v>-107</v>
      </c>
      <c r="AG33" s="678" t="n">
        <v>-126</v>
      </c>
      <c r="AI33" s="679">
        <f>SUM(T33:W33)</f>
        <v/>
      </c>
      <c r="AJ33" s="679">
        <f>SUM(X33:AA33)</f>
        <v/>
      </c>
    </row>
    <row r="34" ht="12.75" customHeight="1" s="223">
      <c r="D34" s="674" t="inlineStr">
        <is>
          <t>Decrease (increase) in finance receivables</t>
        </is>
      </c>
      <c r="F34" s="678" t="n">
        <v>37</v>
      </c>
      <c r="G34" s="678">
        <f>12-F34</f>
        <v/>
      </c>
      <c r="H34" s="678">
        <f>33-SUM(F34:G34)</f>
        <v/>
      </c>
      <c r="I34" s="679">
        <f>AC34-SUM(F34:H34)</f>
        <v/>
      </c>
      <c r="J34" s="678" t="n">
        <v>41</v>
      </c>
      <c r="K34" s="678">
        <f>17-J34</f>
        <v/>
      </c>
      <c r="L34" s="678">
        <f>-10-SUM(J34:K34)</f>
        <v/>
      </c>
      <c r="M34" s="679">
        <f>AD34-SUM(J34:L34)</f>
        <v/>
      </c>
      <c r="N34" s="678" t="n">
        <v>160</v>
      </c>
      <c r="O34" s="678">
        <f>407-N34</f>
        <v/>
      </c>
      <c r="P34" s="678">
        <f>490-SUM(N34:O34)</f>
        <v/>
      </c>
      <c r="Q34" s="679">
        <f>AE34-SUM(N34:P34)</f>
        <v/>
      </c>
      <c r="R34" s="678" t="n">
        <v>210</v>
      </c>
      <c r="S34" s="678">
        <f>399-R34</f>
        <v/>
      </c>
      <c r="T34" s="678">
        <f>496-SUM(R34:S34)</f>
        <v/>
      </c>
      <c r="U34" s="679">
        <f>AF34-SUM(R34:T34)</f>
        <v/>
      </c>
      <c r="V34" s="678" t="n">
        <v>128</v>
      </c>
      <c r="W34" s="678">
        <f>212-V34</f>
        <v/>
      </c>
      <c r="X34" s="678">
        <f>338-SUM(V34:W34)</f>
        <v/>
      </c>
      <c r="Y34" s="679">
        <f>AG34-SUM(V34:X34)</f>
        <v/>
      </c>
      <c r="Z34" s="678" t="n">
        <v>66</v>
      </c>
      <c r="AA34" s="678">
        <f>157-Z34</f>
        <v/>
      </c>
      <c r="AC34" s="678" t="n">
        <v>20</v>
      </c>
      <c r="AD34" s="678" t="n">
        <v>-141</v>
      </c>
      <c r="AE34" s="678" t="n">
        <v>614</v>
      </c>
      <c r="AF34" s="678" t="n">
        <v>663</v>
      </c>
      <c r="AG34" s="678" t="n">
        <v>489</v>
      </c>
      <c r="AI34" s="679">
        <f>SUM(T34:W34)</f>
        <v/>
      </c>
      <c r="AJ34" s="679">
        <f>SUM(X34:AA34)</f>
        <v/>
      </c>
    </row>
    <row r="35" ht="12.75" customHeight="1" s="223">
      <c r="D35" s="674" t="inlineStr">
        <is>
          <t>(Increase) decrease in other current and long-term assets</t>
        </is>
      </c>
      <c r="F35" s="678" t="n">
        <v>18</v>
      </c>
      <c r="G35" s="678">
        <f>66-F35</f>
        <v/>
      </c>
      <c r="H35" s="678">
        <f>64-SUM(F35:G35)</f>
        <v/>
      </c>
      <c r="I35" s="679">
        <f>AC35-SUM(F35:H35)</f>
        <v/>
      </c>
      <c r="J35" s="678" t="n">
        <v>-1</v>
      </c>
      <c r="K35" s="678">
        <f>35-J35</f>
        <v/>
      </c>
      <c r="L35" s="678">
        <f>36-SUM(J35:K35)</f>
        <v/>
      </c>
      <c r="M35" s="679">
        <f>AD35-SUM(J35:L35)</f>
        <v/>
      </c>
      <c r="N35" s="678" t="n">
        <v>3</v>
      </c>
      <c r="O35" s="678">
        <f>15-N35</f>
        <v/>
      </c>
      <c r="P35" s="678">
        <f>-8-SUM(N35:O35)</f>
        <v/>
      </c>
      <c r="Q35" s="679">
        <f>AE35-SUM(N35:P35)</f>
        <v/>
      </c>
      <c r="R35" s="678" t="n">
        <v>-2</v>
      </c>
      <c r="S35" s="678">
        <f>14-R35</f>
        <v/>
      </c>
      <c r="T35" s="678">
        <f>16-SUM(R35:S35)</f>
        <v/>
      </c>
      <c r="U35" s="679">
        <f>AF35-SUM(R35:T35)</f>
        <v/>
      </c>
      <c r="V35" s="678" t="n">
        <v>-16</v>
      </c>
      <c r="W35" s="678">
        <f>16-V35</f>
        <v/>
      </c>
      <c r="X35" s="678">
        <f>4-SUM(V35:W35)</f>
        <v/>
      </c>
      <c r="Y35" s="679">
        <f>AG35-SUM(V35:X35)</f>
        <v/>
      </c>
      <c r="Z35" s="678" t="n">
        <v>-38</v>
      </c>
      <c r="AA35" s="678">
        <f>-120-Z35</f>
        <v/>
      </c>
      <c r="AC35" s="678" t="n">
        <v>68</v>
      </c>
      <c r="AD35" s="678" t="n">
        <v>27</v>
      </c>
      <c r="AE35" s="678" t="n">
        <v>16</v>
      </c>
      <c r="AF35" s="678" t="n">
        <v>-14</v>
      </c>
      <c r="AG35" s="678" t="n">
        <v>9</v>
      </c>
      <c r="AI35" s="679">
        <f>SUM(T35:W35)</f>
        <v/>
      </c>
      <c r="AJ35" s="679">
        <f>SUM(X35:AA35)</f>
        <v/>
      </c>
    </row>
    <row r="36" ht="12.75" customHeight="1" s="223">
      <c r="D36" s="674" t="inlineStr">
        <is>
          <t>Increase (decrease) in accounts payable</t>
        </is>
      </c>
      <c r="F36" s="678" t="n">
        <v>-31</v>
      </c>
      <c r="G36" s="678">
        <f>-33-F36</f>
        <v/>
      </c>
      <c r="H36" s="678">
        <f>74-SUM(F36:G36)</f>
        <v/>
      </c>
      <c r="I36" s="679">
        <f>AC36-SUM(F36:H36)</f>
        <v/>
      </c>
      <c r="J36" s="678" t="n">
        <v>111</v>
      </c>
      <c r="K36" s="678">
        <f>172-J36</f>
        <v/>
      </c>
      <c r="L36" s="678">
        <f>198-SUM(J36:K36)</f>
        <v/>
      </c>
      <c r="M36" s="679">
        <f>AD36-SUM(J36:L36)</f>
        <v/>
      </c>
      <c r="N36" s="678" t="n">
        <v>-41</v>
      </c>
      <c r="O36" s="678">
        <f>-290-N36</f>
        <v/>
      </c>
      <c r="P36" s="678">
        <f>-290-SUM(N36:O36)</f>
        <v/>
      </c>
      <c r="Q36" s="679">
        <f>AE36-SUM(N36:P36)</f>
        <v/>
      </c>
      <c r="R36" s="678" t="n">
        <v>17</v>
      </c>
      <c r="S36" s="678">
        <f>-88-R36</f>
        <v/>
      </c>
      <c r="T36" s="678">
        <f>-143-SUM(R36:S36)</f>
        <v/>
      </c>
      <c r="U36" s="679">
        <f>AF36-SUM(R36:T36)</f>
        <v/>
      </c>
      <c r="V36" s="678" t="n">
        <v>89</v>
      </c>
      <c r="W36" s="678">
        <f>25-V36</f>
        <v/>
      </c>
      <c r="X36" s="678">
        <f>4-SUM(V36:W36)</f>
        <v/>
      </c>
      <c r="Y36" s="679">
        <f>AG36-SUM(V36:X36)</f>
        <v/>
      </c>
      <c r="Z36" s="678" t="n">
        <v>58</v>
      </c>
      <c r="AA36" s="678">
        <f>-30-Z36</f>
        <v/>
      </c>
      <c r="AC36" s="678" t="n">
        <v>118</v>
      </c>
      <c r="AD36" s="678" t="n">
        <v>278</v>
      </c>
      <c r="AE36" s="678" t="n">
        <v>-290</v>
      </c>
      <c r="AF36" s="678" t="n">
        <v>-48</v>
      </c>
      <c r="AG36" s="678" t="n">
        <v>24</v>
      </c>
      <c r="AI36" s="679">
        <f>SUM(T36:W36)</f>
        <v/>
      </c>
      <c r="AJ36" s="679">
        <f>SUM(X36:AA36)</f>
        <v/>
      </c>
    </row>
    <row r="37" ht="12.75" customHeight="1" s="223">
      <c r="D37" s="674" t="inlineStr">
        <is>
          <t>Increase (decrease) in accrued compensation</t>
        </is>
      </c>
      <c r="F37" s="678" t="n">
        <v>-36</v>
      </c>
      <c r="G37" s="678">
        <f>-35-F37</f>
        <v/>
      </c>
      <c r="H37" s="678">
        <f>-56-SUM(F37:G37)</f>
        <v/>
      </c>
      <c r="I37" s="679">
        <f>AC37-SUM(F37:H37)</f>
        <v/>
      </c>
      <c r="J37" s="678" t="n">
        <v>22</v>
      </c>
      <c r="K37" s="678">
        <f>7-J37</f>
        <v/>
      </c>
      <c r="L37" s="678">
        <f>29-SUM(J37:K37)</f>
        <v/>
      </c>
      <c r="M37" s="679">
        <f>AD37-SUM(J37:L37)</f>
        <v/>
      </c>
      <c r="N37" s="678" t="n">
        <v>-16</v>
      </c>
      <c r="O37" s="678">
        <f>-7-N37</f>
        <v/>
      </c>
      <c r="P37" s="678">
        <f>16-SUM(N37:O37)</f>
        <v/>
      </c>
      <c r="Q37" s="679">
        <f>AE37-SUM(N37:P37)</f>
        <v/>
      </c>
      <c r="R37" s="678" t="n">
        <v>-86</v>
      </c>
      <c r="S37" s="678">
        <f>-93-R37</f>
        <v/>
      </c>
      <c r="T37" s="678">
        <f>-78-SUM(R37:S37)</f>
        <v/>
      </c>
      <c r="U37" s="679">
        <f>AF37-SUM(R37:T37)</f>
        <v/>
      </c>
      <c r="V37" s="678" t="n">
        <v>-30</v>
      </c>
      <c r="W37" s="678">
        <f>-51-V37</f>
        <v/>
      </c>
      <c r="X37" s="678">
        <f>-39-SUM(V37:W37)</f>
        <v/>
      </c>
      <c r="Y37" s="679">
        <f>AG37-SUM(V37:X37)</f>
        <v/>
      </c>
      <c r="Z37" s="678" t="n">
        <v>-8</v>
      </c>
      <c r="AA37" s="678">
        <f>18-Z37</f>
        <v/>
      </c>
      <c r="AC37" s="678" t="n">
        <v>-95</v>
      </c>
      <c r="AD37" s="678" t="n">
        <v>34</v>
      </c>
      <c r="AE37" s="678" t="n">
        <v>48</v>
      </c>
      <c r="AF37" s="678" t="n">
        <v>-78</v>
      </c>
      <c r="AG37" s="678" t="n">
        <v>-53</v>
      </c>
      <c r="AI37" s="679">
        <f>SUM(T37:W37)</f>
        <v/>
      </c>
      <c r="AJ37" s="679">
        <f>SUM(X37:AA37)</f>
        <v/>
      </c>
    </row>
    <row r="38" ht="12.75" customHeight="1" s="223">
      <c r="D38" s="674" t="inlineStr">
        <is>
          <t>Increase (decrease) in other current and long-term liabilities</t>
        </is>
      </c>
      <c r="F38" s="678" t="n">
        <v>-35</v>
      </c>
      <c r="G38" s="678">
        <f>92-F38</f>
        <v/>
      </c>
      <c r="H38" s="678">
        <f>80-SUM(F38:G38)</f>
        <v/>
      </c>
      <c r="I38" s="679">
        <f>AC38-SUM(F38:H38)</f>
        <v/>
      </c>
      <c r="J38" s="678" t="n">
        <v>-43</v>
      </c>
      <c r="K38" s="678">
        <f>-48-J38</f>
        <v/>
      </c>
      <c r="L38" s="678">
        <f>-73-SUM(J38:K38)</f>
        <v/>
      </c>
      <c r="M38" s="679">
        <f>AD38-SUM(J38:L38)</f>
        <v/>
      </c>
      <c r="N38" s="678" t="n">
        <v>-128</v>
      </c>
      <c r="O38" s="678">
        <f>-139-N38</f>
        <v/>
      </c>
      <c r="P38" s="678">
        <f>-159-SUM(N38:O38)</f>
        <v/>
      </c>
      <c r="Q38" s="679">
        <f>AE38-SUM(N38:P38)</f>
        <v/>
      </c>
      <c r="R38" s="678" t="n">
        <v>-77</v>
      </c>
      <c r="S38" s="678">
        <f>-52-R38</f>
        <v/>
      </c>
      <c r="T38" s="678">
        <f>-83-SUM(R38:S38)</f>
        <v/>
      </c>
      <c r="U38" s="679">
        <f>AF38-SUM(R38:T38)</f>
        <v/>
      </c>
      <c r="V38" s="678" t="n">
        <v>-48</v>
      </c>
      <c r="W38" s="678">
        <f>-40-V38</f>
        <v/>
      </c>
      <c r="X38" s="678">
        <f>58-SUM(V38:W38)</f>
        <v/>
      </c>
      <c r="Y38" s="679">
        <f>AG38-SUM(V38:X38)</f>
        <v/>
      </c>
      <c r="Z38" s="678" t="n">
        <v>-9</v>
      </c>
      <c r="AA38" s="678">
        <f>6-Z38</f>
        <v/>
      </c>
      <c r="AC38" s="678" t="n">
        <v>89</v>
      </c>
      <c r="AD38" s="678" t="n">
        <v>9</v>
      </c>
      <c r="AE38" s="678" t="n">
        <v>-114</v>
      </c>
      <c r="AF38" s="678" t="n">
        <v>-47</v>
      </c>
      <c r="AG38" s="678" t="n">
        <v>33</v>
      </c>
      <c r="AI38" s="679">
        <f>SUM(T38:W38)</f>
        <v/>
      </c>
      <c r="AJ38" s="679">
        <f>SUM(X38:AA38)</f>
        <v/>
      </c>
    </row>
    <row r="39" ht="12.75" customHeight="1" s="223">
      <c r="D39" s="674" t="inlineStr">
        <is>
          <t>Net change in income tax assets and liabilities (incl. deferred taxes)</t>
        </is>
      </c>
      <c r="F39" s="678" t="n">
        <v>6</v>
      </c>
      <c r="G39" s="678">
        <f>2-F39</f>
        <v/>
      </c>
      <c r="H39" s="678">
        <f>-11-SUM(F39:G39)</f>
        <v/>
      </c>
      <c r="I39" s="679">
        <f>AC39-SUM(F39:H39)</f>
        <v/>
      </c>
      <c r="J39" s="678" t="n">
        <v>-39</v>
      </c>
      <c r="K39" s="678">
        <f>-76-J39</f>
        <v/>
      </c>
      <c r="L39" s="678">
        <f>-81-SUM(J39:K39)</f>
        <v/>
      </c>
      <c r="M39" s="679">
        <f>AD39-SUM(J39:L39)</f>
        <v/>
      </c>
      <c r="N39" s="678" t="n">
        <v>18</v>
      </c>
      <c r="O39" s="678">
        <f>-17-N39</f>
        <v/>
      </c>
      <c r="P39" s="678">
        <f>-24-SUM(N39:O39)</f>
        <v/>
      </c>
      <c r="Q39" s="679">
        <f>AE39-SUM(N39:P39)</f>
        <v/>
      </c>
      <c r="R39" s="678" t="n">
        <v>-44</v>
      </c>
      <c r="S39" s="678">
        <f>-64-R39</f>
        <v/>
      </c>
      <c r="T39" s="678">
        <f>44-SUM(R39:S39)</f>
        <v/>
      </c>
      <c r="U39" s="679">
        <f>AF39-SUM(R39:T39)</f>
        <v/>
      </c>
      <c r="V39" s="678" t="n">
        <v>-2</v>
      </c>
      <c r="W39" s="678">
        <f>35-V39</f>
        <v/>
      </c>
      <c r="X39" s="678">
        <f>479-SUM(V39:W39)</f>
        <v/>
      </c>
      <c r="Y39" s="679">
        <f>AG39-SUM(V39:X39)</f>
        <v/>
      </c>
      <c r="Z39" s="678" t="n">
        <v>12</v>
      </c>
      <c r="AA39" s="678">
        <f>6-Z39</f>
        <v/>
      </c>
      <c r="AC39" s="678">
        <f>10-89</f>
        <v/>
      </c>
      <c r="AD39" s="678">
        <f>-27-27</f>
        <v/>
      </c>
      <c r="AE39" s="678">
        <f>-12-68</f>
        <v/>
      </c>
      <c r="AF39" s="678">
        <f>-50+90</f>
        <v/>
      </c>
      <c r="AG39" s="678">
        <f>-26+502</f>
        <v/>
      </c>
      <c r="AI39" s="679">
        <f>SUM(T39:W39)</f>
        <v/>
      </c>
      <c r="AJ39" s="679">
        <f>SUM(X39:AA39)</f>
        <v/>
      </c>
    </row>
    <row r="40" ht="12.75" customHeight="1" s="223">
      <c r="D40" s="674" t="inlineStr">
        <is>
          <t>Net change in derivative assets and liabilities</t>
        </is>
      </c>
      <c r="F40" s="678" t="n">
        <v>3</v>
      </c>
      <c r="G40" s="678">
        <f>-2-F40</f>
        <v/>
      </c>
      <c r="H40" s="678">
        <f>-1-SUM(F40:G40)</f>
        <v/>
      </c>
      <c r="I40" s="679">
        <f>AC40-SUM(F40:H40)</f>
        <v/>
      </c>
      <c r="J40" s="678" t="n">
        <v>7</v>
      </c>
      <c r="K40" s="678">
        <f>-6-J40</f>
        <v/>
      </c>
      <c r="L40" s="678">
        <f>-10-SUM(J40:K40)</f>
        <v/>
      </c>
      <c r="M40" s="679">
        <f>AD40-SUM(J40:L40)</f>
        <v/>
      </c>
      <c r="N40" s="678" t="n">
        <v>13</v>
      </c>
      <c r="O40" s="678">
        <f>22-N40</f>
        <v/>
      </c>
      <c r="P40" s="678">
        <f>16-SUM(N40:O40)</f>
        <v/>
      </c>
      <c r="Q40" s="679">
        <f>AE40-SUM(N40:P40)</f>
        <v/>
      </c>
      <c r="R40" s="678" t="n">
        <v>6</v>
      </c>
      <c r="S40" s="678">
        <f>6-R40</f>
        <v/>
      </c>
      <c r="T40" s="678">
        <f>9-SUM(R40:S40)</f>
        <v/>
      </c>
      <c r="U40" s="679">
        <f>AF40-SUM(R40:T40)</f>
        <v/>
      </c>
      <c r="V40" s="678" t="n">
        <v>0</v>
      </c>
      <c r="W40" s="678">
        <f>-2-V40</f>
        <v/>
      </c>
      <c r="X40" s="678">
        <f>-1-SUM(V40:W40)</f>
        <v/>
      </c>
      <c r="Y40" s="679">
        <f>AG40-SUM(V40:X40)</f>
        <v/>
      </c>
      <c r="Z40" s="679" t="n"/>
      <c r="AA40" s="679" t="n"/>
      <c r="AC40" s="678" t="n">
        <v>2</v>
      </c>
      <c r="AD40" s="678" t="n">
        <v>-22</v>
      </c>
      <c r="AE40" s="678" t="n">
        <v>13</v>
      </c>
      <c r="AF40" s="678" t="n">
        <v>10</v>
      </c>
      <c r="AG40" s="678" t="n">
        <v>-12</v>
      </c>
      <c r="AI40" s="679">
        <f>SUM(T40:W40)</f>
        <v/>
      </c>
      <c r="AJ40" s="679">
        <f>SUM(X40:AA40)</f>
        <v/>
      </c>
    </row>
    <row r="41" ht="12.75" customHeight="1" s="223">
      <c r="D41" s="674" t="inlineStr">
        <is>
          <t>Other operating, net</t>
        </is>
      </c>
      <c r="F41" s="678" t="n">
        <v>-11</v>
      </c>
      <c r="G41" s="678">
        <f>-17-F41</f>
        <v/>
      </c>
      <c r="H41" s="678">
        <f>-10-SUM(F41:G41)</f>
        <v/>
      </c>
      <c r="I41" s="679">
        <f>AC41-SUM(F41:H41)</f>
        <v/>
      </c>
      <c r="J41" s="678" t="n">
        <v>5</v>
      </c>
      <c r="K41" s="678">
        <f>-9-J41</f>
        <v/>
      </c>
      <c r="L41" s="678">
        <f>-7-SUM(J41:K41)</f>
        <v/>
      </c>
      <c r="M41" s="679">
        <f>AD41-SUM(J41:L41)</f>
        <v/>
      </c>
      <c r="N41" s="678" t="n">
        <v>8</v>
      </c>
      <c r="O41" s="678">
        <f>-11-N41</f>
        <v/>
      </c>
      <c r="P41" s="678">
        <f>0-SUM(N41:O41)</f>
        <v/>
      </c>
      <c r="Q41" s="679">
        <f>AE41-SUM(N41:P41)</f>
        <v/>
      </c>
      <c r="R41" s="678" t="n">
        <v>-5</v>
      </c>
      <c r="S41" s="678">
        <f>-7-R41</f>
        <v/>
      </c>
      <c r="T41" s="678">
        <f>0-SUM(R41:S41)</f>
        <v/>
      </c>
      <c r="U41" s="679">
        <f>AF41-SUM(R41:T41)</f>
        <v/>
      </c>
      <c r="V41" s="678" t="n">
        <v>11</v>
      </c>
      <c r="W41" s="678">
        <f>28-V41</f>
        <v/>
      </c>
      <c r="X41" s="678">
        <f>46-SUM(V41:W41)</f>
        <v/>
      </c>
      <c r="Y41" s="679">
        <f>AG41-SUM(V41:X41)</f>
        <v/>
      </c>
      <c r="Z41" s="678" t="n">
        <v>-14</v>
      </c>
      <c r="AA41" s="678">
        <f>4-Z41</f>
        <v/>
      </c>
      <c r="AC41" s="678" t="n">
        <v>-17</v>
      </c>
      <c r="AD41" s="678" t="n">
        <v>13</v>
      </c>
      <c r="AE41" s="678" t="n">
        <v>13</v>
      </c>
      <c r="AF41" s="678" t="n">
        <v>-13</v>
      </c>
      <c r="AG41" s="678" t="n">
        <v>35</v>
      </c>
      <c r="AI41" s="679">
        <f>SUM(T41:W41)</f>
        <v/>
      </c>
      <c r="AJ41" s="679">
        <f>SUM(X41:AA41)</f>
        <v/>
      </c>
    </row>
    <row r="42" ht="12.75" customHeight="1" s="223">
      <c r="D42" s="681" t="inlineStr">
        <is>
          <t>Net cash provided by (used in) operating activities</t>
        </is>
      </c>
      <c r="E42" s="682" t="n"/>
      <c r="F42" s="683">
        <f>SUM(F14:F41)</f>
        <v/>
      </c>
      <c r="G42" s="683">
        <f>SUM(G14:G41)</f>
        <v/>
      </c>
      <c r="H42" s="683">
        <f>SUM(H14:H41)</f>
        <v/>
      </c>
      <c r="I42" s="683">
        <f>SUM(I14:I41)</f>
        <v/>
      </c>
      <c r="J42" s="683">
        <f>SUM(J14:J41)</f>
        <v/>
      </c>
      <c r="K42" s="683">
        <f>SUM(K14:K41)</f>
        <v/>
      </c>
      <c r="L42" s="683">
        <f>SUM(L14:L41)</f>
        <v/>
      </c>
      <c r="M42" s="683">
        <f>SUM(M14:M41)</f>
        <v/>
      </c>
      <c r="N42" s="683">
        <f>SUM(N14:N41)</f>
        <v/>
      </c>
      <c r="O42" s="683">
        <f>SUM(O14:O41)</f>
        <v/>
      </c>
      <c r="P42" s="683">
        <f>SUM(P14:P41)</f>
        <v/>
      </c>
      <c r="Q42" s="683">
        <f>SUM(Q14:Q41)</f>
        <v/>
      </c>
      <c r="R42" s="683">
        <f>SUM(R14:R41)</f>
        <v/>
      </c>
      <c r="S42" s="683">
        <f>SUM(S14:S41)</f>
        <v/>
      </c>
      <c r="T42" s="683">
        <f>SUM(T14:T41)</f>
        <v/>
      </c>
      <c r="U42" s="683">
        <f>SUM(U14:U41)</f>
        <v/>
      </c>
      <c r="V42" s="683">
        <f>SUM(V14:V41)</f>
        <v/>
      </c>
      <c r="W42" s="683">
        <f>SUM(W14:W41)</f>
        <v/>
      </c>
      <c r="X42" s="683">
        <f>SUM(X14:X41)</f>
        <v/>
      </c>
      <c r="Y42" s="683">
        <f>SUM(Y14:Y41)</f>
        <v/>
      </c>
      <c r="Z42" s="683">
        <f>SUM(Z14:Z41)</f>
        <v/>
      </c>
      <c r="AA42" s="684">
        <f>SUM(AA14:AA41)</f>
        <v/>
      </c>
      <c r="AC42" s="685">
        <f>SUM(AC14:AC41)</f>
        <v/>
      </c>
      <c r="AD42" s="683">
        <f>SUM(AD14:AD41)</f>
        <v/>
      </c>
      <c r="AE42" s="683">
        <f>SUM(AE14:AE41)</f>
        <v/>
      </c>
      <c r="AF42" s="683">
        <f>SUM(AF14:AF41)</f>
        <v/>
      </c>
      <c r="AG42" s="684">
        <f>SUM(AG14:AG41)</f>
        <v/>
      </c>
      <c r="AI42" s="686">
        <f>SUM(AI14:AI41)</f>
        <v/>
      </c>
      <c r="AJ42" s="686">
        <f>SUM(AJ14:AJ41)</f>
        <v/>
      </c>
    </row>
    <row r="43" ht="12.75" customHeight="1" s="223">
      <c r="D43" s="687" t="inlineStr">
        <is>
          <t>Net cash provided by (used in) operating activities</t>
        </is>
      </c>
      <c r="F43" s="688" t="n">
        <v>117</v>
      </c>
      <c r="G43" s="688">
        <f>331-117</f>
        <v/>
      </c>
      <c r="H43" s="688">
        <f>431-331</f>
        <v/>
      </c>
      <c r="I43" s="688">
        <f>629-431</f>
        <v/>
      </c>
      <c r="J43" s="688" t="n">
        <v>66</v>
      </c>
      <c r="K43" s="688">
        <f>-19-66</f>
        <v/>
      </c>
      <c r="L43" s="688">
        <f>-27-(-19)</f>
        <v/>
      </c>
      <c r="M43" s="688">
        <f>159-(-27)</f>
        <v/>
      </c>
      <c r="N43" s="688" t="n">
        <v>78</v>
      </c>
      <c r="O43" s="688">
        <f>173-78</f>
        <v/>
      </c>
      <c r="P43" s="688">
        <f>297-173</f>
        <v/>
      </c>
      <c r="Q43" s="688">
        <f>686-297</f>
        <v/>
      </c>
      <c r="R43" s="688" t="n">
        <v>-79</v>
      </c>
      <c r="S43" s="688">
        <f>44-(-79)</f>
        <v/>
      </c>
      <c r="T43" s="688">
        <f>160-44</f>
        <v/>
      </c>
      <c r="U43" s="688">
        <f>511-160</f>
        <v/>
      </c>
      <c r="V43" s="688" t="n">
        <v>-89</v>
      </c>
      <c r="W43" s="688">
        <f>-100-(-89)</f>
        <v/>
      </c>
      <c r="X43" s="688">
        <f>16-(-100)</f>
        <v/>
      </c>
      <c r="Y43" s="688">
        <f>224-16</f>
        <v/>
      </c>
      <c r="Z43" s="688" t="n">
        <v>-144</v>
      </c>
      <c r="AA43" s="688">
        <f>-107-(-144)</f>
        <v/>
      </c>
      <c r="AC43" s="688" t="n">
        <v>629</v>
      </c>
      <c r="AD43" s="688" t="n">
        <v>159</v>
      </c>
      <c r="AE43" s="688" t="n">
        <v>686</v>
      </c>
      <c r="AF43" s="688" t="n">
        <v>511</v>
      </c>
      <c r="AG43" s="688" t="n">
        <v>224</v>
      </c>
      <c r="AI43" s="676">
        <f>SUM(T43:W43)</f>
        <v/>
      </c>
      <c r="AJ43" s="676">
        <f>SUM(X43:AA43)</f>
        <v/>
      </c>
    </row>
    <row r="44" ht="12.75" customHeight="1" s="223">
      <c r="D44" s="689" t="inlineStr">
        <is>
          <t>Check</t>
        </is>
      </c>
      <c r="F44" s="690">
        <f>F42-F43</f>
        <v/>
      </c>
      <c r="G44" s="690">
        <f>G42-G43</f>
        <v/>
      </c>
      <c r="H44" s="690">
        <f>H42-H43</f>
        <v/>
      </c>
      <c r="I44" s="690">
        <f>I42-I43</f>
        <v/>
      </c>
      <c r="J44" s="690">
        <f>J42-J43</f>
        <v/>
      </c>
      <c r="K44" s="690">
        <f>K42-K43</f>
        <v/>
      </c>
      <c r="L44" s="690">
        <f>L42-L43</f>
        <v/>
      </c>
      <c r="M44" s="690">
        <f>M42-M43</f>
        <v/>
      </c>
      <c r="N44" s="690">
        <f>N42-N43</f>
        <v/>
      </c>
      <c r="O44" s="690">
        <f>O42-O43</f>
        <v/>
      </c>
      <c r="P44" s="690">
        <f>P42-P43</f>
        <v/>
      </c>
      <c r="Q44" s="690">
        <f>Q42-Q43</f>
        <v/>
      </c>
      <c r="R44" s="690">
        <f>R42-R43</f>
        <v/>
      </c>
      <c r="S44" s="690">
        <f>S42-S43</f>
        <v/>
      </c>
      <c r="T44" s="690">
        <f>T42-T43</f>
        <v/>
      </c>
      <c r="U44" s="690">
        <f>U42-U43</f>
        <v/>
      </c>
      <c r="V44" s="690">
        <f>V42-V43</f>
        <v/>
      </c>
      <c r="W44" s="690">
        <f>W42-W43</f>
        <v/>
      </c>
      <c r="X44" s="690">
        <f>X42-X43</f>
        <v/>
      </c>
      <c r="Y44" s="690">
        <f>Y42-Y43</f>
        <v/>
      </c>
      <c r="Z44" s="690">
        <f>Z42-Z43</f>
        <v/>
      </c>
      <c r="AA44" s="690">
        <f>AA42-AA43</f>
        <v/>
      </c>
      <c r="AC44" s="690">
        <f>AC42-AC43</f>
        <v/>
      </c>
      <c r="AD44" s="690">
        <f>AD42-AD43</f>
        <v/>
      </c>
      <c r="AE44" s="690">
        <f>AE42-AE43</f>
        <v/>
      </c>
      <c r="AF44" s="690">
        <f>AF42-AF43</f>
        <v/>
      </c>
      <c r="AG44" s="690">
        <f>AG42-AG43</f>
        <v/>
      </c>
      <c r="AI44" s="679" t="n"/>
      <c r="AJ44" s="679" t="n"/>
    </row>
    <row r="45" ht="4.5" customHeight="1" s="223">
      <c r="D45" s="674" t="n"/>
    </row>
    <row r="46" ht="12.75" customHeight="1" s="223">
      <c r="D46" s="691" t="inlineStr">
        <is>
          <t>Memo: Change in NWC</t>
        </is>
      </c>
      <c r="F46" s="692">
        <f>F31+F32+SUM(F35:F40)</f>
        <v/>
      </c>
      <c r="G46" s="692">
        <f>G31+G32+SUM(G35:G40)</f>
        <v/>
      </c>
      <c r="H46" s="692">
        <f>H31+H32+SUM(H35:H40)</f>
        <v/>
      </c>
      <c r="I46" s="692">
        <f>I31+I32+SUM(I35:I40)</f>
        <v/>
      </c>
      <c r="J46" s="692">
        <f>J31+J32+SUM(J35:J40)</f>
        <v/>
      </c>
      <c r="K46" s="692">
        <f>K31+K32+SUM(K35:K40)</f>
        <v/>
      </c>
      <c r="L46" s="692">
        <f>L31+L32+SUM(L35:L40)</f>
        <v/>
      </c>
      <c r="M46" s="692">
        <f>M31+M32+SUM(M35:M40)</f>
        <v/>
      </c>
      <c r="N46" s="692">
        <f>N31+N32+SUM(N35:N40)</f>
        <v/>
      </c>
      <c r="O46" s="692">
        <f>O31+O32+SUM(O35:O40)</f>
        <v/>
      </c>
      <c r="P46" s="692">
        <f>P31+P32+SUM(P35:P40)</f>
        <v/>
      </c>
      <c r="Q46" s="692">
        <f>Q31+Q32+SUM(Q35:Q40)</f>
        <v/>
      </c>
      <c r="R46" s="692">
        <f>R31+R32+SUM(R35:R40)</f>
        <v/>
      </c>
      <c r="S46" s="692">
        <f>S31+S32+SUM(S35:S40)</f>
        <v/>
      </c>
      <c r="T46" s="692">
        <f>T31+T32+SUM(T35:T40)</f>
        <v/>
      </c>
      <c r="U46" s="692">
        <f>U31+U32+SUM(U35:U40)</f>
        <v/>
      </c>
      <c r="V46" s="692">
        <f>V31+V32+SUM(V35:V40)</f>
        <v/>
      </c>
      <c r="W46" s="692">
        <f>W31+W32+SUM(W35:W40)</f>
        <v/>
      </c>
      <c r="X46" s="692">
        <f>X31+X32+SUM(X35:X40)</f>
        <v/>
      </c>
      <c r="Y46" s="692">
        <f>Y31+Y32+SUM(Y35:Y40)</f>
        <v/>
      </c>
      <c r="Z46" s="692">
        <f>Z31+Z32+SUM(Z35:Z40)</f>
        <v/>
      </c>
      <c r="AA46" s="692">
        <f>AA31+AA32+SUM(AA35:AA40)</f>
        <v/>
      </c>
      <c r="AC46" s="692">
        <f>AC31+AC32+SUM(AC35:AC40)</f>
        <v/>
      </c>
      <c r="AD46" s="692">
        <f>AD31+AD32+SUM(AD35:AD40)</f>
        <v/>
      </c>
      <c r="AE46" s="692">
        <f>AE31+AE32+SUM(AE35:AE40)</f>
        <v/>
      </c>
      <c r="AF46" s="692">
        <f>AF31+AF32+SUM(AF35:AF40)</f>
        <v/>
      </c>
      <c r="AG46" s="692">
        <f>AG31+AG32+SUM(AG35:AG40)</f>
        <v/>
      </c>
      <c r="AI46" s="692">
        <f>AI31+AI32+SUM(AI35:AI40)</f>
        <v/>
      </c>
      <c r="AJ46" s="692">
        <f>AJ31+AJ32+SUM(AJ35:AJ40)</f>
        <v/>
      </c>
    </row>
    <row r="47" ht="4.5" customHeight="1" s="223">
      <c r="D47" s="674" t="n"/>
    </row>
    <row r="48" ht="12.75" customHeight="1" s="223">
      <c r="D48" s="673" t="inlineStr">
        <is>
          <t>INVESTING ACTIVITIES</t>
        </is>
      </c>
    </row>
    <row r="49" ht="12.75" customHeight="1" s="223">
      <c r="D49" s="674" t="inlineStr">
        <is>
          <t>Cost of additions to land, buildings, equipment and software</t>
        </is>
      </c>
      <c r="F49" s="677" t="n">
        <v>-17</v>
      </c>
      <c r="G49" s="677">
        <f>-33-F49</f>
        <v/>
      </c>
      <c r="H49" s="677">
        <f>-52-SUM(F49:G49)</f>
        <v/>
      </c>
      <c r="I49" s="676">
        <f>AC49-SUM(F49:H49)</f>
        <v/>
      </c>
      <c r="J49" s="677" t="n">
        <v>-16</v>
      </c>
      <c r="K49" s="677">
        <f>-29-J49</f>
        <v/>
      </c>
      <c r="L49" s="677">
        <f>-39-SUM(J49:K49)</f>
        <v/>
      </c>
      <c r="M49" s="676">
        <f>AD49-SUM(J49:L49)</f>
        <v/>
      </c>
      <c r="N49" s="677" t="n">
        <v>-8</v>
      </c>
      <c r="O49" s="677">
        <f>-15-N49</f>
        <v/>
      </c>
      <c r="P49" s="677">
        <f>-27-SUM(N49:O49)</f>
        <v/>
      </c>
      <c r="Q49" s="676">
        <f>AE49-SUM(N49:P49)</f>
        <v/>
      </c>
      <c r="R49" s="677" t="n">
        <v>-10</v>
      </c>
      <c r="S49" s="677">
        <f>-18-R49</f>
        <v/>
      </c>
      <c r="T49" s="677">
        <f>-27-SUM(R49:S49)</f>
        <v/>
      </c>
      <c r="U49" s="676">
        <f>AF49-SUM(R49:T49)</f>
        <v/>
      </c>
      <c r="V49" s="677" t="n">
        <v>-20</v>
      </c>
      <c r="W49" s="677">
        <f>-39-V49</f>
        <v/>
      </c>
      <c r="X49" s="677">
        <f>-67-SUM(V49:W49)</f>
        <v/>
      </c>
      <c r="Y49" s="676">
        <f>AG49-SUM(V49:X49)</f>
        <v/>
      </c>
      <c r="Z49" s="677" t="n">
        <v>-21</v>
      </c>
      <c r="AA49" s="677">
        <f>-47-Z49</f>
        <v/>
      </c>
      <c r="AC49" s="677" t="n">
        <v>-68</v>
      </c>
      <c r="AD49" s="677" t="n">
        <v>-57</v>
      </c>
      <c r="AE49" s="677" t="n">
        <v>-37</v>
      </c>
      <c r="AF49" s="677" t="n">
        <v>-44</v>
      </c>
      <c r="AG49" s="677" t="n">
        <v>-91</v>
      </c>
      <c r="AI49" s="676">
        <f>SUM(T49:W49)</f>
        <v/>
      </c>
      <c r="AJ49" s="676">
        <f>SUM(X49:AA49)</f>
        <v/>
      </c>
    </row>
    <row r="50" ht="12.75" customHeight="1" s="223">
      <c r="D50" s="674" t="inlineStr">
        <is>
          <t>Proceeds from sales of businesses and assets</t>
        </is>
      </c>
      <c r="F50" s="678" t="n">
        <v>0</v>
      </c>
      <c r="G50" s="678">
        <f>1-F50</f>
        <v/>
      </c>
      <c r="H50" s="678">
        <f>39-SUM(F50:G50)</f>
        <v/>
      </c>
      <c r="I50" s="679">
        <f>AC50-SUM(F50:H50)</f>
        <v/>
      </c>
      <c r="J50" s="678" t="n">
        <v>0</v>
      </c>
      <c r="K50" s="678">
        <f>26-J50</f>
        <v/>
      </c>
      <c r="L50" s="678">
        <f>49-SUM(J50:K50)</f>
        <v/>
      </c>
      <c r="M50" s="679">
        <f>AD50-SUM(J50:L50)</f>
        <v/>
      </c>
      <c r="N50" s="678" t="n">
        <v>1</v>
      </c>
      <c r="O50" s="678">
        <f>3-N50</f>
        <v/>
      </c>
      <c r="P50" s="678">
        <f>40-SUM(N50:O50)</f>
        <v/>
      </c>
      <c r="Q50" s="679">
        <f>AE50-SUM(N50:P50)</f>
        <v/>
      </c>
      <c r="R50" s="678" t="n">
        <v>4</v>
      </c>
      <c r="S50" s="678">
        <f>19-R50</f>
        <v/>
      </c>
      <c r="T50" s="678">
        <f>27-SUM(R50:S50)</f>
        <v/>
      </c>
      <c r="U50" s="679">
        <f>AF50-SUM(R50:T50)</f>
        <v/>
      </c>
      <c r="V50" s="678" t="n">
        <v>27</v>
      </c>
      <c r="W50" s="678">
        <f>30-V50</f>
        <v/>
      </c>
      <c r="X50" s="678">
        <f>56-SUM(V50:W50)</f>
        <v/>
      </c>
      <c r="Y50" s="679">
        <f>AG50-SUM(V50:X50)</f>
        <v/>
      </c>
      <c r="Z50" s="678" t="n">
        <v>2</v>
      </c>
      <c r="AA50" s="678">
        <f>8-Z50</f>
        <v/>
      </c>
      <c r="AC50" s="678" t="n">
        <v>44</v>
      </c>
      <c r="AD50" s="678" t="n">
        <v>87</v>
      </c>
      <c r="AE50" s="678" t="n">
        <v>43</v>
      </c>
      <c r="AF50" s="678" t="n">
        <v>35</v>
      </c>
      <c r="AG50" s="678" t="n">
        <v>79</v>
      </c>
      <c r="AI50" s="679">
        <f>SUM(T50:W50)</f>
        <v/>
      </c>
      <c r="AJ50" s="679">
        <f>SUM(X50:AA50)</f>
        <v/>
      </c>
    </row>
    <row r="51" ht="12.75" customHeight="1" s="223">
      <c r="D51" s="674" t="inlineStr">
        <is>
          <t>Acquisitions, net of cash acquired</t>
        </is>
      </c>
      <c r="F51" s="678" t="n">
        <v>0</v>
      </c>
      <c r="G51" s="678">
        <f>-37-F51</f>
        <v/>
      </c>
      <c r="H51" s="678">
        <f>-38-SUM(F51:G51)</f>
        <v/>
      </c>
      <c r="I51" s="679">
        <f>AC51-SUM(F51:H51)</f>
        <v/>
      </c>
      <c r="J51" s="678" t="n">
        <v>-54</v>
      </c>
      <c r="K51" s="678">
        <f>-52-J51</f>
        <v/>
      </c>
      <c r="L51" s="678">
        <f>-93-SUM(J51:K51)</f>
        <v/>
      </c>
      <c r="M51" s="679">
        <f>AD51-SUM(J51:L51)</f>
        <v/>
      </c>
      <c r="N51" s="678" t="n">
        <v>-7</v>
      </c>
      <c r="O51" s="678">
        <f>-7-N51</f>
        <v/>
      </c>
      <c r="P51" s="678">
        <f>-7-SUM(N51:O51)</f>
        <v/>
      </c>
      <c r="Q51" s="679">
        <f>AE51-SUM(N51:P51)</f>
        <v/>
      </c>
      <c r="R51" s="678" t="n">
        <v>0</v>
      </c>
      <c r="S51" s="678">
        <f>0-R51</f>
        <v/>
      </c>
      <c r="T51" s="678">
        <f>0-SUM(R51:S51)</f>
        <v/>
      </c>
      <c r="U51" s="679">
        <f>AF51-SUM(R51:T51)</f>
        <v/>
      </c>
      <c r="V51" s="678" t="n">
        <v>1</v>
      </c>
      <c r="W51" s="678">
        <f>1-V51</f>
        <v/>
      </c>
      <c r="X51" s="678">
        <f>-674-SUM(V51:W51)</f>
        <v/>
      </c>
      <c r="Y51" s="679">
        <f>AG51-SUM(V51:X51)</f>
        <v/>
      </c>
      <c r="Z51" s="678" t="n">
        <v>0</v>
      </c>
      <c r="AA51" s="678">
        <f>19-Z51</f>
        <v/>
      </c>
      <c r="AC51" s="678" t="n">
        <v>-53</v>
      </c>
      <c r="AD51" s="678" t="n">
        <v>-93</v>
      </c>
      <c r="AE51" s="678" t="n">
        <v>-7</v>
      </c>
      <c r="AF51" s="678" t="n">
        <v>-161</v>
      </c>
      <c r="AG51" s="678" t="n">
        <v>-674</v>
      </c>
      <c r="AI51" s="679">
        <f>SUM(T51:W51)</f>
        <v/>
      </c>
      <c r="AJ51" s="679">
        <f>SUM(X51:AA51)</f>
        <v/>
      </c>
    </row>
    <row r="52" ht="12.75" customHeight="1" s="223">
      <c r="D52" s="674" t="inlineStr">
        <is>
          <t>Other investing, net</t>
        </is>
      </c>
      <c r="F52" s="678" t="n">
        <v>0</v>
      </c>
      <c r="G52" s="678">
        <f>-3-F52</f>
        <v/>
      </c>
      <c r="H52" s="678">
        <f>-3-SUM(F52:G52)</f>
        <v/>
      </c>
      <c r="I52" s="679">
        <f>AC52-SUM(F52:H52)</f>
        <v/>
      </c>
      <c r="J52" s="678" t="n">
        <v>-5</v>
      </c>
      <c r="K52" s="678">
        <f>-7-J52</f>
        <v/>
      </c>
      <c r="L52" s="678">
        <f>-12-SUM(J52:K52)</f>
        <v/>
      </c>
      <c r="M52" s="679">
        <f>AD52-SUM(J52:L52)</f>
        <v/>
      </c>
      <c r="N52" s="678" t="n">
        <v>-3</v>
      </c>
      <c r="O52" s="678">
        <f>-3-N52</f>
        <v/>
      </c>
      <c r="P52" s="678">
        <f>-3-SUM(N52:O52)</f>
        <v/>
      </c>
      <c r="Q52" s="679">
        <f>AE52-SUM(N52:P52)</f>
        <v/>
      </c>
      <c r="R52" s="678" t="n">
        <v>-11</v>
      </c>
      <c r="S52" s="678">
        <f>-20-R52</f>
        <v/>
      </c>
      <c r="T52" s="678">
        <f>-26-SUM(R52:S52)</f>
        <v/>
      </c>
      <c r="U52" s="679">
        <f>AF52-SUM(R52:T52)</f>
        <v/>
      </c>
      <c r="V52" s="678" t="n">
        <v>-2</v>
      </c>
      <c r="W52" s="678">
        <f>-4-V52</f>
        <v/>
      </c>
      <c r="X52" s="678">
        <f>-9-SUM(V52:W52)</f>
        <v/>
      </c>
      <c r="Y52" s="679">
        <f>AG52-SUM(V52:X52)</f>
        <v/>
      </c>
      <c r="Z52" s="678" t="n">
        <v>-5</v>
      </c>
      <c r="AA52" s="678">
        <f>-13-Z52</f>
        <v/>
      </c>
      <c r="AC52" s="678" t="n">
        <v>-8</v>
      </c>
      <c r="AD52" s="678" t="n">
        <v>-15</v>
      </c>
      <c r="AE52" s="678" t="n">
        <v>-4</v>
      </c>
      <c r="AF52" s="678" t="n">
        <v>-28</v>
      </c>
      <c r="AG52" s="678" t="n">
        <v>-12</v>
      </c>
      <c r="AI52" s="679">
        <f>SUM(T52:W52)</f>
        <v/>
      </c>
      <c r="AJ52" s="679">
        <f>SUM(X52:AA52)</f>
        <v/>
      </c>
    </row>
    <row r="53" ht="12.75" customHeight="1" s="223">
      <c r="D53" s="681" t="inlineStr">
        <is>
          <t>Net cash provided by (used in) investing activities</t>
        </is>
      </c>
      <c r="E53" s="682" t="n"/>
      <c r="F53" s="683">
        <f>SUM(F49:F52)</f>
        <v/>
      </c>
      <c r="G53" s="683">
        <f>SUM(G49:G52)</f>
        <v/>
      </c>
      <c r="H53" s="683">
        <f>SUM(H49:H52)</f>
        <v/>
      </c>
      <c r="I53" s="683">
        <f>SUM(I49:I52)</f>
        <v/>
      </c>
      <c r="J53" s="683">
        <f>SUM(J49:J52)</f>
        <v/>
      </c>
      <c r="K53" s="683">
        <f>SUM(K49:K52)</f>
        <v/>
      </c>
      <c r="L53" s="683">
        <f>SUM(L49:L52)</f>
        <v/>
      </c>
      <c r="M53" s="683">
        <f>SUM(M49:M52)</f>
        <v/>
      </c>
      <c r="N53" s="683">
        <f>SUM(N49:N52)</f>
        <v/>
      </c>
      <c r="O53" s="683">
        <f>SUM(O49:O52)</f>
        <v/>
      </c>
      <c r="P53" s="683">
        <f>SUM(P49:P52)</f>
        <v/>
      </c>
      <c r="Q53" s="683">
        <f>SUM(Q49:Q52)</f>
        <v/>
      </c>
      <c r="R53" s="683">
        <f>SUM(R49:R52)</f>
        <v/>
      </c>
      <c r="S53" s="683">
        <f>SUM(S49:S52)</f>
        <v/>
      </c>
      <c r="T53" s="683">
        <f>SUM(T49:T52)</f>
        <v/>
      </c>
      <c r="U53" s="683">
        <f>SUM(U49:U52)</f>
        <v/>
      </c>
      <c r="V53" s="683">
        <f>SUM(V49:V52)</f>
        <v/>
      </c>
      <c r="W53" s="683">
        <f>SUM(W49:W52)</f>
        <v/>
      </c>
      <c r="X53" s="683">
        <f>SUM(X49:X52)</f>
        <v/>
      </c>
      <c r="Y53" s="683">
        <f>SUM(Y49:Y52)</f>
        <v/>
      </c>
      <c r="Z53" s="683">
        <f>SUM(Z49:Z52)</f>
        <v/>
      </c>
      <c r="AA53" s="684">
        <f>SUM(AA49:AA52)</f>
        <v/>
      </c>
      <c r="AC53" s="685">
        <f>SUM(AC49:AC52)</f>
        <v/>
      </c>
      <c r="AD53" s="683">
        <f>SUM(AD49:AD52)</f>
        <v/>
      </c>
      <c r="AE53" s="683">
        <f>SUM(AE49:AE52)</f>
        <v/>
      </c>
      <c r="AF53" s="683">
        <f>SUM(AF49:AF52)</f>
        <v/>
      </c>
      <c r="AG53" s="684">
        <f>SUM(AG49:AG52)</f>
        <v/>
      </c>
      <c r="AI53" s="686">
        <f>SUM(AI49:AI52)</f>
        <v/>
      </c>
      <c r="AJ53" s="686">
        <f>SUM(AJ49:AJ52)</f>
        <v/>
      </c>
    </row>
    <row r="54" ht="12.75" customHeight="1" s="223">
      <c r="D54" s="687" t="inlineStr">
        <is>
          <t>Net cash provided by (used in) investing activities</t>
        </is>
      </c>
      <c r="F54" s="688" t="n">
        <v>-17</v>
      </c>
      <c r="G54" s="688">
        <f>-72-(-17)</f>
        <v/>
      </c>
      <c r="H54" s="688">
        <f>-54-(-72)</f>
        <v/>
      </c>
      <c r="I54" s="688">
        <f>-85-(-54)</f>
        <v/>
      </c>
      <c r="J54" s="688" t="n">
        <v>-75</v>
      </c>
      <c r="K54" s="688">
        <f>-62-(-75)</f>
        <v/>
      </c>
      <c r="L54" s="688">
        <f>-95-(-62)</f>
        <v/>
      </c>
      <c r="M54" s="688">
        <f>-78-(-95)</f>
        <v/>
      </c>
      <c r="N54" s="688" t="n">
        <v>-17</v>
      </c>
      <c r="O54" s="688">
        <f>-22-(-17)</f>
        <v/>
      </c>
      <c r="P54" s="688">
        <f>3-(-22)</f>
        <v/>
      </c>
      <c r="Q54" s="688">
        <f>-5-3</f>
        <v/>
      </c>
      <c r="R54" s="688" t="n">
        <v>-17</v>
      </c>
      <c r="S54" s="688">
        <f>-19-(-17)</f>
        <v/>
      </c>
      <c r="T54" s="688">
        <f>-26-(-19)</f>
        <v/>
      </c>
      <c r="U54" s="688">
        <f>-198-(-26)</f>
        <v/>
      </c>
      <c r="V54" s="688" t="n">
        <v>6</v>
      </c>
      <c r="W54" s="688">
        <f>-12-6</f>
        <v/>
      </c>
      <c r="X54" s="688">
        <f>-694-(-12)</f>
        <v/>
      </c>
      <c r="Y54" s="688">
        <f>-698-(-694)</f>
        <v/>
      </c>
      <c r="Z54" s="688" t="n">
        <v>-24</v>
      </c>
      <c r="AA54" s="688">
        <f>-33-(-24)</f>
        <v/>
      </c>
      <c r="AC54" s="688" t="n">
        <v>-85</v>
      </c>
      <c r="AD54" s="688" t="n">
        <v>-78</v>
      </c>
      <c r="AE54" s="688" t="n">
        <v>-5</v>
      </c>
      <c r="AF54" s="688" t="n">
        <v>-198</v>
      </c>
      <c r="AG54" s="688" t="n">
        <v>-698</v>
      </c>
      <c r="AI54" s="676">
        <f>SUM(T54:W54)</f>
        <v/>
      </c>
      <c r="AJ54" s="676">
        <f>SUM(X54:AA54)</f>
        <v/>
      </c>
    </row>
    <row r="55" ht="12.75" customHeight="1" s="223">
      <c r="D55" s="689" t="inlineStr">
        <is>
          <t>Check</t>
        </is>
      </c>
      <c r="F55" s="690">
        <f>F53-F54</f>
        <v/>
      </c>
      <c r="G55" s="690">
        <f>G53-G54</f>
        <v/>
      </c>
      <c r="H55" s="690">
        <f>H53-H54</f>
        <v/>
      </c>
      <c r="I55" s="690">
        <f>I53-I54</f>
        <v/>
      </c>
      <c r="J55" s="690">
        <f>J53-J54</f>
        <v/>
      </c>
      <c r="K55" s="690">
        <f>K53-K54</f>
        <v/>
      </c>
      <c r="L55" s="690">
        <f>L53-L54</f>
        <v/>
      </c>
      <c r="M55" s="690">
        <f>M53-M54</f>
        <v/>
      </c>
      <c r="N55" s="690">
        <f>N53-N54</f>
        <v/>
      </c>
      <c r="O55" s="690">
        <f>O53-O54</f>
        <v/>
      </c>
      <c r="P55" s="690">
        <f>P53-P54</f>
        <v/>
      </c>
      <c r="Q55" s="690">
        <f>Q53-Q54</f>
        <v/>
      </c>
      <c r="R55" s="690">
        <f>R53-R54</f>
        <v/>
      </c>
      <c r="S55" s="690">
        <f>S53-S54</f>
        <v/>
      </c>
      <c r="T55" s="690">
        <f>T53-T54</f>
        <v/>
      </c>
      <c r="U55" s="690">
        <f>U53-U54</f>
        <v/>
      </c>
      <c r="V55" s="690">
        <f>V53-V54</f>
        <v/>
      </c>
      <c r="W55" s="690">
        <f>W53-W54</f>
        <v/>
      </c>
      <c r="X55" s="690">
        <f>X53-X54</f>
        <v/>
      </c>
      <c r="Y55" s="690">
        <f>Y53-Y54</f>
        <v/>
      </c>
      <c r="Z55" s="690">
        <f>Z53-Z54</f>
        <v/>
      </c>
      <c r="AA55" s="690">
        <f>AA53-AA54</f>
        <v/>
      </c>
      <c r="AC55" s="690">
        <f>AC53-AC54</f>
        <v/>
      </c>
      <c r="AD55" s="690">
        <f>AD53-AD54</f>
        <v/>
      </c>
      <c r="AE55" s="690">
        <f>AE53-AE54</f>
        <v/>
      </c>
      <c r="AF55" s="690">
        <f>AF53-AF54</f>
        <v/>
      </c>
      <c r="AG55" s="690">
        <f>AG53-AG54</f>
        <v/>
      </c>
      <c r="AI55" s="679" t="n"/>
      <c r="AJ55" s="679" t="n"/>
    </row>
    <row r="56" ht="4.5" customHeight="1" s="223">
      <c r="D56" s="674" t="n"/>
    </row>
    <row r="57" ht="12.75" customHeight="1" s="223">
      <c r="D57" s="673" t="inlineStr">
        <is>
          <t>FINANCING ACTIVITIES</t>
        </is>
      </c>
    </row>
    <row r="58" ht="12.75" customHeight="1" s="223">
      <c r="D58" s="674" t="inlineStr">
        <is>
          <t>Net proceeds (payments) on short-term debt</t>
        </is>
      </c>
      <c r="F58" s="677" t="n">
        <v>0</v>
      </c>
      <c r="G58" s="677">
        <f>0-F58</f>
        <v/>
      </c>
      <c r="H58" s="677">
        <f>1-SUM(F58:G58)</f>
        <v/>
      </c>
      <c r="I58" s="676">
        <f>AC58-SUM(F58:H58)</f>
        <v/>
      </c>
      <c r="J58" s="677" t="n">
        <v>0</v>
      </c>
      <c r="K58" s="677">
        <f>0-J58</f>
        <v/>
      </c>
      <c r="L58" s="677">
        <f>0-SUM(J58:K58)</f>
        <v/>
      </c>
      <c r="M58" s="676">
        <f>AD58-SUM(J58:L58)</f>
        <v/>
      </c>
      <c r="N58" s="677" t="n">
        <v>0</v>
      </c>
      <c r="O58" s="677">
        <f>200-N58</f>
        <v/>
      </c>
      <c r="P58" s="677">
        <f>220-SUM(N58:O58)</f>
        <v/>
      </c>
      <c r="Q58" s="676">
        <f>AE58-SUM(N58:P58)</f>
        <v/>
      </c>
      <c r="R58" s="677" t="n">
        <v>0</v>
      </c>
      <c r="S58" s="677">
        <f>0-R58</f>
        <v/>
      </c>
      <c r="T58" s="677">
        <f>0-SUM(R58:S58)</f>
        <v/>
      </c>
      <c r="U58" s="676">
        <f>AF58-SUM(R58:T58)</f>
        <v/>
      </c>
      <c r="V58" s="677" t="n">
        <v>0</v>
      </c>
      <c r="W58" s="677">
        <f>0-V58</f>
        <v/>
      </c>
      <c r="X58" s="677">
        <f>218-SUM(V58:W58)</f>
        <v/>
      </c>
      <c r="Y58" s="676">
        <f>AG58-SUM(V58:X58)</f>
        <v/>
      </c>
      <c r="Z58" s="677" t="n">
        <v>0</v>
      </c>
      <c r="AA58" s="677">
        <f>-125-Z58</f>
        <v/>
      </c>
      <c r="AC58" s="677" t="n">
        <v>0</v>
      </c>
      <c r="AD58" s="677" t="n">
        <v>0</v>
      </c>
      <c r="AE58" s="677" t="n">
        <v>0</v>
      </c>
      <c r="AF58" s="677" t="n">
        <v>0</v>
      </c>
      <c r="AG58" s="677" t="n">
        <v>119</v>
      </c>
      <c r="AI58" s="676">
        <f>SUM(T58:W58)</f>
        <v/>
      </c>
      <c r="AJ58" s="676">
        <f>SUM(X58:AA58)</f>
        <v/>
      </c>
    </row>
    <row r="59" ht="12.75" customHeight="1" s="223">
      <c r="D59" s="674" t="inlineStr">
        <is>
          <t>Proceeds from issuance of long-term debt</t>
        </is>
      </c>
      <c r="F59" s="678" t="n">
        <v>0</v>
      </c>
      <c r="G59" s="678">
        <f>0-F59</f>
        <v/>
      </c>
      <c r="H59" s="678">
        <f>311-SUM(F59:G59)</f>
        <v/>
      </c>
      <c r="I59" s="679">
        <f>AC59-SUM(F59:H59)</f>
        <v/>
      </c>
      <c r="J59" s="678" t="n">
        <v>668</v>
      </c>
      <c r="K59" s="678">
        <f>754-J59</f>
        <v/>
      </c>
      <c r="L59" s="678">
        <f>754-SUM(J59:K59)</f>
        <v/>
      </c>
      <c r="M59" s="679">
        <f>AD59-SUM(J59:L59)</f>
        <v/>
      </c>
      <c r="N59" s="678" t="n">
        <v>0</v>
      </c>
      <c r="O59" s="678">
        <f>0-N59</f>
        <v/>
      </c>
      <c r="P59" s="678">
        <f>646-SUM(N59:O59)</f>
        <v/>
      </c>
      <c r="Q59" s="679">
        <f>AE59-SUM(N59:P59)</f>
        <v/>
      </c>
      <c r="R59" s="678" t="n">
        <v>905</v>
      </c>
      <c r="S59" s="678">
        <f>906-R59</f>
        <v/>
      </c>
      <c r="T59" s="678">
        <f>906-SUM(R59:S59)</f>
        <v/>
      </c>
      <c r="U59" s="679">
        <f>AF59-SUM(R59:T59)</f>
        <v/>
      </c>
      <c r="V59" s="678" t="n">
        <v>3</v>
      </c>
      <c r="W59" s="678">
        <f>889-V59</f>
        <v/>
      </c>
      <c r="X59" s="678">
        <f>1137-SUM(V59:W59)</f>
        <v/>
      </c>
      <c r="Y59" s="679">
        <f>AG59-SUM(V59:X59)</f>
        <v/>
      </c>
      <c r="Z59" s="678" t="n">
        <v>446</v>
      </c>
      <c r="AA59" s="678">
        <f>446-Z59</f>
        <v/>
      </c>
      <c r="AC59" s="678" t="n">
        <v>311</v>
      </c>
      <c r="AD59" s="678" t="n">
        <v>1194</v>
      </c>
      <c r="AE59" s="678" t="n">
        <v>1396</v>
      </c>
      <c r="AF59" s="678" t="n">
        <v>907</v>
      </c>
      <c r="AG59" s="678" t="n">
        <v>1140</v>
      </c>
      <c r="AI59" s="679">
        <f>SUM(T59:W59)</f>
        <v/>
      </c>
      <c r="AJ59" s="679">
        <f>SUM(X59:AA59)</f>
        <v/>
      </c>
    </row>
    <row r="60" ht="12.75" customHeight="1" s="223">
      <c r="D60" s="674" t="inlineStr">
        <is>
          <t>Payments on long-term debt</t>
        </is>
      </c>
      <c r="F60" s="678" t="n">
        <v>-95</v>
      </c>
      <c r="G60" s="678">
        <f>-209-F60</f>
        <v/>
      </c>
      <c r="H60" s="678">
        <f>-445-SUM(F60:G60)</f>
        <v/>
      </c>
      <c r="I60" s="679">
        <f>AC60-SUM(F60:H60)</f>
        <v/>
      </c>
      <c r="J60" s="678" t="n">
        <v>-646</v>
      </c>
      <c r="K60" s="678">
        <f>-1133-J60</f>
        <v/>
      </c>
      <c r="L60" s="678">
        <f>-1259-SUM(J60:K60)</f>
        <v/>
      </c>
      <c r="M60" s="679">
        <f>AD60-SUM(J60:L60)</f>
        <v/>
      </c>
      <c r="N60" s="678" t="n">
        <v>-452</v>
      </c>
      <c r="O60" s="678">
        <f>-826-N60</f>
        <v/>
      </c>
      <c r="P60" s="678">
        <f>-997-SUM(N60:O60)</f>
        <v/>
      </c>
      <c r="Q60" s="679">
        <f>AE60-SUM(N60:P60)</f>
        <v/>
      </c>
      <c r="R60" s="678" t="n">
        <v>-570</v>
      </c>
      <c r="S60" s="678">
        <f>-871-R60</f>
        <v/>
      </c>
      <c r="T60" s="678">
        <f>-913-SUM(R60:S60)</f>
        <v/>
      </c>
      <c r="U60" s="679">
        <f>AF60-SUM(R60:T60)</f>
        <v/>
      </c>
      <c r="V60" s="678" t="n">
        <v>-107</v>
      </c>
      <c r="W60" s="678">
        <f>-343-V60</f>
        <v/>
      </c>
      <c r="X60" s="678">
        <f>-685-SUM(V60:W60)</f>
        <v/>
      </c>
      <c r="Y60" s="679">
        <f>AG60-SUM(V60:X60)</f>
        <v/>
      </c>
      <c r="Z60" s="678" t="n">
        <v>-191</v>
      </c>
      <c r="AA60" s="678">
        <f>-251-Z60</f>
        <v/>
      </c>
      <c r="AC60" s="678" t="n">
        <v>-519</v>
      </c>
      <c r="AD60" s="678" t="n">
        <v>-1723</v>
      </c>
      <c r="AE60" s="678" t="n">
        <v>-1874</v>
      </c>
      <c r="AF60" s="678" t="n">
        <v>-992</v>
      </c>
      <c r="AG60" s="678" t="n">
        <v>-755</v>
      </c>
      <c r="AI60" s="679">
        <f>SUM(T60:W60)</f>
        <v/>
      </c>
      <c r="AJ60" s="679">
        <f>SUM(X60:AA60)</f>
        <v/>
      </c>
    </row>
    <row r="61" ht="12.75" customHeight="1" s="223">
      <c r="D61" s="674" t="inlineStr">
        <is>
          <t>Tariff receivables monetization</t>
        </is>
      </c>
      <c r="F61" s="679" t="n"/>
      <c r="G61" s="679" t="n"/>
      <c r="H61" s="679" t="n"/>
      <c r="I61" s="679" t="n"/>
      <c r="J61" s="679" t="n"/>
      <c r="K61" s="679" t="n"/>
      <c r="L61" s="679" t="n"/>
      <c r="M61" s="679" t="n"/>
      <c r="N61" s="679" t="n"/>
      <c r="O61" s="679" t="n"/>
      <c r="P61" s="679" t="n"/>
      <c r="Q61" s="679" t="n"/>
      <c r="R61" s="679" t="n"/>
      <c r="S61" s="679" t="n"/>
      <c r="T61" s="679" t="n"/>
      <c r="U61" s="679" t="n"/>
      <c r="V61" s="679" t="n"/>
      <c r="W61" s="679" t="n"/>
      <c r="X61" s="679" t="n"/>
      <c r="Y61" s="679" t="n"/>
      <c r="Z61" s="678" t="n">
        <v>0</v>
      </c>
      <c r="AA61" s="678">
        <f>80-Z61</f>
        <v/>
      </c>
      <c r="AC61" s="679" t="n"/>
      <c r="AD61" s="679" t="n"/>
      <c r="AE61" s="679" t="n"/>
      <c r="AF61" s="679" t="n"/>
      <c r="AG61" s="679" t="n"/>
      <c r="AI61" s="679">
        <f>SUM(T61:W61)</f>
        <v/>
      </c>
      <c r="AJ61" s="679">
        <f>SUM(X61:AA61)</f>
        <v/>
      </c>
    </row>
    <row r="62" ht="12.75" customHeight="1" s="223">
      <c r="D62" s="674" t="inlineStr">
        <is>
          <t>Purchases of capped calls</t>
        </is>
      </c>
      <c r="F62" s="679" t="n"/>
      <c r="G62" s="679" t="n"/>
      <c r="H62" s="679" t="n"/>
      <c r="I62" s="679" t="n"/>
      <c r="J62" s="679" t="n"/>
      <c r="K62" s="679" t="n"/>
      <c r="L62" s="679" t="n"/>
      <c r="M62" s="679" t="n"/>
      <c r="N62" s="679" t="n"/>
      <c r="O62" s="679" t="n"/>
      <c r="P62" s="679" t="n"/>
      <c r="Q62" s="679" t="n"/>
      <c r="R62" s="678" t="n">
        <v>-23</v>
      </c>
      <c r="S62" s="678">
        <f>-23-R62</f>
        <v/>
      </c>
      <c r="T62" s="678">
        <f>-23-SUM(R62:S62)</f>
        <v/>
      </c>
      <c r="U62" s="679">
        <f>AF62-SUM(R62:T62)</f>
        <v/>
      </c>
      <c r="V62" s="678" t="n">
        <v>0</v>
      </c>
      <c r="W62" s="678">
        <f>0-V62</f>
        <v/>
      </c>
      <c r="X62" s="678">
        <f>0-SUM(V62:W62)</f>
        <v/>
      </c>
      <c r="Y62" s="679">
        <f>AG62-SUM(V62:X62)</f>
        <v/>
      </c>
      <c r="Z62" s="679" t="n"/>
      <c r="AA62" s="679" t="n"/>
      <c r="AC62" s="679" t="n"/>
      <c r="AD62" s="679" t="n"/>
      <c r="AE62" s="679" t="n"/>
      <c r="AF62" s="678" t="n">
        <v>-23</v>
      </c>
      <c r="AG62" s="678" t="n">
        <v>0</v>
      </c>
      <c r="AI62" s="679">
        <f>SUM(T62:W62)</f>
        <v/>
      </c>
      <c r="AJ62" s="679">
        <f>SUM(X62:AA62)</f>
        <v/>
      </c>
    </row>
    <row r="63" ht="12.75" customHeight="1" s="223">
      <c r="D63" s="674" t="inlineStr">
        <is>
          <t>Dividends</t>
        </is>
      </c>
      <c r="F63" s="678" t="n">
        <v>-54</v>
      </c>
      <c r="G63" s="678">
        <f>-108-F63</f>
        <v/>
      </c>
      <c r="H63" s="678">
        <f>-157-SUM(F63:G63)</f>
        <v/>
      </c>
      <c r="I63" s="679">
        <f>AC63-SUM(F63:H63)</f>
        <v/>
      </c>
      <c r="J63" s="678" t="n">
        <v>-46</v>
      </c>
      <c r="K63" s="678">
        <f>-88-J63</f>
        <v/>
      </c>
      <c r="L63" s="678">
        <f>-131-SUM(J63:K63)</f>
        <v/>
      </c>
      <c r="M63" s="679">
        <f>AD63-SUM(J63:L63)</f>
        <v/>
      </c>
      <c r="N63" s="678" t="n">
        <v>-45</v>
      </c>
      <c r="O63" s="678">
        <f>-88-N63</f>
        <v/>
      </c>
      <c r="P63" s="678">
        <f>-131-SUM(N63:O63)</f>
        <v/>
      </c>
      <c r="Q63" s="679">
        <f>AE63-SUM(N63:P63)</f>
        <v/>
      </c>
      <c r="R63" s="678" t="n">
        <v>-37</v>
      </c>
      <c r="S63" s="678">
        <f>-71-R63</f>
        <v/>
      </c>
      <c r="T63" s="678">
        <f>-107-SUM(R63:S63)</f>
        <v/>
      </c>
      <c r="U63" s="679">
        <f>AF63-SUM(R63:T63)</f>
        <v/>
      </c>
      <c r="V63" s="678" t="n">
        <v>-39</v>
      </c>
      <c r="W63" s="678">
        <f>-58-V63</f>
        <v/>
      </c>
      <c r="X63" s="678">
        <f>-65-SUM(V63:W63)</f>
        <v/>
      </c>
      <c r="Y63" s="679">
        <f>AG63-SUM(V63:X63)</f>
        <v/>
      </c>
      <c r="Z63" s="678" t="n">
        <v>-10</v>
      </c>
      <c r="AA63" s="678">
        <f>-16-Z63</f>
        <v/>
      </c>
      <c r="AC63" s="678" t="n">
        <v>-206</v>
      </c>
      <c r="AD63" s="678" t="n">
        <v>-174</v>
      </c>
      <c r="AE63" s="678" t="n">
        <v>-165</v>
      </c>
      <c r="AF63" s="678" t="n">
        <v>-141</v>
      </c>
      <c r="AG63" s="678" t="n">
        <v>-71</v>
      </c>
      <c r="AI63" s="679">
        <f>SUM(T63:W63)</f>
        <v/>
      </c>
      <c r="AJ63" s="679">
        <f>SUM(X63:AA63)</f>
        <v/>
      </c>
    </row>
    <row r="64" ht="12.75" customHeight="1" s="223">
      <c r="D64" s="674" t="inlineStr">
        <is>
          <t>Payments to acquire treasury stock, including fees</t>
        </is>
      </c>
      <c r="F64" s="678" t="n">
        <v>-162</v>
      </c>
      <c r="G64" s="678">
        <f>-413-F64</f>
        <v/>
      </c>
      <c r="H64" s="678">
        <f>-500-SUM(F64:G64)</f>
        <v/>
      </c>
      <c r="I64" s="679">
        <f>AC64-SUM(F64:H64)</f>
        <v/>
      </c>
      <c r="J64" s="678" t="n">
        <v>-113</v>
      </c>
      <c r="K64" s="678">
        <f>-113-J64</f>
        <v/>
      </c>
      <c r="L64" s="678">
        <f>-113-SUM(J64:K64)</f>
        <v/>
      </c>
      <c r="M64" s="679">
        <f>AD64-SUM(J64:L64)</f>
        <v/>
      </c>
      <c r="N64" s="678" t="n">
        <v>0</v>
      </c>
      <c r="O64" s="678">
        <f>0-N64</f>
        <v/>
      </c>
      <c r="P64" s="678">
        <f>-544-SUM(N64:O64)</f>
        <v/>
      </c>
      <c r="Q64" s="679">
        <f>AE64-SUM(N64:P64)</f>
        <v/>
      </c>
      <c r="R64" s="678" t="n">
        <v>-3</v>
      </c>
      <c r="S64" s="678">
        <f>-3-R64</f>
        <v/>
      </c>
      <c r="T64" s="678">
        <f>-3-SUM(R64:S64)</f>
        <v/>
      </c>
      <c r="U64" s="679">
        <f>AF64-SUM(R64:T64)</f>
        <v/>
      </c>
      <c r="V64" s="678" t="n">
        <v>0</v>
      </c>
      <c r="W64" s="678">
        <f>0-V64</f>
        <v/>
      </c>
      <c r="X64" s="678">
        <f>0-SUM(V64:W64)</f>
        <v/>
      </c>
      <c r="Y64" s="679">
        <f>AG64-SUM(V64:X64)</f>
        <v/>
      </c>
      <c r="Z64" s="679" t="n"/>
      <c r="AA64" s="679" t="n"/>
      <c r="AC64" s="678" t="n">
        <v>-888</v>
      </c>
      <c r="AD64" s="678" t="n">
        <v>-113</v>
      </c>
      <c r="AE64" s="678" t="n">
        <v>-544</v>
      </c>
      <c r="AF64" s="678" t="n">
        <v>-8</v>
      </c>
      <c r="AG64" s="678" t="n">
        <v>0</v>
      </c>
      <c r="AI64" s="679">
        <f>SUM(T64:W64)</f>
        <v/>
      </c>
      <c r="AJ64" s="679">
        <f>SUM(X64:AA64)</f>
        <v/>
      </c>
    </row>
    <row r="65" ht="12.75" customHeight="1" s="223">
      <c r="D65" s="674" t="inlineStr">
        <is>
          <t>Other financing, net</t>
        </is>
      </c>
      <c r="F65" s="678" t="n">
        <v>-7</v>
      </c>
      <c r="G65" s="678">
        <f>-17-F65</f>
        <v/>
      </c>
      <c r="H65" s="678">
        <f>-3-SUM(F65:G65)</f>
        <v/>
      </c>
      <c r="I65" s="679">
        <f>AC65-SUM(F65:H65)</f>
        <v/>
      </c>
      <c r="J65" s="678" t="n">
        <v>-12</v>
      </c>
      <c r="K65" s="678">
        <f>-7-J65</f>
        <v/>
      </c>
      <c r="L65" s="678">
        <f>-6-SUM(J65:K65)</f>
        <v/>
      </c>
      <c r="M65" s="679">
        <f>AD65-SUM(J65:L65)</f>
        <v/>
      </c>
      <c r="N65" s="678" t="n">
        <v>-8</v>
      </c>
      <c r="O65" s="678">
        <f>-11-N65</f>
        <v/>
      </c>
      <c r="P65" s="678">
        <f>-13-SUM(N65:O65)</f>
        <v/>
      </c>
      <c r="Q65" s="679">
        <f>AE65-SUM(N65:P65)</f>
        <v/>
      </c>
      <c r="R65" s="678" t="n">
        <v>-11</v>
      </c>
      <c r="S65" s="678">
        <f>-13-R65</f>
        <v/>
      </c>
      <c r="T65" s="678">
        <f>-9-SUM(R65:S65)</f>
        <v/>
      </c>
      <c r="U65" s="679">
        <f>AF65-SUM(R65:T65)</f>
        <v/>
      </c>
      <c r="V65" s="678" t="n">
        <v>-16</v>
      </c>
      <c r="W65" s="678">
        <f>-29-V65</f>
        <v/>
      </c>
      <c r="X65" s="678">
        <f>-28-SUM(V65:W65)</f>
        <v/>
      </c>
      <c r="Y65" s="679">
        <f>AG65-SUM(V65:X65)</f>
        <v/>
      </c>
      <c r="Z65" s="678" t="n">
        <v>-3</v>
      </c>
      <c r="AA65" s="678">
        <f>-6-Z65</f>
        <v/>
      </c>
      <c r="AC65" s="678" t="n">
        <v>-8</v>
      </c>
      <c r="AD65" s="678" t="n">
        <v>-6</v>
      </c>
      <c r="AE65" s="678" t="n">
        <v>-15</v>
      </c>
      <c r="AF65" s="678" t="n">
        <v>-14</v>
      </c>
      <c r="AG65" s="678" t="n">
        <v>-29</v>
      </c>
      <c r="AI65" s="679">
        <f>SUM(T65:W65)</f>
        <v/>
      </c>
      <c r="AJ65" s="679">
        <f>SUM(X65:AA65)</f>
        <v/>
      </c>
    </row>
    <row r="66" ht="12.75" customHeight="1" s="223">
      <c r="D66" s="681" t="inlineStr">
        <is>
          <t>Net cash provided by (used in) financing activities</t>
        </is>
      </c>
      <c r="E66" s="682" t="n"/>
      <c r="F66" s="683">
        <f>SUM(F58:F65)</f>
        <v/>
      </c>
      <c r="G66" s="683">
        <f>SUM(G58:G65)</f>
        <v/>
      </c>
      <c r="H66" s="683">
        <f>SUM(H58:H65)</f>
        <v/>
      </c>
      <c r="I66" s="683">
        <f>SUM(I58:I65)</f>
        <v/>
      </c>
      <c r="J66" s="683">
        <f>SUM(J58:J65)</f>
        <v/>
      </c>
      <c r="K66" s="683">
        <f>SUM(K58:K65)</f>
        <v/>
      </c>
      <c r="L66" s="683">
        <f>SUM(L58:L65)</f>
        <v/>
      </c>
      <c r="M66" s="683">
        <f>SUM(M58:M65)</f>
        <v/>
      </c>
      <c r="N66" s="683">
        <f>SUM(N58:N65)</f>
        <v/>
      </c>
      <c r="O66" s="683">
        <f>SUM(O58:O65)</f>
        <v/>
      </c>
      <c r="P66" s="683">
        <f>SUM(P58:P65)</f>
        <v/>
      </c>
      <c r="Q66" s="683">
        <f>SUM(Q58:Q65)</f>
        <v/>
      </c>
      <c r="R66" s="683">
        <f>SUM(R58:R65)</f>
        <v/>
      </c>
      <c r="S66" s="683">
        <f>SUM(S58:S65)</f>
        <v/>
      </c>
      <c r="T66" s="683">
        <f>SUM(T58:T65)</f>
        <v/>
      </c>
      <c r="U66" s="683">
        <f>SUM(U58:U65)</f>
        <v/>
      </c>
      <c r="V66" s="683">
        <f>SUM(V58:V65)</f>
        <v/>
      </c>
      <c r="W66" s="683">
        <f>SUM(W58:W65)</f>
        <v/>
      </c>
      <c r="X66" s="683">
        <f>SUM(X58:X65)</f>
        <v/>
      </c>
      <c r="Y66" s="683">
        <f>SUM(Y58:Y65)</f>
        <v/>
      </c>
      <c r="Z66" s="683">
        <f>SUM(Z58:Z65)</f>
        <v/>
      </c>
      <c r="AA66" s="684">
        <f>SUM(AA58:AA65)</f>
        <v/>
      </c>
      <c r="AC66" s="685">
        <f>SUM(AC58:AC65)</f>
        <v/>
      </c>
      <c r="AD66" s="683">
        <f>SUM(AD58:AD65)</f>
        <v/>
      </c>
      <c r="AE66" s="683">
        <f>SUM(AE58:AE65)</f>
        <v/>
      </c>
      <c r="AF66" s="683">
        <f>SUM(AF58:AF65)</f>
        <v/>
      </c>
      <c r="AG66" s="684">
        <f>SUM(AG58:AG65)</f>
        <v/>
      </c>
      <c r="AI66" s="686">
        <f>SUM(AI58:AI65)</f>
        <v/>
      </c>
      <c r="AJ66" s="686">
        <f>SUM(AJ58:AJ65)</f>
        <v/>
      </c>
    </row>
    <row r="67" ht="12.75" customHeight="1" s="223">
      <c r="D67" s="687" t="inlineStr">
        <is>
          <t>Net cash provided by (used in) financing activities</t>
        </is>
      </c>
      <c r="F67" s="688" t="n">
        <v>-318</v>
      </c>
      <c r="G67" s="688">
        <f>-747-(-318)</f>
        <v/>
      </c>
      <c r="H67" s="688">
        <f>-793-(-747)</f>
        <v/>
      </c>
      <c r="I67" s="688">
        <f>-1310-(-793)</f>
        <v/>
      </c>
      <c r="J67" s="688" t="n">
        <v>-149</v>
      </c>
      <c r="K67" s="688">
        <f>-587-(-149)</f>
        <v/>
      </c>
      <c r="L67" s="688">
        <f>-755-(-587)</f>
        <v/>
      </c>
      <c r="M67" s="688">
        <f>-822-(-755)</f>
        <v/>
      </c>
      <c r="N67" s="688" t="n">
        <v>-505</v>
      </c>
      <c r="O67" s="688">
        <f>-725-(-505)</f>
        <v/>
      </c>
      <c r="P67" s="688">
        <f>-819-(-725)</f>
        <v/>
      </c>
      <c r="Q67" s="688">
        <f>-1202-(-819)</f>
        <v/>
      </c>
      <c r="R67" s="688" t="n">
        <v>261</v>
      </c>
      <c r="S67" s="688">
        <f>-75-261</f>
        <v/>
      </c>
      <c r="T67" s="688">
        <f>-149-(-75)</f>
        <v/>
      </c>
      <c r="U67" s="688">
        <f>-271-(-149)</f>
        <v/>
      </c>
      <c r="V67" s="688" t="n">
        <v>-159</v>
      </c>
      <c r="W67" s="688">
        <f>459-(-159)</f>
        <v/>
      </c>
      <c r="X67" s="688">
        <f>577-459</f>
        <v/>
      </c>
      <c r="Y67" s="688">
        <f>404-577</f>
        <v/>
      </c>
      <c r="Z67" s="688" t="n">
        <v>242</v>
      </c>
      <c r="AA67" s="688">
        <f>128-242</f>
        <v/>
      </c>
      <c r="AC67" s="688" t="n">
        <v>-1310</v>
      </c>
      <c r="AD67" s="688" t="n">
        <v>-822</v>
      </c>
      <c r="AE67" s="688" t="n">
        <v>-1202</v>
      </c>
      <c r="AF67" s="688" t="n">
        <v>-271</v>
      </c>
      <c r="AG67" s="688" t="n">
        <v>404</v>
      </c>
      <c r="AI67" s="676">
        <f>SUM(T67:W67)</f>
        <v/>
      </c>
      <c r="AJ67" s="676">
        <f>SUM(X67:AA67)</f>
        <v/>
      </c>
    </row>
    <row r="68" ht="12.75" customHeight="1" s="223">
      <c r="D68" s="689" t="inlineStr">
        <is>
          <t>Check</t>
        </is>
      </c>
      <c r="F68" s="690">
        <f>F66-F67</f>
        <v/>
      </c>
      <c r="G68" s="690">
        <f>G66-G67</f>
        <v/>
      </c>
      <c r="H68" s="690">
        <f>H66-H67</f>
        <v/>
      </c>
      <c r="I68" s="690">
        <f>I66-I67</f>
        <v/>
      </c>
      <c r="J68" s="690">
        <f>J66-J67</f>
        <v/>
      </c>
      <c r="K68" s="690">
        <f>K66-K67</f>
        <v/>
      </c>
      <c r="L68" s="690">
        <f>L66-L67</f>
        <v/>
      </c>
      <c r="M68" s="690">
        <f>M66-M67</f>
        <v/>
      </c>
      <c r="N68" s="690">
        <f>N66-N67</f>
        <v/>
      </c>
      <c r="O68" s="690">
        <f>O66-O67</f>
        <v/>
      </c>
      <c r="P68" s="690">
        <f>P66-P67</f>
        <v/>
      </c>
      <c r="Q68" s="690">
        <f>Q66-Q67</f>
        <v/>
      </c>
      <c r="R68" s="690">
        <f>R66-R67</f>
        <v/>
      </c>
      <c r="S68" s="690">
        <f>S66-S67</f>
        <v/>
      </c>
      <c r="T68" s="690">
        <f>T66-T67</f>
        <v/>
      </c>
      <c r="U68" s="690">
        <f>U66-U67</f>
        <v/>
      </c>
      <c r="V68" s="690">
        <f>V66-V67</f>
        <v/>
      </c>
      <c r="W68" s="690">
        <f>W66-W67</f>
        <v/>
      </c>
      <c r="X68" s="690">
        <f>X66-X67</f>
        <v/>
      </c>
      <c r="Y68" s="690">
        <f>Y66-Y67</f>
        <v/>
      </c>
      <c r="Z68" s="690">
        <f>Z66-Z67</f>
        <v/>
      </c>
      <c r="AA68" s="690">
        <f>AA66-AA67</f>
        <v/>
      </c>
      <c r="AC68" s="690">
        <f>AC66-AC67</f>
        <v/>
      </c>
      <c r="AD68" s="690">
        <f>AD66-AD67</f>
        <v/>
      </c>
      <c r="AE68" s="690">
        <f>AE66-AE67</f>
        <v/>
      </c>
      <c r="AF68" s="690">
        <f>AF66-AF67</f>
        <v/>
      </c>
      <c r="AG68" s="690">
        <f>AG66-AG67</f>
        <v/>
      </c>
      <c r="AI68" s="679" t="n"/>
      <c r="AJ68" s="679" t="n"/>
    </row>
    <row r="69" ht="4.5" customHeight="1" s="223">
      <c r="D69" s="674" t="n"/>
    </row>
    <row r="70" ht="12.75" customHeight="1" s="223">
      <c r="D70" s="674" t="inlineStr">
        <is>
          <t>Effect of exchange rate changes on cash, cash equivalents and restricted cash</t>
        </is>
      </c>
      <c r="F70" s="677" t="n">
        <v>-12</v>
      </c>
      <c r="G70" s="677">
        <f>0-F70</f>
        <v/>
      </c>
      <c r="H70" s="677">
        <f>-13-SUM(F70:G70)</f>
        <v/>
      </c>
      <c r="I70" s="676">
        <f>AC70-SUM(F70:H70)</f>
        <v/>
      </c>
      <c r="J70" s="677" t="n">
        <v>10</v>
      </c>
      <c r="K70" s="677">
        <f>-14-J70</f>
        <v/>
      </c>
      <c r="L70" s="677">
        <f>-31-SUM(J70:K70)</f>
        <v/>
      </c>
      <c r="M70" s="676">
        <f>AD70-SUM(J70:L70)</f>
        <v/>
      </c>
      <c r="N70" s="677" t="n">
        <v>2</v>
      </c>
      <c r="O70" s="677">
        <f>4-N70</f>
        <v/>
      </c>
      <c r="P70" s="677">
        <f>-3-SUM(N70:O70)</f>
        <v/>
      </c>
      <c r="Q70" s="676">
        <f>AE70-SUM(N70:P70)</f>
        <v/>
      </c>
      <c r="R70" s="677" t="n">
        <v>-10</v>
      </c>
      <c r="S70" s="677">
        <f>-16-R70</f>
        <v/>
      </c>
      <c r="T70" s="677">
        <f>-12-SUM(R70:S70)</f>
        <v/>
      </c>
      <c r="U70" s="676">
        <f>AF70-SUM(R70:T70)</f>
        <v/>
      </c>
      <c r="V70" s="677" t="n">
        <v>1</v>
      </c>
      <c r="W70" s="677">
        <f>7-V70</f>
        <v/>
      </c>
      <c r="X70" s="677">
        <f>5-SUM(V70:W70)</f>
        <v/>
      </c>
      <c r="Y70" s="676">
        <f>AG70-SUM(V70:X70)</f>
        <v/>
      </c>
      <c r="Z70" s="677" t="n">
        <v>-2</v>
      </c>
      <c r="AA70" s="677">
        <f>-1-Z70</f>
        <v/>
      </c>
      <c r="AC70" s="677" t="n">
        <v>-16</v>
      </c>
      <c r="AD70" s="677" t="n">
        <v>-29</v>
      </c>
      <c r="AE70" s="677" t="n">
        <v>-1</v>
      </c>
      <c r="AF70" s="677" t="n">
        <v>-28</v>
      </c>
      <c r="AG70" s="677" t="n">
        <v>4</v>
      </c>
      <c r="AI70" s="676">
        <f>SUM(T70:W70)</f>
        <v/>
      </c>
      <c r="AJ70" s="676">
        <f>SUM(X70:AA70)</f>
        <v/>
      </c>
    </row>
    <row r="71" ht="12.75" customHeight="1" s="223">
      <c r="D71" s="681" t="inlineStr">
        <is>
          <t>Net increase (decrease) in cash, cash equivalents and restricted cash</t>
        </is>
      </c>
      <c r="E71" s="682" t="n"/>
      <c r="F71" s="683">
        <f>F42+F53+F66+F70</f>
        <v/>
      </c>
      <c r="G71" s="683">
        <f>G42+G53+G66+G70</f>
        <v/>
      </c>
      <c r="H71" s="683">
        <f>H42+H53+H66+H70</f>
        <v/>
      </c>
      <c r="I71" s="683">
        <f>I42+I53+I66+I70</f>
        <v/>
      </c>
      <c r="J71" s="683">
        <f>J42+J53+J66+J70</f>
        <v/>
      </c>
      <c r="K71" s="683">
        <f>K42+K53+K66+K70</f>
        <v/>
      </c>
      <c r="L71" s="683">
        <f>L42+L53+L66+L70</f>
        <v/>
      </c>
      <c r="M71" s="683">
        <f>M42+M53+M66+M70</f>
        <v/>
      </c>
      <c r="N71" s="683">
        <f>N42+N53+N66+N70</f>
        <v/>
      </c>
      <c r="O71" s="683">
        <f>O42+O53+O66+O70</f>
        <v/>
      </c>
      <c r="P71" s="683">
        <f>P42+P53+P66+P70</f>
        <v/>
      </c>
      <c r="Q71" s="683">
        <f>Q42+Q53+Q66+Q70</f>
        <v/>
      </c>
      <c r="R71" s="683">
        <f>R42+R53+R66+R70</f>
        <v/>
      </c>
      <c r="S71" s="683">
        <f>S42+S53+S66+S70</f>
        <v/>
      </c>
      <c r="T71" s="683">
        <f>T42+T53+T66+T70</f>
        <v/>
      </c>
      <c r="U71" s="683">
        <f>U42+U53+U66+U70</f>
        <v/>
      </c>
      <c r="V71" s="683">
        <f>V42+V53+V66+V70</f>
        <v/>
      </c>
      <c r="W71" s="683">
        <f>W42+W53+W66+W70</f>
        <v/>
      </c>
      <c r="X71" s="683">
        <f>X42+X53+X66+X70</f>
        <v/>
      </c>
      <c r="Y71" s="683">
        <f>Y42+Y53+Y66+Y70</f>
        <v/>
      </c>
      <c r="Z71" s="683">
        <f>Z42+Z53+Z66+Z70</f>
        <v/>
      </c>
      <c r="AA71" s="684">
        <f>AA42+AA53+AA66+AA70</f>
        <v/>
      </c>
      <c r="AC71" s="685">
        <f>AC42+AC53+AC66+AC70</f>
        <v/>
      </c>
      <c r="AD71" s="683">
        <f>AD42+AD53+AD66+AD70</f>
        <v/>
      </c>
      <c r="AE71" s="683">
        <f>AE42+AE53+AE66+AE70</f>
        <v/>
      </c>
      <c r="AF71" s="683">
        <f>AF42+AF53+AF66+AF70</f>
        <v/>
      </c>
      <c r="AG71" s="684">
        <f>AG42+AG53+AG66+AG70</f>
        <v/>
      </c>
      <c r="AI71" s="686">
        <f>AI42+AI53+AI66+AI70</f>
        <v/>
      </c>
      <c r="AJ71" s="686">
        <f>AJ42+AJ53+AJ66+AJ70</f>
        <v/>
      </c>
    </row>
    <row r="72" ht="12.75" customHeight="1" s="223">
      <c r="D72" s="687" t="inlineStr">
        <is>
          <t>Net increase (decrease) in cash, cash equivalents and restricted cash</t>
        </is>
      </c>
      <c r="F72" s="688" t="n">
        <v>-230</v>
      </c>
      <c r="G72" s="688">
        <f>-488-(-230)</f>
        <v/>
      </c>
      <c r="H72" s="688">
        <f>-429-(-488)</f>
        <v/>
      </c>
      <c r="I72" s="688">
        <f>-782-(-429)</f>
        <v/>
      </c>
      <c r="J72" s="688" t="n">
        <v>-148</v>
      </c>
      <c r="K72" s="688">
        <f>-682-(-148)</f>
        <v/>
      </c>
      <c r="L72" s="688">
        <f>-908-(-682)</f>
        <v/>
      </c>
      <c r="M72" s="688">
        <f>-770-(-908)</f>
        <v/>
      </c>
      <c r="N72" s="688" t="n">
        <v>-442</v>
      </c>
      <c r="O72" s="688">
        <f>-570-(-442)</f>
        <v/>
      </c>
      <c r="P72" s="688">
        <f>-522-(-570)</f>
        <v/>
      </c>
      <c r="Q72" s="688">
        <f>-522-(-522)</f>
        <v/>
      </c>
      <c r="R72" s="688" t="n">
        <v>155</v>
      </c>
      <c r="S72" s="688">
        <f>-66-155</f>
        <v/>
      </c>
      <c r="T72" s="688">
        <f>-27-(-66)</f>
        <v/>
      </c>
      <c r="U72" s="688">
        <f>14-(-27)</f>
        <v/>
      </c>
      <c r="V72" s="688" t="n">
        <v>-241</v>
      </c>
      <c r="W72" s="688">
        <f>354-(-241)</f>
        <v/>
      </c>
      <c r="X72" s="688">
        <f>-96-354</f>
        <v/>
      </c>
      <c r="Y72" s="688">
        <f>-66-(-96)</f>
        <v/>
      </c>
      <c r="Z72" s="688" t="n">
        <v>72</v>
      </c>
      <c r="AA72" s="688">
        <f>-13-72</f>
        <v/>
      </c>
      <c r="AC72" s="688" t="n">
        <v>-782</v>
      </c>
      <c r="AD72" s="688" t="n">
        <v>-770</v>
      </c>
      <c r="AE72" s="688" t="n">
        <v>-522</v>
      </c>
      <c r="AF72" s="688" t="n">
        <v>14</v>
      </c>
      <c r="AG72" s="688" t="n">
        <v>-66</v>
      </c>
      <c r="AI72" s="676">
        <f>SUM(T72:W72)</f>
        <v/>
      </c>
      <c r="AJ72" s="676">
        <f>SUM(X72:AA72)</f>
        <v/>
      </c>
    </row>
    <row r="73" ht="12.75" customHeight="1" s="223">
      <c r="D73" s="689" t="inlineStr">
        <is>
          <t>Check</t>
        </is>
      </c>
      <c r="F73" s="693">
        <f>F71-F72</f>
        <v/>
      </c>
      <c r="G73" s="693">
        <f>G71-G72</f>
        <v/>
      </c>
      <c r="H73" s="693">
        <f>H71-H72</f>
        <v/>
      </c>
      <c r="I73" s="693">
        <f>I71-I72</f>
        <v/>
      </c>
      <c r="J73" s="693">
        <f>J71-J72</f>
        <v/>
      </c>
      <c r="K73" s="693">
        <f>K71-K72</f>
        <v/>
      </c>
      <c r="L73" s="693">
        <f>L71-L72</f>
        <v/>
      </c>
      <c r="M73" s="693">
        <f>M71-M72</f>
        <v/>
      </c>
      <c r="N73" s="693">
        <f>N71-N72</f>
        <v/>
      </c>
      <c r="O73" s="693">
        <f>O71-O72</f>
        <v/>
      </c>
      <c r="P73" s="693">
        <f>P71-P72</f>
        <v/>
      </c>
      <c r="Q73" s="693">
        <f>Q71-Q72</f>
        <v/>
      </c>
      <c r="R73" s="693">
        <f>R71-R72</f>
        <v/>
      </c>
      <c r="S73" s="693">
        <f>S71-S72</f>
        <v/>
      </c>
      <c r="T73" s="693">
        <f>T71-T72</f>
        <v/>
      </c>
      <c r="U73" s="693">
        <f>U71-U72</f>
        <v/>
      </c>
      <c r="V73" s="693">
        <f>V71-V72</f>
        <v/>
      </c>
      <c r="W73" s="693">
        <f>W71-W72</f>
        <v/>
      </c>
      <c r="X73" s="693">
        <f>X71-X72</f>
        <v/>
      </c>
      <c r="Y73" s="693">
        <f>Y71-Y72</f>
        <v/>
      </c>
      <c r="Z73" s="693">
        <f>Z71-Z72</f>
        <v/>
      </c>
      <c r="AA73" s="693">
        <f>AA71-AA72</f>
        <v/>
      </c>
      <c r="AC73" s="693">
        <f>AC71-AC72</f>
        <v/>
      </c>
      <c r="AD73" s="693">
        <f>AD71-AD72</f>
        <v/>
      </c>
      <c r="AE73" s="693">
        <f>AE71-AE72</f>
        <v/>
      </c>
      <c r="AF73" s="693">
        <f>AF71-AF72</f>
        <v/>
      </c>
      <c r="AG73" s="693">
        <f>AG71-AG72</f>
        <v/>
      </c>
      <c r="AI73" s="694" t="n"/>
      <c r="AJ73" s="694" t="n"/>
    </row>
    <row r="74" ht="4.5" customHeight="1" s="223">
      <c r="D74" s="674" t="n"/>
    </row>
    <row r="75" ht="12.75" customHeight="1" s="223">
      <c r="D75" s="695" t="inlineStr">
        <is>
          <t>Cash, cash equivalents and restricted cash, beginning</t>
        </is>
      </c>
      <c r="F75" s="677" t="n">
        <v>2691</v>
      </c>
      <c r="G75" s="676">
        <f>F76</f>
        <v/>
      </c>
      <c r="H75" s="676">
        <f>G76</f>
        <v/>
      </c>
      <c r="I75" s="676">
        <f>H76</f>
        <v/>
      </c>
      <c r="J75" s="677" t="n">
        <v>1909</v>
      </c>
      <c r="K75" s="676">
        <f>J76</f>
        <v/>
      </c>
      <c r="L75" s="676">
        <f>K76</f>
        <v/>
      </c>
      <c r="M75" s="676">
        <f>L76</f>
        <v/>
      </c>
      <c r="N75" s="677" t="n">
        <v>1139</v>
      </c>
      <c r="O75" s="676">
        <f>N76</f>
        <v/>
      </c>
      <c r="P75" s="676">
        <f>O76</f>
        <v/>
      </c>
      <c r="Q75" s="676">
        <f>P76</f>
        <v/>
      </c>
      <c r="R75" s="677" t="n">
        <v>617</v>
      </c>
      <c r="S75" s="676">
        <f>R76</f>
        <v/>
      </c>
      <c r="T75" s="676">
        <f>S76</f>
        <v/>
      </c>
      <c r="U75" s="676">
        <f>T76</f>
        <v/>
      </c>
      <c r="V75" s="677" t="n">
        <v>631</v>
      </c>
      <c r="W75" s="676">
        <f>V76</f>
        <v/>
      </c>
      <c r="X75" s="676">
        <f>W76</f>
        <v/>
      </c>
      <c r="Y75" s="676">
        <f>X76</f>
        <v/>
      </c>
      <c r="Z75" s="677" t="n">
        <v>565</v>
      </c>
      <c r="AA75" s="676">
        <f>Z76</f>
        <v/>
      </c>
      <c r="AC75" s="677" t="n">
        <v>2691</v>
      </c>
      <c r="AD75" s="677" t="n">
        <v>1909</v>
      </c>
      <c r="AE75" s="677" t="n">
        <v>1139</v>
      </c>
      <c r="AF75" s="677" t="n">
        <v>617</v>
      </c>
      <c r="AG75" s="677" t="n">
        <v>631</v>
      </c>
      <c r="AI75" s="676">
        <f>T75</f>
        <v/>
      </c>
      <c r="AJ75" s="676">
        <f>X75</f>
        <v/>
      </c>
    </row>
    <row r="76" ht="12.75" customHeight="1" s="223">
      <c r="D76" s="681" t="inlineStr">
        <is>
          <t>Cash, cash equivalents and restricted cash, ending</t>
        </is>
      </c>
      <c r="E76" s="682" t="n"/>
      <c r="F76" s="683">
        <f>F71+F75</f>
        <v/>
      </c>
      <c r="G76" s="683">
        <f>G71+G75</f>
        <v/>
      </c>
      <c r="H76" s="683">
        <f>H71+H75</f>
        <v/>
      </c>
      <c r="I76" s="683">
        <f>I71+I75</f>
        <v/>
      </c>
      <c r="J76" s="683">
        <f>J71+J75</f>
        <v/>
      </c>
      <c r="K76" s="683">
        <f>K71+K75</f>
        <v/>
      </c>
      <c r="L76" s="683">
        <f>L71+L75</f>
        <v/>
      </c>
      <c r="M76" s="683">
        <f>M71+M75</f>
        <v/>
      </c>
      <c r="N76" s="683">
        <f>N71+N75</f>
        <v/>
      </c>
      <c r="O76" s="683">
        <f>O71+O75</f>
        <v/>
      </c>
      <c r="P76" s="683">
        <f>P71+P75</f>
        <v/>
      </c>
      <c r="Q76" s="683">
        <f>Q71+Q75</f>
        <v/>
      </c>
      <c r="R76" s="683">
        <f>R71+R75</f>
        <v/>
      </c>
      <c r="S76" s="683">
        <f>S71+S75</f>
        <v/>
      </c>
      <c r="T76" s="683">
        <f>T71+T75</f>
        <v/>
      </c>
      <c r="U76" s="683">
        <f>U71+U75</f>
        <v/>
      </c>
      <c r="V76" s="683">
        <f>V71+V75</f>
        <v/>
      </c>
      <c r="W76" s="683">
        <f>W71+W75</f>
        <v/>
      </c>
      <c r="X76" s="683">
        <f>X71+X75</f>
        <v/>
      </c>
      <c r="Y76" s="683">
        <f>Y71+Y75</f>
        <v/>
      </c>
      <c r="Z76" s="683">
        <f>Z71+Z75</f>
        <v/>
      </c>
      <c r="AA76" s="684">
        <f>AA71+AA75</f>
        <v/>
      </c>
      <c r="AC76" s="685">
        <f>AC71+AC75</f>
        <v/>
      </c>
      <c r="AD76" s="683">
        <f>AD71+AD75</f>
        <v/>
      </c>
      <c r="AE76" s="683">
        <f>AE71+AE75</f>
        <v/>
      </c>
      <c r="AF76" s="683">
        <f>AF71+AF75</f>
        <v/>
      </c>
      <c r="AG76" s="684">
        <f>AG71+AG75</f>
        <v/>
      </c>
      <c r="AI76" s="686">
        <f>AI71+AI75</f>
        <v/>
      </c>
      <c r="AJ76" s="686">
        <f>AJ71+AJ75</f>
        <v/>
      </c>
    </row>
    <row r="77" ht="12.75" customHeight="1" s="223">
      <c r="D77" s="687" t="inlineStr">
        <is>
          <t>Cash, cash equivalents and restricted cash, ending</t>
        </is>
      </c>
      <c r="F77" s="688" t="n">
        <v>2461</v>
      </c>
      <c r="G77" s="688" t="n">
        <v>2203</v>
      </c>
      <c r="H77" s="688" t="n">
        <v>2262</v>
      </c>
      <c r="I77" s="688" t="n">
        <v>1909</v>
      </c>
      <c r="J77" s="688" t="n">
        <v>1761</v>
      </c>
      <c r="K77" s="688" t="n">
        <v>1227</v>
      </c>
      <c r="L77" s="688" t="n">
        <v>1001</v>
      </c>
      <c r="M77" s="688" t="n">
        <v>1139</v>
      </c>
      <c r="N77" s="688" t="n">
        <v>697</v>
      </c>
      <c r="O77" s="688" t="n">
        <v>569</v>
      </c>
      <c r="P77" s="688" t="n">
        <v>617</v>
      </c>
      <c r="Q77" s="688" t="n">
        <v>617</v>
      </c>
      <c r="R77" s="688" t="n">
        <v>772</v>
      </c>
      <c r="S77" s="688" t="n">
        <v>551</v>
      </c>
      <c r="T77" s="688" t="n">
        <v>590</v>
      </c>
      <c r="U77" s="688" t="n">
        <v>631</v>
      </c>
      <c r="V77" s="688" t="n">
        <v>390</v>
      </c>
      <c r="W77" s="688" t="n">
        <v>985</v>
      </c>
      <c r="X77" s="688" t="n">
        <v>535</v>
      </c>
      <c r="Y77" s="688" t="n">
        <v>565</v>
      </c>
      <c r="Z77" s="688" t="n">
        <v>637</v>
      </c>
      <c r="AA77" s="688" t="n">
        <v>552</v>
      </c>
      <c r="AC77" s="688" t="n">
        <v>1909</v>
      </c>
      <c r="AD77" s="688" t="n">
        <v>1139</v>
      </c>
      <c r="AE77" s="688" t="n">
        <v>617</v>
      </c>
      <c r="AF77" s="688" t="n">
        <v>631</v>
      </c>
      <c r="AG77" s="688" t="n">
        <v>565</v>
      </c>
      <c r="AI77" s="676">
        <f>W77</f>
        <v/>
      </c>
      <c r="AJ77" s="676">
        <f>AA77</f>
        <v/>
      </c>
    </row>
    <row r="78" ht="12.75" customHeight="1" s="223">
      <c r="D78" s="689" t="inlineStr">
        <is>
          <t>Check</t>
        </is>
      </c>
      <c r="F78" s="690">
        <f>F76-F77</f>
        <v/>
      </c>
      <c r="G78" s="690">
        <f>G76-G77</f>
        <v/>
      </c>
      <c r="H78" s="690">
        <f>H76-H77</f>
        <v/>
      </c>
      <c r="I78" s="690">
        <f>I76-I77</f>
        <v/>
      </c>
      <c r="J78" s="690">
        <f>J76-J77</f>
        <v/>
      </c>
      <c r="K78" s="690">
        <f>K76-K77</f>
        <v/>
      </c>
      <c r="L78" s="690">
        <f>L76-L77</f>
        <v/>
      </c>
      <c r="M78" s="690">
        <f>M76-M77</f>
        <v/>
      </c>
      <c r="N78" s="690">
        <f>N76-N77</f>
        <v/>
      </c>
      <c r="O78" s="690">
        <f>O76-O77</f>
        <v/>
      </c>
      <c r="P78" s="690">
        <f>P76-P77</f>
        <v/>
      </c>
      <c r="Q78" s="690">
        <f>Q76-Q77</f>
        <v/>
      </c>
      <c r="R78" s="690">
        <f>R76-R77</f>
        <v/>
      </c>
      <c r="S78" s="690">
        <f>S76-S77</f>
        <v/>
      </c>
      <c r="T78" s="690">
        <f>T76-T77</f>
        <v/>
      </c>
      <c r="U78" s="690">
        <f>U76-U77</f>
        <v/>
      </c>
      <c r="V78" s="690">
        <f>V76-V77</f>
        <v/>
      </c>
      <c r="W78" s="690">
        <f>W76-W77</f>
        <v/>
      </c>
      <c r="X78" s="690">
        <f>X76-X77</f>
        <v/>
      </c>
      <c r="Y78" s="690">
        <f>Y76-Y77</f>
        <v/>
      </c>
      <c r="Z78" s="690">
        <f>Z76-Z77</f>
        <v/>
      </c>
      <c r="AA78" s="690">
        <f>AA76-AA77</f>
        <v/>
      </c>
      <c r="AC78" s="690">
        <f>AC76-AC77</f>
        <v/>
      </c>
      <c r="AD78" s="690">
        <f>AD76-AD77</f>
        <v/>
      </c>
      <c r="AE78" s="690">
        <f>AE76-AE77</f>
        <v/>
      </c>
      <c r="AF78" s="690">
        <f>AF76-AF77</f>
        <v/>
      </c>
      <c r="AG78" s="690">
        <f>AG76-AG77</f>
        <v/>
      </c>
      <c r="AI78" s="679" t="n"/>
      <c r="AJ78" s="679" t="n"/>
    </row>
    <row r="79" ht="12.75" customHeight="1" s="223"/>
    <row r="80" ht="12.75" customHeight="1" s="223">
      <c r="D80" s="673" t="inlineStr">
        <is>
          <t>Notes:</t>
        </is>
      </c>
    </row>
    <row r="81" ht="12.75" customHeight="1" s="223">
      <c r="D81" s="674" t="inlineStr">
        <is>
          <t>(1) 10-Qs report year-to-date cash flows. Discrete quarters: Q1 as reported; Q2 = H1 - Q1; Q3 = 9M - H1; Q4 = FY (10-K) - 9M. Each year uses its own 10-Qs and 10-K so the vintages match.</t>
        </is>
      </c>
    </row>
    <row r="82" ht="12.75" customHeight="1" s="223">
      <c r="D82" s="674" t="inlineStr">
        <is>
          <t>(2) Deferred taxes appear separately only in the 10-K; they are combined with income tax assets and liabilities so quarters are comparable.</t>
        </is>
      </c>
    </row>
    <row r="83" ht="12.75" customHeight="1" s="223">
      <c r="D83" s="674" t="inlineStr">
        <is>
          <t>(3) 2021 retirement lines are as originally captioned (defined benefit pension cost and contributions); from 2022 Xerox includes retiree health in these lines.</t>
        </is>
      </c>
    </row>
    <row r="84" ht="12.75" customHeight="1" s="223">
      <c r="D84" s="674" t="inlineStr">
        <is>
          <t>(4) Lexmark acquired July 1, 2025: cash paid of $674M net of cash acquired sits in acquisitions (3Q'25). Tariff receivables monetization (2Q'26) is classified by Xerox as a financing inflow.</t>
        </is>
      </c>
    </row>
    <row r="85" ht="12.75" customHeight="1" s="223">
      <c r="D85" s="674" t="inlineStr">
        <is>
          <t>(5) Cash basis is cash, cash equivalents and restricted cash, consistent in every period shown.</t>
        </is>
      </c>
    </row>
    <row r="86" ht="12.75" customHeight="1" s="223"/>
  </sheetData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7" customWidth="1" style="222" min="1" max="3"/>
    <col width="55" customWidth="1" style="222" min="4" max="4"/>
    <col width="11.5" customWidth="1" style="222" min="5" max="13"/>
    <col width="10.5" customWidth="1" style="223" min="6" max="6"/>
    <col width="10.5" customWidth="1" style="223" min="7" max="7"/>
    <col width="10.5" customWidth="1" style="223" min="8" max="8"/>
    <col width="10.5" customWidth="1" style="223" min="9" max="9"/>
    <col width="10.5" customWidth="1" style="223" min="10" max="10"/>
    <col width="10.5" customWidth="1" style="223" min="11" max="11"/>
    <col width="10.5" customWidth="1" style="223" min="12" max="12"/>
  </cols>
  <sheetData>
    <row r="1">
      <c r="A1" s="671">
        <f>D3</f>
        <v/>
      </c>
      <c r="B1" s="597">
        <f>'Cover Page'!A1</f>
        <v/>
      </c>
    </row>
    <row r="2"/>
    <row r="3" ht="15" customHeight="1" s="223">
      <c r="A3" s="600" t="n"/>
      <c r="B3" s="600" t="n"/>
      <c r="C3" s="600" t="n"/>
      <c r="D3" s="601" t="inlineStr">
        <is>
          <t>Cash Flow Statement Summary</t>
        </is>
      </c>
      <c r="E3" s="602" t="n"/>
      <c r="F3" s="602" t="n"/>
      <c r="G3" s="602" t="n"/>
      <c r="H3" s="602" t="n"/>
      <c r="I3" s="602" t="n"/>
      <c r="J3" s="602" t="n"/>
      <c r="K3" s="602" t="n"/>
      <c r="L3" s="602" t="n"/>
      <c r="M3" s="696" t="n"/>
    </row>
    <row r="4" ht="15" customHeight="1" s="223">
      <c r="A4" s="600" t="n"/>
      <c r="B4" s="600" t="n"/>
      <c r="C4" s="600" t="n"/>
      <c r="D4" s="604" t="inlineStr">
        <is>
          <t>Xerox Holdings Corporation – All values in $ millions (USD), except per-share values. Data as of June 30, 2026 (2Q'26).</t>
        </is>
      </c>
      <c r="E4" s="605" t="n"/>
      <c r="F4" s="605" t="n"/>
      <c r="G4" s="605" t="n"/>
      <c r="H4" s="605" t="n"/>
      <c r="I4" s="605" t="n"/>
      <c r="J4" s="605" t="n"/>
      <c r="K4" s="605" t="n"/>
      <c r="L4" s="605" t="n"/>
      <c r="M4" s="697" t="n"/>
    </row>
    <row r="5" ht="15" customHeight="1" s="223">
      <c r="A5" s="600" t="n"/>
      <c r="B5" s="600" t="n"/>
      <c r="C5" s="600" t="n"/>
      <c r="D5" s="605" t="n"/>
      <c r="E5" s="600" t="n"/>
      <c r="F5" s="600" t="n"/>
      <c r="G5" s="600" t="n"/>
      <c r="H5" s="600" t="n"/>
      <c r="I5" s="600" t="n"/>
      <c r="J5" s="600" t="n"/>
      <c r="K5" s="600" t="n"/>
      <c r="L5" s="600" t="n"/>
      <c r="M5" s="600" t="n"/>
    </row>
    <row r="6" ht="15" customHeight="1" s="223">
      <c r="A6" s="600" t="n"/>
      <c r="B6" s="600" t="n"/>
      <c r="C6" s="600" t="n"/>
      <c r="D6" s="604" t="n"/>
      <c r="E6" s="600" t="n"/>
      <c r="F6" s="600" t="n"/>
      <c r="G6" s="600" t="n"/>
      <c r="H6" s="600" t="n"/>
      <c r="I6" s="600" t="n"/>
      <c r="J6" s="600" t="n"/>
      <c r="K6" s="600" t="n"/>
      <c r="L6" s="600" t="n"/>
      <c r="M6" s="600" t="n"/>
    </row>
    <row r="7" ht="15" customHeight="1" s="223">
      <c r="A7" s="600" t="n"/>
      <c r="B7" s="600" t="n"/>
      <c r="C7" s="600" t="n"/>
      <c r="D7" s="600" t="n"/>
      <c r="E7" s="600" t="n"/>
      <c r="F7" s="600" t="n"/>
      <c r="G7" s="600" t="n"/>
      <c r="H7" s="600" t="n"/>
      <c r="I7" s="600" t="n"/>
      <c r="J7" s="600" t="n"/>
      <c r="K7" s="600" t="n"/>
      <c r="L7" s="600" t="n"/>
      <c r="M7" s="600" t="n"/>
    </row>
    <row r="8" ht="15" customHeight="1" s="223">
      <c r="A8" s="600" t="inlineStr">
        <is>
          <t>x</t>
        </is>
      </c>
      <c r="B8" s="600" t="n"/>
      <c r="C8" s="600" t="n"/>
      <c r="D8" s="607" t="inlineStr">
        <is>
          <t>Cash Flow Statement Summary</t>
        </is>
      </c>
      <c r="E8" s="643" t="inlineStr">
        <is>
          <t>Year Ended December 31,</t>
        </is>
      </c>
      <c r="F8" s="644" t="n"/>
      <c r="G8" s="644" t="n"/>
      <c r="H8" s="644" t="n"/>
      <c r="I8" s="644" t="n"/>
      <c r="J8" s="609" t="n"/>
      <c r="K8" s="643" t="inlineStr">
        <is>
          <t>Quarter Ended</t>
        </is>
      </c>
      <c r="L8" s="644" t="n"/>
      <c r="M8" s="600" t="n"/>
    </row>
    <row r="9" ht="3" customHeight="1" s="223">
      <c r="A9" s="600" t="n"/>
      <c r="B9" s="600" t="n"/>
      <c r="C9" s="600" t="n"/>
      <c r="D9" s="600" t="n"/>
      <c r="E9" s="600" t="n"/>
      <c r="F9" s="600" t="n"/>
      <c r="G9" s="600" t="n"/>
      <c r="H9" s="600" t="n"/>
      <c r="I9" s="600" t="n"/>
      <c r="J9" s="698" t="n"/>
      <c r="K9" s="600" t="n"/>
      <c r="L9" s="600" t="n"/>
      <c r="M9" s="600" t="n"/>
    </row>
    <row r="10" ht="15" customHeight="1" s="223">
      <c r="A10" s="600" t="n"/>
      <c r="B10" s="600" t="n"/>
      <c r="C10" s="600" t="n"/>
      <c r="D10" s="601" t="n"/>
      <c r="E10" s="613" t="n">
        <v>2021</v>
      </c>
      <c r="F10" s="613" t="n">
        <v>2022</v>
      </c>
      <c r="G10" s="613" t="n">
        <v>2023</v>
      </c>
      <c r="H10" s="613" t="n">
        <v>2024</v>
      </c>
      <c r="I10" s="613" t="n">
        <v>2025</v>
      </c>
      <c r="J10" s="613" t="inlineStr">
        <is>
          <t>LTM 2Q'26</t>
        </is>
      </c>
      <c r="K10" s="613" t="inlineStr">
        <is>
          <t>2Q'25</t>
        </is>
      </c>
      <c r="L10" s="613" t="inlineStr">
        <is>
          <t>2Q'26</t>
        </is>
      </c>
      <c r="M10" s="600" t="n"/>
    </row>
    <row r="11" ht="0.75" customHeight="1" s="223">
      <c r="J11" s="699" t="n"/>
    </row>
    <row r="12" ht="12.75" customHeight="1" s="223">
      <c r="D12" s="673" t="inlineStr">
        <is>
          <t>Net (loss) income</t>
        </is>
      </c>
      <c r="E12" s="700">
        <f>SUMIFS(CFS!$F$14:$AJ$14,CFS!$F$11:$AJ$11,E$10)</f>
        <v/>
      </c>
      <c r="F12" s="700">
        <f>SUMIFS(CFS!$F$14:$AJ$14,CFS!$F$11:$AJ$11,F$10)</f>
        <v/>
      </c>
      <c r="G12" s="700">
        <f>SUMIFS(CFS!$F$14:$AJ$14,CFS!$F$11:$AJ$11,G$10)</f>
        <v/>
      </c>
      <c r="H12" s="700">
        <f>SUMIFS(CFS!$F$14:$AJ$14,CFS!$F$11:$AJ$11,H$10)</f>
        <v/>
      </c>
      <c r="I12" s="700">
        <f>SUMIFS(CFS!$F$14:$AJ$14,CFS!$F$11:$AJ$11,I$10)</f>
        <v/>
      </c>
      <c r="J12" s="701">
        <f>SUMIFS(CFS!$F$14:$AJ$14,CFS!$F$11:$AJ$11,J$10)</f>
        <v/>
      </c>
      <c r="K12" s="700">
        <f>SUMIFS(CFS!$F$14:$AJ$14,CFS!$F$11:$AJ$11,K$10)</f>
        <v/>
      </c>
      <c r="L12" s="700">
        <f>SUMIFS(CFS!$F$14:$AJ$14,CFS!$F$11:$AJ$11,L$10)</f>
        <v/>
      </c>
    </row>
    <row r="13" ht="12.75" customHeight="1" s="223">
      <c r="D13" s="695" t="inlineStr">
        <is>
          <t>Depreciation and amortization</t>
        </is>
      </c>
      <c r="E13" s="679">
        <f>SUMIFS(CFS!$F$16:$AJ$16,CFS!$F$11:$AJ$11,E$10)</f>
        <v/>
      </c>
      <c r="F13" s="679">
        <f>SUMIFS(CFS!$F$16:$AJ$16,CFS!$F$11:$AJ$11,F$10)</f>
        <v/>
      </c>
      <c r="G13" s="679">
        <f>SUMIFS(CFS!$F$16:$AJ$16,CFS!$F$11:$AJ$11,G$10)</f>
        <v/>
      </c>
      <c r="H13" s="679">
        <f>SUMIFS(CFS!$F$16:$AJ$16,CFS!$F$11:$AJ$11,H$10)</f>
        <v/>
      </c>
      <c r="I13" s="679">
        <f>SUMIFS(CFS!$F$16:$AJ$16,CFS!$F$11:$AJ$11,I$10)</f>
        <v/>
      </c>
      <c r="J13" s="702">
        <f>SUMIFS(CFS!$F$16:$AJ$16,CFS!$F$11:$AJ$11,J$10)</f>
        <v/>
      </c>
      <c r="K13" s="679">
        <f>SUMIFS(CFS!$F$16:$AJ$16,CFS!$F$11:$AJ$11,K$10)</f>
        <v/>
      </c>
      <c r="L13" s="679">
        <f>SUMIFS(CFS!$F$16:$AJ$16,CFS!$F$11:$AJ$11,L$10)</f>
        <v/>
      </c>
    </row>
    <row r="14" ht="12.75" customHeight="1" s="223">
      <c r="D14" s="695" t="inlineStr">
        <is>
          <t>Goodwill impairment</t>
        </is>
      </c>
      <c r="E14" s="679">
        <f>SUMIFS(CFS!$F$24:$AJ$24,CFS!$F$11:$AJ$11,E$10)</f>
        <v/>
      </c>
      <c r="F14" s="679">
        <f>SUMIFS(CFS!$F$24:$AJ$24,CFS!$F$11:$AJ$11,F$10)</f>
        <v/>
      </c>
      <c r="G14" s="679">
        <f>SUMIFS(CFS!$F$24:$AJ$24,CFS!$F$11:$AJ$11,G$10)</f>
        <v/>
      </c>
      <c r="H14" s="679">
        <f>SUMIFS(CFS!$F$24:$AJ$24,CFS!$F$11:$AJ$11,H$10)</f>
        <v/>
      </c>
      <c r="I14" s="679">
        <f>SUMIFS(CFS!$F$24:$AJ$24,CFS!$F$11:$AJ$11,I$10)</f>
        <v/>
      </c>
      <c r="J14" s="702">
        <f>SUMIFS(CFS!$F$24:$AJ$24,CFS!$F$11:$AJ$11,J$10)</f>
        <v/>
      </c>
      <c r="K14" s="679">
        <f>SUMIFS(CFS!$F$24:$AJ$24,CFS!$F$11:$AJ$11,K$10)</f>
        <v/>
      </c>
      <c r="L14" s="679">
        <f>SUMIFS(CFS!$F$24:$AJ$24,CFS!$F$11:$AJ$11,L$10)</f>
        <v/>
      </c>
    </row>
    <row r="15" ht="12.75" customHeight="1" s="223">
      <c r="D15" s="695" t="inlineStr">
        <is>
          <t>Stock-based compensation</t>
        </is>
      </c>
      <c r="E15" s="679">
        <f>SUMIFS(CFS!$F$25:$AJ$25,CFS!$F$11:$AJ$11,E$10)</f>
        <v/>
      </c>
      <c r="F15" s="679">
        <f>SUMIFS(CFS!$F$25:$AJ$25,CFS!$F$11:$AJ$11,F$10)</f>
        <v/>
      </c>
      <c r="G15" s="679">
        <f>SUMIFS(CFS!$F$25:$AJ$25,CFS!$F$11:$AJ$11,G$10)</f>
        <v/>
      </c>
      <c r="H15" s="679">
        <f>SUMIFS(CFS!$F$25:$AJ$25,CFS!$F$11:$AJ$11,H$10)</f>
        <v/>
      </c>
      <c r="I15" s="679">
        <f>SUMIFS(CFS!$F$25:$AJ$25,CFS!$F$11:$AJ$11,I$10)</f>
        <v/>
      </c>
      <c r="J15" s="702">
        <f>SUMIFS(CFS!$F$25:$AJ$25,CFS!$F$11:$AJ$11,J$10)</f>
        <v/>
      </c>
      <c r="K15" s="679">
        <f>SUMIFS(CFS!$F$25:$AJ$25,CFS!$F$11:$AJ$11,K$10)</f>
        <v/>
      </c>
      <c r="L15" s="679">
        <f>SUMIFS(CFS!$F$25:$AJ$25,CFS!$F$11:$AJ$11,L$10)</f>
        <v/>
      </c>
    </row>
    <row r="16" ht="12.75" customHeight="1" s="223">
      <c r="D16" s="695" t="inlineStr">
        <is>
          <t>Provisions</t>
        </is>
      </c>
      <c r="E16" s="679">
        <f>SUMIFS(CFS!$F$17:$AJ$17,CFS!$F$11:$AJ$11,E$10)</f>
        <v/>
      </c>
      <c r="F16" s="679">
        <f>SUMIFS(CFS!$F$17:$AJ$17,CFS!$F$11:$AJ$11,F$10)</f>
        <v/>
      </c>
      <c r="G16" s="679">
        <f>SUMIFS(CFS!$F$17:$AJ$17,CFS!$F$11:$AJ$11,G$10)</f>
        <v/>
      </c>
      <c r="H16" s="679">
        <f>SUMIFS(CFS!$F$17:$AJ$17,CFS!$F$11:$AJ$11,H$10)</f>
        <v/>
      </c>
      <c r="I16" s="679">
        <f>SUMIFS(CFS!$F$17:$AJ$17,CFS!$F$11:$AJ$11,I$10)</f>
        <v/>
      </c>
      <c r="J16" s="702">
        <f>SUMIFS(CFS!$F$17:$AJ$17,CFS!$F$11:$AJ$11,J$10)</f>
        <v/>
      </c>
      <c r="K16" s="679">
        <f>SUMIFS(CFS!$F$17:$AJ$17,CFS!$F$11:$AJ$11,K$10)</f>
        <v/>
      </c>
      <c r="L16" s="679">
        <f>SUMIFS(CFS!$F$17:$AJ$17,CFS!$F$11:$AJ$11,L$10)</f>
        <v/>
      </c>
    </row>
    <row r="17" ht="12.75" customHeight="1" s="223">
      <c r="D17" s="695" t="inlineStr">
        <is>
          <t>Restructuring and asset impairment charges</t>
        </is>
      </c>
      <c r="E17" s="679">
        <f>SUMIFS(CFS!$F$26:$AJ$26,CFS!$F$11:$AJ$11,E$10)</f>
        <v/>
      </c>
      <c r="F17" s="679">
        <f>SUMIFS(CFS!$F$26:$AJ$26,CFS!$F$11:$AJ$11,F$10)</f>
        <v/>
      </c>
      <c r="G17" s="679">
        <f>SUMIFS(CFS!$F$26:$AJ$26,CFS!$F$11:$AJ$11,G$10)</f>
        <v/>
      </c>
      <c r="H17" s="679">
        <f>SUMIFS(CFS!$F$26:$AJ$26,CFS!$F$11:$AJ$11,H$10)</f>
        <v/>
      </c>
      <c r="I17" s="679">
        <f>SUMIFS(CFS!$F$26:$AJ$26,CFS!$F$11:$AJ$11,I$10)</f>
        <v/>
      </c>
      <c r="J17" s="702">
        <f>SUMIFS(CFS!$F$26:$AJ$26,CFS!$F$11:$AJ$11,J$10)</f>
        <v/>
      </c>
      <c r="K17" s="679">
        <f>SUMIFS(CFS!$F$26:$AJ$26,CFS!$F$11:$AJ$11,K$10)</f>
        <v/>
      </c>
      <c r="L17" s="679">
        <f>SUMIFS(CFS!$F$26:$AJ$26,CFS!$F$11:$AJ$11,L$10)</f>
        <v/>
      </c>
    </row>
    <row r="18" ht="12.75" customHeight="1" s="223">
      <c r="D18" s="695" t="inlineStr">
        <is>
          <t>Payments for restructurings</t>
        </is>
      </c>
      <c r="E18" s="679">
        <f>SUMIFS(CFS!$F$27:$AJ$27,CFS!$F$11:$AJ$11,E$10)</f>
        <v/>
      </c>
      <c r="F18" s="679">
        <f>SUMIFS(CFS!$F$27:$AJ$27,CFS!$F$11:$AJ$11,F$10)</f>
        <v/>
      </c>
      <c r="G18" s="679">
        <f>SUMIFS(CFS!$F$27:$AJ$27,CFS!$F$11:$AJ$11,G$10)</f>
        <v/>
      </c>
      <c r="H18" s="679">
        <f>SUMIFS(CFS!$F$27:$AJ$27,CFS!$F$11:$AJ$11,H$10)</f>
        <v/>
      </c>
      <c r="I18" s="679">
        <f>SUMIFS(CFS!$F$27:$AJ$27,CFS!$F$11:$AJ$11,I$10)</f>
        <v/>
      </c>
      <c r="J18" s="702">
        <f>SUMIFS(CFS!$F$27:$AJ$27,CFS!$F$11:$AJ$11,J$10)</f>
        <v/>
      </c>
      <c r="K18" s="679">
        <f>SUMIFS(CFS!$F$27:$AJ$27,CFS!$F$11:$AJ$11,K$10)</f>
        <v/>
      </c>
      <c r="L18" s="679">
        <f>SUMIFS(CFS!$F$27:$AJ$27,CFS!$F$11:$AJ$11,L$10)</f>
        <v/>
      </c>
    </row>
    <row r="19" ht="12.75" customHeight="1" s="223">
      <c r="D19" s="695" t="inlineStr">
        <is>
          <t>Contributions to retirement plans</t>
        </is>
      </c>
      <c r="E19" s="679">
        <f>SUMIFS(CFS!$F$29:$AJ$29,CFS!$F$11:$AJ$11,E$10)</f>
        <v/>
      </c>
      <c r="F19" s="679">
        <f>SUMIFS(CFS!$F$29:$AJ$29,CFS!$F$11:$AJ$11,F$10)</f>
        <v/>
      </c>
      <c r="G19" s="679">
        <f>SUMIFS(CFS!$F$29:$AJ$29,CFS!$F$11:$AJ$11,G$10)</f>
        <v/>
      </c>
      <c r="H19" s="679">
        <f>SUMIFS(CFS!$F$29:$AJ$29,CFS!$F$11:$AJ$11,H$10)</f>
        <v/>
      </c>
      <c r="I19" s="679">
        <f>SUMIFS(CFS!$F$29:$AJ$29,CFS!$F$11:$AJ$11,I$10)</f>
        <v/>
      </c>
      <c r="J19" s="702">
        <f>SUMIFS(CFS!$F$29:$AJ$29,CFS!$F$11:$AJ$11,J$10)</f>
        <v/>
      </c>
      <c r="K19" s="679">
        <f>SUMIFS(CFS!$F$29:$AJ$29,CFS!$F$11:$AJ$11,K$10)</f>
        <v/>
      </c>
      <c r="L19" s="679">
        <f>SUMIFS(CFS!$F$29:$AJ$29,CFS!$F$11:$AJ$11,L$10)</f>
        <v/>
      </c>
    </row>
    <row r="20" ht="12.75" customHeight="1" s="223">
      <c r="D20" s="695" t="inlineStr">
        <is>
          <t>Decrease (increase) in finance receivables</t>
        </is>
      </c>
      <c r="E20" s="679">
        <f>SUMIFS(CFS!$F$34:$AJ$34,CFS!$F$11:$AJ$11,E$10)</f>
        <v/>
      </c>
      <c r="F20" s="679">
        <f>SUMIFS(CFS!$F$34:$AJ$34,CFS!$F$11:$AJ$11,F$10)</f>
        <v/>
      </c>
      <c r="G20" s="679">
        <f>SUMIFS(CFS!$F$34:$AJ$34,CFS!$F$11:$AJ$11,G$10)</f>
        <v/>
      </c>
      <c r="H20" s="679">
        <f>SUMIFS(CFS!$F$34:$AJ$34,CFS!$F$11:$AJ$11,H$10)</f>
        <v/>
      </c>
      <c r="I20" s="679">
        <f>SUMIFS(CFS!$F$34:$AJ$34,CFS!$F$11:$AJ$11,I$10)</f>
        <v/>
      </c>
      <c r="J20" s="702">
        <f>SUMIFS(CFS!$F$34:$AJ$34,CFS!$F$11:$AJ$11,J$10)</f>
        <v/>
      </c>
      <c r="K20" s="679">
        <f>SUMIFS(CFS!$F$34:$AJ$34,CFS!$F$11:$AJ$11,K$10)</f>
        <v/>
      </c>
      <c r="L20" s="679">
        <f>SUMIFS(CFS!$F$34:$AJ$34,CFS!$F$11:$AJ$11,L$10)</f>
        <v/>
      </c>
    </row>
    <row r="21" ht="12.75" customHeight="1" s="223">
      <c r="D21" s="695" t="inlineStr">
        <is>
          <t>Increase in equipment on operating leases</t>
        </is>
      </c>
      <c r="E21" s="679">
        <f>SUMIFS(CFS!$F$33:$AJ$33,CFS!$F$11:$AJ$11,E$10)</f>
        <v/>
      </c>
      <c r="F21" s="679">
        <f>SUMIFS(CFS!$F$33:$AJ$33,CFS!$F$11:$AJ$11,F$10)</f>
        <v/>
      </c>
      <c r="G21" s="679">
        <f>SUMIFS(CFS!$F$33:$AJ$33,CFS!$F$11:$AJ$11,G$10)</f>
        <v/>
      </c>
      <c r="H21" s="679">
        <f>SUMIFS(CFS!$F$33:$AJ$33,CFS!$F$11:$AJ$11,H$10)</f>
        <v/>
      </c>
      <c r="I21" s="679">
        <f>SUMIFS(CFS!$F$33:$AJ$33,CFS!$F$11:$AJ$11,I$10)</f>
        <v/>
      </c>
      <c r="J21" s="702">
        <f>SUMIFS(CFS!$F$33:$AJ$33,CFS!$F$11:$AJ$11,J$10)</f>
        <v/>
      </c>
      <c r="K21" s="679">
        <f>SUMIFS(CFS!$F$33:$AJ$33,CFS!$F$11:$AJ$11,K$10)</f>
        <v/>
      </c>
      <c r="L21" s="679">
        <f>SUMIFS(CFS!$F$33:$AJ$33,CFS!$F$11:$AJ$11,L$10)</f>
        <v/>
      </c>
    </row>
    <row r="22" ht="12.75" customHeight="1" s="223">
      <c r="D22" s="695" t="inlineStr">
        <is>
          <t>Change in NWC</t>
        </is>
      </c>
      <c r="E22" s="679">
        <f>SUMIFS(CFS!$F$46:$AJ$46,CFS!$F$11:$AJ$11,E$10)</f>
        <v/>
      </c>
      <c r="F22" s="679">
        <f>SUMIFS(CFS!$F$46:$AJ$46,CFS!$F$11:$AJ$11,F$10)</f>
        <v/>
      </c>
      <c r="G22" s="679">
        <f>SUMIFS(CFS!$F$46:$AJ$46,CFS!$F$11:$AJ$11,G$10)</f>
        <v/>
      </c>
      <c r="H22" s="679">
        <f>SUMIFS(CFS!$F$46:$AJ$46,CFS!$F$11:$AJ$11,H$10)</f>
        <v/>
      </c>
      <c r="I22" s="679">
        <f>SUMIFS(CFS!$F$46:$AJ$46,CFS!$F$11:$AJ$11,I$10)</f>
        <v/>
      </c>
      <c r="J22" s="702">
        <f>SUMIFS(CFS!$F$46:$AJ$46,CFS!$F$11:$AJ$11,J$10)</f>
        <v/>
      </c>
      <c r="K22" s="679">
        <f>SUMIFS(CFS!$F$46:$AJ$46,CFS!$F$11:$AJ$11,K$10)</f>
        <v/>
      </c>
      <c r="L22" s="679">
        <f>SUMIFS(CFS!$F$46:$AJ$46,CFS!$F$11:$AJ$11,L$10)</f>
        <v/>
      </c>
    </row>
    <row r="23" ht="12.75" customHeight="1" s="223">
      <c r="D23" s="695" t="inlineStr">
        <is>
          <t>Other operating activities</t>
        </is>
      </c>
      <c r="E23" s="679">
        <f>SUM(E24:E31)</f>
        <v/>
      </c>
      <c r="F23" s="679">
        <f>SUM(F24:F31)</f>
        <v/>
      </c>
      <c r="G23" s="679">
        <f>SUM(G24:G31)</f>
        <v/>
      </c>
      <c r="H23" s="679">
        <f>SUM(H24:H31)</f>
        <v/>
      </c>
      <c r="I23" s="679">
        <f>SUM(I24:I31)</f>
        <v/>
      </c>
      <c r="J23" s="702">
        <f>SUM(J24:J31)</f>
        <v/>
      </c>
      <c r="K23" s="679">
        <f>SUM(K24:K31)</f>
        <v/>
      </c>
      <c r="L23" s="679">
        <f>SUM(L24:L31)</f>
        <v/>
      </c>
    </row>
    <row r="24" ht="12.75" customHeight="1" s="223">
      <c r="D24" s="703" t="inlineStr">
        <is>
          <t>Non-service retirement-related costs</t>
        </is>
      </c>
      <c r="E24" s="679">
        <f>SUMIFS(CFS!$F$28:$AJ$28,CFS!$F$11:$AJ$11,E$10)</f>
        <v/>
      </c>
      <c r="F24" s="679">
        <f>SUMIFS(CFS!$F$28:$AJ$28,CFS!$F$11:$AJ$11,F$10)</f>
        <v/>
      </c>
      <c r="G24" s="679">
        <f>SUMIFS(CFS!$F$28:$AJ$28,CFS!$F$11:$AJ$11,G$10)</f>
        <v/>
      </c>
      <c r="H24" s="679">
        <f>SUMIFS(CFS!$F$28:$AJ$28,CFS!$F$11:$AJ$11,H$10)</f>
        <v/>
      </c>
      <c r="I24" s="679">
        <f>SUMIFS(CFS!$F$28:$AJ$28,CFS!$F$11:$AJ$11,I$10)</f>
        <v/>
      </c>
      <c r="J24" s="702">
        <f>SUMIFS(CFS!$F$28:$AJ$28,CFS!$F$11:$AJ$11,J$10)</f>
        <v/>
      </c>
      <c r="K24" s="679">
        <f>SUMIFS(CFS!$F$28:$AJ$28,CFS!$F$11:$AJ$11,K$10)</f>
        <v/>
      </c>
      <c r="L24" s="679">
        <f>SUMIFS(CFS!$F$28:$AJ$28,CFS!$F$11:$AJ$11,L$10)</f>
        <v/>
      </c>
    </row>
    <row r="25" ht="12.75" customHeight="1" s="223">
      <c r="D25" s="703" t="inlineStr">
        <is>
          <t>Net (gain) loss on sales of businesses and assets</t>
        </is>
      </c>
      <c r="E25" s="679">
        <f>SUMIFS(CFS!$F$19:$AJ$19,CFS!$F$11:$AJ$11,E$10)</f>
        <v/>
      </c>
      <c r="F25" s="679">
        <f>SUMIFS(CFS!$F$19:$AJ$19,CFS!$F$11:$AJ$11,F$10)</f>
        <v/>
      </c>
      <c r="G25" s="679">
        <f>SUMIFS(CFS!$F$19:$AJ$19,CFS!$F$11:$AJ$11,G$10)</f>
        <v/>
      </c>
      <c r="H25" s="679">
        <f>SUMIFS(CFS!$F$19:$AJ$19,CFS!$F$11:$AJ$11,H$10)</f>
        <v/>
      </c>
      <c r="I25" s="679">
        <f>SUMIFS(CFS!$F$19:$AJ$19,CFS!$F$11:$AJ$11,I$10)</f>
        <v/>
      </c>
      <c r="J25" s="702">
        <f>SUMIFS(CFS!$F$19:$AJ$19,CFS!$F$11:$AJ$11,J$10)</f>
        <v/>
      </c>
      <c r="K25" s="679">
        <f>SUMIFS(CFS!$F$19:$AJ$19,CFS!$F$11:$AJ$11,K$10)</f>
        <v/>
      </c>
      <c r="L25" s="679">
        <f>SUMIFS(CFS!$F$19:$AJ$19,CFS!$F$11:$AJ$11,L$10)</f>
        <v/>
      </c>
    </row>
    <row r="26" ht="12.75" customHeight="1" s="223">
      <c r="D26" s="703" t="inlineStr">
        <is>
          <t>Net (gain) loss on early extinguishment of debt</t>
        </is>
      </c>
      <c r="E26" s="679">
        <f>SUMIFS(CFS!$F$18:$AJ$18,CFS!$F$11:$AJ$11,E$10)</f>
        <v/>
      </c>
      <c r="F26" s="679">
        <f>SUMIFS(CFS!$F$18:$AJ$18,CFS!$F$11:$AJ$11,F$10)</f>
        <v/>
      </c>
      <c r="G26" s="679">
        <f>SUMIFS(CFS!$F$18:$AJ$18,CFS!$F$11:$AJ$11,G$10)</f>
        <v/>
      </c>
      <c r="H26" s="679">
        <f>SUMIFS(CFS!$F$18:$AJ$18,CFS!$F$11:$AJ$11,H$10)</f>
        <v/>
      </c>
      <c r="I26" s="679">
        <f>SUMIFS(CFS!$F$18:$AJ$18,CFS!$F$11:$AJ$11,I$10)</f>
        <v/>
      </c>
      <c r="J26" s="702">
        <f>SUMIFS(CFS!$F$18:$AJ$18,CFS!$F$11:$AJ$11,J$10)</f>
        <v/>
      </c>
      <c r="K26" s="679">
        <f>SUMIFS(CFS!$F$18:$AJ$18,CFS!$F$11:$AJ$11,K$10)</f>
        <v/>
      </c>
      <c r="L26" s="679">
        <f>SUMIFS(CFS!$F$18:$AJ$18,CFS!$F$11:$AJ$11,L$10)</f>
        <v/>
      </c>
    </row>
    <row r="27" ht="12.75" customHeight="1" s="223">
      <c r="D27" s="703" t="inlineStr">
        <is>
          <t>Lexmark inventory purchase accounting adjustment, noncash</t>
        </is>
      </c>
      <c r="E27" s="679">
        <f>SUMIFS(CFS!$F$20:$AJ$20,CFS!$F$11:$AJ$11,E$10)</f>
        <v/>
      </c>
      <c r="F27" s="679">
        <f>SUMIFS(CFS!$F$20:$AJ$20,CFS!$F$11:$AJ$11,F$10)</f>
        <v/>
      </c>
      <c r="G27" s="679">
        <f>SUMIFS(CFS!$F$20:$AJ$20,CFS!$F$11:$AJ$11,G$10)</f>
        <v/>
      </c>
      <c r="H27" s="679">
        <f>SUMIFS(CFS!$F$20:$AJ$20,CFS!$F$11:$AJ$11,H$10)</f>
        <v/>
      </c>
      <c r="I27" s="679">
        <f>SUMIFS(CFS!$F$20:$AJ$20,CFS!$F$11:$AJ$11,I$10)</f>
        <v/>
      </c>
      <c r="J27" s="702">
        <f>SUMIFS(CFS!$F$20:$AJ$20,CFS!$F$11:$AJ$11,J$10)</f>
        <v/>
      </c>
      <c r="K27" s="679">
        <f>SUMIFS(CFS!$F$20:$AJ$20,CFS!$F$11:$AJ$11,K$10)</f>
        <v/>
      </c>
      <c r="L27" s="679">
        <f>SUMIFS(CFS!$F$20:$AJ$20,CFS!$F$11:$AJ$11,L$10)</f>
        <v/>
      </c>
    </row>
    <row r="28" ht="12.75" customHeight="1" s="223">
      <c r="D28" s="703" t="inlineStr">
        <is>
          <t>Effective settlement of pre-existing Lexmark relationship</t>
        </is>
      </c>
      <c r="E28" s="679">
        <f>SUMIFS(CFS!$F$21:$AJ$21,CFS!$F$11:$AJ$11,E$10)</f>
        <v/>
      </c>
      <c r="F28" s="679">
        <f>SUMIFS(CFS!$F$21:$AJ$21,CFS!$F$11:$AJ$11,F$10)</f>
        <v/>
      </c>
      <c r="G28" s="679">
        <f>SUMIFS(CFS!$F$21:$AJ$21,CFS!$F$11:$AJ$11,G$10)</f>
        <v/>
      </c>
      <c r="H28" s="679">
        <f>SUMIFS(CFS!$F$21:$AJ$21,CFS!$F$11:$AJ$11,H$10)</f>
        <v/>
      </c>
      <c r="I28" s="679">
        <f>SUMIFS(CFS!$F$21:$AJ$21,CFS!$F$11:$AJ$11,I$10)</f>
        <v/>
      </c>
      <c r="J28" s="702">
        <f>SUMIFS(CFS!$F$21:$AJ$21,CFS!$F$11:$AJ$11,J$10)</f>
        <v/>
      </c>
      <c r="K28" s="679">
        <f>SUMIFS(CFS!$F$21:$AJ$21,CFS!$F$11:$AJ$11,K$10)</f>
        <v/>
      </c>
      <c r="L28" s="679">
        <f>SUMIFS(CFS!$F$21:$AJ$21,CFS!$F$11:$AJ$11,L$10)</f>
        <v/>
      </c>
    </row>
    <row r="29" ht="12.75" customHeight="1" s="223">
      <c r="D29" s="703" t="inlineStr">
        <is>
          <t>Divestitures</t>
        </is>
      </c>
      <c r="E29" s="679">
        <f>SUMIFS(CFS!$F$22:$AJ$22,CFS!$F$11:$AJ$11,E$10)</f>
        <v/>
      </c>
      <c r="F29" s="679">
        <f>SUMIFS(CFS!$F$22:$AJ$22,CFS!$F$11:$AJ$11,F$10)</f>
        <v/>
      </c>
      <c r="G29" s="679">
        <f>SUMIFS(CFS!$F$22:$AJ$22,CFS!$F$11:$AJ$11,G$10)</f>
        <v/>
      </c>
      <c r="H29" s="679">
        <f>SUMIFS(CFS!$F$22:$AJ$22,CFS!$F$11:$AJ$11,H$10)</f>
        <v/>
      </c>
      <c r="I29" s="679">
        <f>SUMIFS(CFS!$F$22:$AJ$22,CFS!$F$11:$AJ$11,I$10)</f>
        <v/>
      </c>
      <c r="J29" s="702">
        <f>SUMIFS(CFS!$F$22:$AJ$22,CFS!$F$11:$AJ$11,J$10)</f>
        <v/>
      </c>
      <c r="K29" s="679">
        <f>SUMIFS(CFS!$F$22:$AJ$22,CFS!$F$11:$AJ$11,K$10)</f>
        <v/>
      </c>
      <c r="L29" s="679">
        <f>SUMIFS(CFS!$F$22:$AJ$22,CFS!$F$11:$AJ$11,L$10)</f>
        <v/>
      </c>
    </row>
    <row r="30" ht="12.75" customHeight="1" s="223">
      <c r="D30" s="703" t="inlineStr">
        <is>
          <t>PARC donation</t>
        </is>
      </c>
      <c r="E30" s="679">
        <f>SUMIFS(CFS!$F$23:$AJ$23,CFS!$F$11:$AJ$11,E$10)</f>
        <v/>
      </c>
      <c r="F30" s="679">
        <f>SUMIFS(CFS!$F$23:$AJ$23,CFS!$F$11:$AJ$11,F$10)</f>
        <v/>
      </c>
      <c r="G30" s="679">
        <f>SUMIFS(CFS!$F$23:$AJ$23,CFS!$F$11:$AJ$11,G$10)</f>
        <v/>
      </c>
      <c r="H30" s="679">
        <f>SUMIFS(CFS!$F$23:$AJ$23,CFS!$F$11:$AJ$11,H$10)</f>
        <v/>
      </c>
      <c r="I30" s="679">
        <f>SUMIFS(CFS!$F$23:$AJ$23,CFS!$F$11:$AJ$11,I$10)</f>
        <v/>
      </c>
      <c r="J30" s="702">
        <f>SUMIFS(CFS!$F$23:$AJ$23,CFS!$F$11:$AJ$11,J$10)</f>
        <v/>
      </c>
      <c r="K30" s="679">
        <f>SUMIFS(CFS!$F$23:$AJ$23,CFS!$F$11:$AJ$11,K$10)</f>
        <v/>
      </c>
      <c r="L30" s="679">
        <f>SUMIFS(CFS!$F$23:$AJ$23,CFS!$F$11:$AJ$11,L$10)</f>
        <v/>
      </c>
    </row>
    <row r="31" ht="12.75" customHeight="1" s="223">
      <c r="D31" s="703" t="inlineStr">
        <is>
          <t>Other operating, net</t>
        </is>
      </c>
      <c r="E31" s="679">
        <f>SUMIFS(CFS!$F$41:$AJ$41,CFS!$F$11:$AJ$11,E$10)</f>
        <v/>
      </c>
      <c r="F31" s="679">
        <f>SUMIFS(CFS!$F$41:$AJ$41,CFS!$F$11:$AJ$11,F$10)</f>
        <v/>
      </c>
      <c r="G31" s="679">
        <f>SUMIFS(CFS!$F$41:$AJ$41,CFS!$F$11:$AJ$11,G$10)</f>
        <v/>
      </c>
      <c r="H31" s="679">
        <f>SUMIFS(CFS!$F$41:$AJ$41,CFS!$F$11:$AJ$11,H$10)</f>
        <v/>
      </c>
      <c r="I31" s="679">
        <f>SUMIFS(CFS!$F$41:$AJ$41,CFS!$F$11:$AJ$11,I$10)</f>
        <v/>
      </c>
      <c r="J31" s="702">
        <f>SUMIFS(CFS!$F$41:$AJ$41,CFS!$F$11:$AJ$11,J$10)</f>
        <v/>
      </c>
      <c r="K31" s="679">
        <f>SUMIFS(CFS!$F$41:$AJ$41,CFS!$F$11:$AJ$11,K$10)</f>
        <v/>
      </c>
      <c r="L31" s="679">
        <f>SUMIFS(CFS!$F$41:$AJ$41,CFS!$F$11:$AJ$11,L$10)</f>
        <v/>
      </c>
    </row>
    <row r="32" ht="12.75" customHeight="1" s="223">
      <c r="D32" s="681" t="inlineStr">
        <is>
          <t>Cash Flow from Operations</t>
        </is>
      </c>
      <c r="E32" s="683">
        <f>SUM(E12:E23)</f>
        <v/>
      </c>
      <c r="F32" s="683">
        <f>SUM(F12:F23)</f>
        <v/>
      </c>
      <c r="G32" s="683">
        <f>SUM(G12:G23)</f>
        <v/>
      </c>
      <c r="H32" s="683">
        <f>SUM(H12:H23)</f>
        <v/>
      </c>
      <c r="I32" s="683">
        <f>SUM(I12:I23)</f>
        <v/>
      </c>
      <c r="J32" s="704">
        <f>SUM(J12:J23)</f>
        <v/>
      </c>
      <c r="K32" s="683">
        <f>SUM(K12:K23)</f>
        <v/>
      </c>
      <c r="L32" s="684">
        <f>SUM(L12:L23)</f>
        <v/>
      </c>
    </row>
    <row r="33" ht="12.75" customHeight="1" s="223">
      <c r="D33" s="687" t="inlineStr">
        <is>
          <t>CFO</t>
        </is>
      </c>
      <c r="E33" s="705">
        <f>SUMIFS(CFS!$F$43:$AJ$43,CFS!$F$11:$AJ$11,E$10)</f>
        <v/>
      </c>
      <c r="F33" s="705">
        <f>SUMIFS(CFS!$F$43:$AJ$43,CFS!$F$11:$AJ$11,F$10)</f>
        <v/>
      </c>
      <c r="G33" s="705">
        <f>SUMIFS(CFS!$F$43:$AJ$43,CFS!$F$11:$AJ$11,G$10)</f>
        <v/>
      </c>
      <c r="H33" s="705">
        <f>SUMIFS(CFS!$F$43:$AJ$43,CFS!$F$11:$AJ$11,H$10)</f>
        <v/>
      </c>
      <c r="I33" s="705">
        <f>SUMIFS(CFS!$F$43:$AJ$43,CFS!$F$11:$AJ$11,I$10)</f>
        <v/>
      </c>
      <c r="J33" s="706">
        <f>SUMIFS(CFS!$F$43:$AJ$43,CFS!$F$11:$AJ$11,J$10)</f>
        <v/>
      </c>
      <c r="K33" s="705">
        <f>SUMIFS(CFS!$F$43:$AJ$43,CFS!$F$11:$AJ$11,K$10)</f>
        <v/>
      </c>
      <c r="L33" s="705">
        <f>SUMIFS(CFS!$F$43:$AJ$43,CFS!$F$11:$AJ$11,L$10)</f>
        <v/>
      </c>
    </row>
    <row r="34" ht="12.75" customHeight="1" s="223">
      <c r="D34" s="687" t="inlineStr">
        <is>
          <t>Check</t>
        </is>
      </c>
      <c r="E34" s="707">
        <f>E32-E33</f>
        <v/>
      </c>
      <c r="F34" s="707">
        <f>F32-F33</f>
        <v/>
      </c>
      <c r="G34" s="707">
        <f>G32-G33</f>
        <v/>
      </c>
      <c r="H34" s="707">
        <f>H32-H33</f>
        <v/>
      </c>
      <c r="I34" s="707">
        <f>I32-I33</f>
        <v/>
      </c>
      <c r="J34" s="708">
        <f>J32-J33</f>
        <v/>
      </c>
      <c r="K34" s="707">
        <f>K32-K33</f>
        <v/>
      </c>
      <c r="L34" s="707">
        <f>L32-L33</f>
        <v/>
      </c>
    </row>
    <row r="35" ht="4.5" customHeight="1" s="223">
      <c r="J35" s="699" t="n"/>
    </row>
    <row r="36" ht="12.75" customHeight="1" s="223">
      <c r="D36" s="695" t="inlineStr">
        <is>
          <t>Capital expenditures</t>
        </is>
      </c>
      <c r="E36" s="676">
        <f>SUMIFS(CFS!$F$49:$AJ$49,CFS!$F$11:$AJ$11,E$10)</f>
        <v/>
      </c>
      <c r="F36" s="676">
        <f>SUMIFS(CFS!$F$49:$AJ$49,CFS!$F$11:$AJ$11,F$10)</f>
        <v/>
      </c>
      <c r="G36" s="676">
        <f>SUMIFS(CFS!$F$49:$AJ$49,CFS!$F$11:$AJ$11,G$10)</f>
        <v/>
      </c>
      <c r="H36" s="676">
        <f>SUMIFS(CFS!$F$49:$AJ$49,CFS!$F$11:$AJ$11,H$10)</f>
        <v/>
      </c>
      <c r="I36" s="676">
        <f>SUMIFS(CFS!$F$49:$AJ$49,CFS!$F$11:$AJ$11,I$10)</f>
        <v/>
      </c>
      <c r="J36" s="709">
        <f>SUMIFS(CFS!$F$49:$AJ$49,CFS!$F$11:$AJ$11,J$10)</f>
        <v/>
      </c>
      <c r="K36" s="676">
        <f>SUMIFS(CFS!$F$49:$AJ$49,CFS!$F$11:$AJ$11,K$10)</f>
        <v/>
      </c>
      <c r="L36" s="676">
        <f>SUMIFS(CFS!$F$49:$AJ$49,CFS!$F$11:$AJ$11,L$10)</f>
        <v/>
      </c>
    </row>
    <row r="37" ht="12.75" customHeight="1" s="223">
      <c r="D37" s="695" t="inlineStr">
        <is>
          <t>Acquisitions, net of cash acquired</t>
        </is>
      </c>
      <c r="E37" s="679">
        <f>SUMIFS(CFS!$F$51:$AJ$51,CFS!$F$11:$AJ$11,E$10)</f>
        <v/>
      </c>
      <c r="F37" s="679">
        <f>SUMIFS(CFS!$F$51:$AJ$51,CFS!$F$11:$AJ$11,F$10)</f>
        <v/>
      </c>
      <c r="G37" s="679">
        <f>SUMIFS(CFS!$F$51:$AJ$51,CFS!$F$11:$AJ$11,G$10)</f>
        <v/>
      </c>
      <c r="H37" s="679">
        <f>SUMIFS(CFS!$F$51:$AJ$51,CFS!$F$11:$AJ$11,H$10)</f>
        <v/>
      </c>
      <c r="I37" s="679">
        <f>SUMIFS(CFS!$F$51:$AJ$51,CFS!$F$11:$AJ$11,I$10)</f>
        <v/>
      </c>
      <c r="J37" s="702">
        <f>SUMIFS(CFS!$F$51:$AJ$51,CFS!$F$11:$AJ$11,J$10)</f>
        <v/>
      </c>
      <c r="K37" s="679">
        <f>SUMIFS(CFS!$F$51:$AJ$51,CFS!$F$11:$AJ$11,K$10)</f>
        <v/>
      </c>
      <c r="L37" s="679">
        <f>SUMIFS(CFS!$F$51:$AJ$51,CFS!$F$11:$AJ$11,L$10)</f>
        <v/>
      </c>
    </row>
    <row r="38" ht="12.75" customHeight="1" s="223">
      <c r="D38" s="695" t="inlineStr">
        <is>
          <t>Proceeds from sales of businesses and assets</t>
        </is>
      </c>
      <c r="E38" s="679">
        <f>SUMIFS(CFS!$F$50:$AJ$50,CFS!$F$11:$AJ$11,E$10)</f>
        <v/>
      </c>
      <c r="F38" s="679">
        <f>SUMIFS(CFS!$F$50:$AJ$50,CFS!$F$11:$AJ$11,F$10)</f>
        <v/>
      </c>
      <c r="G38" s="679">
        <f>SUMIFS(CFS!$F$50:$AJ$50,CFS!$F$11:$AJ$11,G$10)</f>
        <v/>
      </c>
      <c r="H38" s="679">
        <f>SUMIFS(CFS!$F$50:$AJ$50,CFS!$F$11:$AJ$11,H$10)</f>
        <v/>
      </c>
      <c r="I38" s="679">
        <f>SUMIFS(CFS!$F$50:$AJ$50,CFS!$F$11:$AJ$11,I$10)</f>
        <v/>
      </c>
      <c r="J38" s="702">
        <f>SUMIFS(CFS!$F$50:$AJ$50,CFS!$F$11:$AJ$11,J$10)</f>
        <v/>
      </c>
      <c r="K38" s="679">
        <f>SUMIFS(CFS!$F$50:$AJ$50,CFS!$F$11:$AJ$11,K$10)</f>
        <v/>
      </c>
      <c r="L38" s="679">
        <f>SUMIFS(CFS!$F$50:$AJ$50,CFS!$F$11:$AJ$11,L$10)</f>
        <v/>
      </c>
    </row>
    <row r="39" ht="12.75" customHeight="1" s="223">
      <c r="D39" s="695" t="inlineStr">
        <is>
          <t>Other investing activities</t>
        </is>
      </c>
      <c r="E39" s="679">
        <f>SUM(E40:E40)</f>
        <v/>
      </c>
      <c r="F39" s="679">
        <f>SUM(F40:F40)</f>
        <v/>
      </c>
      <c r="G39" s="679">
        <f>SUM(G40:G40)</f>
        <v/>
      </c>
      <c r="H39" s="679">
        <f>SUM(H40:H40)</f>
        <v/>
      </c>
      <c r="I39" s="679">
        <f>SUM(I40:I40)</f>
        <v/>
      </c>
      <c r="J39" s="702">
        <f>SUM(J40:J40)</f>
        <v/>
      </c>
      <c r="K39" s="679">
        <f>SUM(K40:K40)</f>
        <v/>
      </c>
      <c r="L39" s="679">
        <f>SUM(L40:L40)</f>
        <v/>
      </c>
    </row>
    <row r="40" ht="12.75" customHeight="1" s="223">
      <c r="D40" s="703" t="inlineStr">
        <is>
          <t>Other investing, net</t>
        </is>
      </c>
      <c r="E40" s="679">
        <f>SUMIFS(CFS!$F$52:$AJ$52,CFS!$F$11:$AJ$11,E$10)</f>
        <v/>
      </c>
      <c r="F40" s="679">
        <f>SUMIFS(CFS!$F$52:$AJ$52,CFS!$F$11:$AJ$11,F$10)</f>
        <v/>
      </c>
      <c r="G40" s="679">
        <f>SUMIFS(CFS!$F$52:$AJ$52,CFS!$F$11:$AJ$11,G$10)</f>
        <v/>
      </c>
      <c r="H40" s="679">
        <f>SUMIFS(CFS!$F$52:$AJ$52,CFS!$F$11:$AJ$11,H$10)</f>
        <v/>
      </c>
      <c r="I40" s="679">
        <f>SUMIFS(CFS!$F$52:$AJ$52,CFS!$F$11:$AJ$11,I$10)</f>
        <v/>
      </c>
      <c r="J40" s="702">
        <f>SUMIFS(CFS!$F$52:$AJ$52,CFS!$F$11:$AJ$11,J$10)</f>
        <v/>
      </c>
      <c r="K40" s="679">
        <f>SUMIFS(CFS!$F$52:$AJ$52,CFS!$F$11:$AJ$11,K$10)</f>
        <v/>
      </c>
      <c r="L40" s="679">
        <f>SUMIFS(CFS!$F$52:$AJ$52,CFS!$F$11:$AJ$11,L$10)</f>
        <v/>
      </c>
    </row>
    <row r="41" ht="12.75" customHeight="1" s="223">
      <c r="D41" s="681" t="inlineStr">
        <is>
          <t>Cash Flow from Investing</t>
        </is>
      </c>
      <c r="E41" s="683">
        <f>SUM(E36:E39)</f>
        <v/>
      </c>
      <c r="F41" s="683">
        <f>SUM(F36:F39)</f>
        <v/>
      </c>
      <c r="G41" s="683">
        <f>SUM(G36:G39)</f>
        <v/>
      </c>
      <c r="H41" s="683">
        <f>SUM(H36:H39)</f>
        <v/>
      </c>
      <c r="I41" s="683">
        <f>SUM(I36:I39)</f>
        <v/>
      </c>
      <c r="J41" s="704">
        <f>SUM(J36:J39)</f>
        <v/>
      </c>
      <c r="K41" s="683">
        <f>SUM(K36:K39)</f>
        <v/>
      </c>
      <c r="L41" s="684">
        <f>SUM(L36:L39)</f>
        <v/>
      </c>
    </row>
    <row r="42" ht="12.75" customHeight="1" s="223">
      <c r="D42" s="687" t="inlineStr">
        <is>
          <t>CFI</t>
        </is>
      </c>
      <c r="E42" s="705">
        <f>SUMIFS(CFS!$F$54:$AJ$54,CFS!$F$11:$AJ$11,E$10)</f>
        <v/>
      </c>
      <c r="F42" s="705">
        <f>SUMIFS(CFS!$F$54:$AJ$54,CFS!$F$11:$AJ$11,F$10)</f>
        <v/>
      </c>
      <c r="G42" s="705">
        <f>SUMIFS(CFS!$F$54:$AJ$54,CFS!$F$11:$AJ$11,G$10)</f>
        <v/>
      </c>
      <c r="H42" s="705">
        <f>SUMIFS(CFS!$F$54:$AJ$54,CFS!$F$11:$AJ$11,H$10)</f>
        <v/>
      </c>
      <c r="I42" s="705">
        <f>SUMIFS(CFS!$F$54:$AJ$54,CFS!$F$11:$AJ$11,I$10)</f>
        <v/>
      </c>
      <c r="J42" s="706">
        <f>SUMIFS(CFS!$F$54:$AJ$54,CFS!$F$11:$AJ$11,J$10)</f>
        <v/>
      </c>
      <c r="K42" s="705">
        <f>SUMIFS(CFS!$F$54:$AJ$54,CFS!$F$11:$AJ$11,K$10)</f>
        <v/>
      </c>
      <c r="L42" s="705">
        <f>SUMIFS(CFS!$F$54:$AJ$54,CFS!$F$11:$AJ$11,L$10)</f>
        <v/>
      </c>
    </row>
    <row r="43" ht="12.75" customHeight="1" s="223">
      <c r="D43" s="687" t="inlineStr">
        <is>
          <t>Check</t>
        </is>
      </c>
      <c r="E43" s="707">
        <f>E41-E42</f>
        <v/>
      </c>
      <c r="F43" s="707">
        <f>F41-F42</f>
        <v/>
      </c>
      <c r="G43" s="707">
        <f>G41-G42</f>
        <v/>
      </c>
      <c r="H43" s="707">
        <f>H41-H42</f>
        <v/>
      </c>
      <c r="I43" s="707">
        <f>I41-I42</f>
        <v/>
      </c>
      <c r="J43" s="708">
        <f>J41-J42</f>
        <v/>
      </c>
      <c r="K43" s="707">
        <f>K41-K42</f>
        <v/>
      </c>
      <c r="L43" s="707">
        <f>L41-L42</f>
        <v/>
      </c>
    </row>
    <row r="44" ht="4.5" customHeight="1" s="223">
      <c r="J44" s="699" t="n"/>
    </row>
    <row r="45" ht="12.75" customHeight="1" s="223">
      <c r="D45" s="695" t="inlineStr">
        <is>
          <t>Proceeds from issuance of long-term debt</t>
        </is>
      </c>
      <c r="E45" s="676">
        <f>SUMIFS(CFS!$F$59:$AJ$59,CFS!$F$11:$AJ$11,E$10)</f>
        <v/>
      </c>
      <c r="F45" s="676">
        <f>SUMIFS(CFS!$F$59:$AJ$59,CFS!$F$11:$AJ$11,F$10)</f>
        <v/>
      </c>
      <c r="G45" s="676">
        <f>SUMIFS(CFS!$F$59:$AJ$59,CFS!$F$11:$AJ$11,G$10)</f>
        <v/>
      </c>
      <c r="H45" s="676">
        <f>SUMIFS(CFS!$F$59:$AJ$59,CFS!$F$11:$AJ$11,H$10)</f>
        <v/>
      </c>
      <c r="I45" s="676">
        <f>SUMIFS(CFS!$F$59:$AJ$59,CFS!$F$11:$AJ$11,I$10)</f>
        <v/>
      </c>
      <c r="J45" s="709">
        <f>SUMIFS(CFS!$F$59:$AJ$59,CFS!$F$11:$AJ$11,J$10)</f>
        <v/>
      </c>
      <c r="K45" s="676">
        <f>SUMIFS(CFS!$F$59:$AJ$59,CFS!$F$11:$AJ$11,K$10)</f>
        <v/>
      </c>
      <c r="L45" s="676">
        <f>SUMIFS(CFS!$F$59:$AJ$59,CFS!$F$11:$AJ$11,L$10)</f>
        <v/>
      </c>
    </row>
    <row r="46" ht="12.75" customHeight="1" s="223">
      <c r="D46" s="695" t="inlineStr">
        <is>
          <t>Payments on long-term debt</t>
        </is>
      </c>
      <c r="E46" s="679">
        <f>SUMIFS(CFS!$F$60:$AJ$60,CFS!$F$11:$AJ$11,E$10)</f>
        <v/>
      </c>
      <c r="F46" s="679">
        <f>SUMIFS(CFS!$F$60:$AJ$60,CFS!$F$11:$AJ$11,F$10)</f>
        <v/>
      </c>
      <c r="G46" s="679">
        <f>SUMIFS(CFS!$F$60:$AJ$60,CFS!$F$11:$AJ$11,G$10)</f>
        <v/>
      </c>
      <c r="H46" s="679">
        <f>SUMIFS(CFS!$F$60:$AJ$60,CFS!$F$11:$AJ$11,H$10)</f>
        <v/>
      </c>
      <c r="I46" s="679">
        <f>SUMIFS(CFS!$F$60:$AJ$60,CFS!$F$11:$AJ$11,I$10)</f>
        <v/>
      </c>
      <c r="J46" s="702">
        <f>SUMIFS(CFS!$F$60:$AJ$60,CFS!$F$11:$AJ$11,J$10)</f>
        <v/>
      </c>
      <c r="K46" s="679">
        <f>SUMIFS(CFS!$F$60:$AJ$60,CFS!$F$11:$AJ$11,K$10)</f>
        <v/>
      </c>
      <c r="L46" s="679">
        <f>SUMIFS(CFS!$F$60:$AJ$60,CFS!$F$11:$AJ$11,L$10)</f>
        <v/>
      </c>
    </row>
    <row r="47" ht="12.75" customHeight="1" s="223">
      <c r="D47" s="695" t="inlineStr">
        <is>
          <t>Net proceeds (payments) on short-term debt</t>
        </is>
      </c>
      <c r="E47" s="679">
        <f>SUMIFS(CFS!$F$58:$AJ$58,CFS!$F$11:$AJ$11,E$10)</f>
        <v/>
      </c>
      <c r="F47" s="679">
        <f>SUMIFS(CFS!$F$58:$AJ$58,CFS!$F$11:$AJ$11,F$10)</f>
        <v/>
      </c>
      <c r="G47" s="679">
        <f>SUMIFS(CFS!$F$58:$AJ$58,CFS!$F$11:$AJ$11,G$10)</f>
        <v/>
      </c>
      <c r="H47" s="679">
        <f>SUMIFS(CFS!$F$58:$AJ$58,CFS!$F$11:$AJ$11,H$10)</f>
        <v/>
      </c>
      <c r="I47" s="679">
        <f>SUMIFS(CFS!$F$58:$AJ$58,CFS!$F$11:$AJ$11,I$10)</f>
        <v/>
      </c>
      <c r="J47" s="702">
        <f>SUMIFS(CFS!$F$58:$AJ$58,CFS!$F$11:$AJ$11,J$10)</f>
        <v/>
      </c>
      <c r="K47" s="679">
        <f>SUMIFS(CFS!$F$58:$AJ$58,CFS!$F$11:$AJ$11,K$10)</f>
        <v/>
      </c>
      <c r="L47" s="679">
        <f>SUMIFS(CFS!$F$58:$AJ$58,CFS!$F$11:$AJ$11,L$10)</f>
        <v/>
      </c>
    </row>
    <row r="48" ht="12.75" customHeight="1" s="223">
      <c r="D48" s="695" t="inlineStr">
        <is>
          <t>Dividends</t>
        </is>
      </c>
      <c r="E48" s="679">
        <f>SUMIFS(CFS!$F$63:$AJ$63,CFS!$F$11:$AJ$11,E$10)</f>
        <v/>
      </c>
      <c r="F48" s="679">
        <f>SUMIFS(CFS!$F$63:$AJ$63,CFS!$F$11:$AJ$11,F$10)</f>
        <v/>
      </c>
      <c r="G48" s="679">
        <f>SUMIFS(CFS!$F$63:$AJ$63,CFS!$F$11:$AJ$11,G$10)</f>
        <v/>
      </c>
      <c r="H48" s="679">
        <f>SUMIFS(CFS!$F$63:$AJ$63,CFS!$F$11:$AJ$11,H$10)</f>
        <v/>
      </c>
      <c r="I48" s="679">
        <f>SUMIFS(CFS!$F$63:$AJ$63,CFS!$F$11:$AJ$11,I$10)</f>
        <v/>
      </c>
      <c r="J48" s="702">
        <f>SUMIFS(CFS!$F$63:$AJ$63,CFS!$F$11:$AJ$11,J$10)</f>
        <v/>
      </c>
      <c r="K48" s="679">
        <f>SUMIFS(CFS!$F$63:$AJ$63,CFS!$F$11:$AJ$11,K$10)</f>
        <v/>
      </c>
      <c r="L48" s="679">
        <f>SUMIFS(CFS!$F$63:$AJ$63,CFS!$F$11:$AJ$11,L$10)</f>
        <v/>
      </c>
    </row>
    <row r="49" ht="12.75" customHeight="1" s="223">
      <c r="D49" s="695" t="inlineStr">
        <is>
          <t>Share repurchases (treasury stock, incl. fees)</t>
        </is>
      </c>
      <c r="E49" s="679">
        <f>SUMIFS(CFS!$F$64:$AJ$64,CFS!$F$11:$AJ$11,E$10)</f>
        <v/>
      </c>
      <c r="F49" s="679">
        <f>SUMIFS(CFS!$F$64:$AJ$64,CFS!$F$11:$AJ$11,F$10)</f>
        <v/>
      </c>
      <c r="G49" s="679">
        <f>SUMIFS(CFS!$F$64:$AJ$64,CFS!$F$11:$AJ$11,G$10)</f>
        <v/>
      </c>
      <c r="H49" s="679">
        <f>SUMIFS(CFS!$F$64:$AJ$64,CFS!$F$11:$AJ$11,H$10)</f>
        <v/>
      </c>
      <c r="I49" s="679">
        <f>SUMIFS(CFS!$F$64:$AJ$64,CFS!$F$11:$AJ$11,I$10)</f>
        <v/>
      </c>
      <c r="J49" s="702">
        <f>SUMIFS(CFS!$F$64:$AJ$64,CFS!$F$11:$AJ$11,J$10)</f>
        <v/>
      </c>
      <c r="K49" s="679">
        <f>SUMIFS(CFS!$F$64:$AJ$64,CFS!$F$11:$AJ$11,K$10)</f>
        <v/>
      </c>
      <c r="L49" s="679">
        <f>SUMIFS(CFS!$F$64:$AJ$64,CFS!$F$11:$AJ$11,L$10)</f>
        <v/>
      </c>
    </row>
    <row r="50" ht="12.75" customHeight="1" s="223">
      <c r="D50" s="695" t="inlineStr">
        <is>
          <t>Other financing activities</t>
        </is>
      </c>
      <c r="E50" s="679">
        <f>SUM(E51:E53)</f>
        <v/>
      </c>
      <c r="F50" s="679">
        <f>SUM(F51:F53)</f>
        <v/>
      </c>
      <c r="G50" s="679">
        <f>SUM(G51:G53)</f>
        <v/>
      </c>
      <c r="H50" s="679">
        <f>SUM(H51:H53)</f>
        <v/>
      </c>
      <c r="I50" s="679">
        <f>SUM(I51:I53)</f>
        <v/>
      </c>
      <c r="J50" s="702">
        <f>SUM(J51:J53)</f>
        <v/>
      </c>
      <c r="K50" s="679">
        <f>SUM(K51:K53)</f>
        <v/>
      </c>
      <c r="L50" s="679">
        <f>SUM(L51:L53)</f>
        <v/>
      </c>
    </row>
    <row r="51" ht="12.75" customHeight="1" s="223">
      <c r="D51" s="703" t="inlineStr">
        <is>
          <t>Tariff receivables monetization</t>
        </is>
      </c>
      <c r="E51" s="679">
        <f>SUMIFS(CFS!$F$61:$AJ$61,CFS!$F$11:$AJ$11,E$10)</f>
        <v/>
      </c>
      <c r="F51" s="679">
        <f>SUMIFS(CFS!$F$61:$AJ$61,CFS!$F$11:$AJ$11,F$10)</f>
        <v/>
      </c>
      <c r="G51" s="679">
        <f>SUMIFS(CFS!$F$61:$AJ$61,CFS!$F$11:$AJ$11,G$10)</f>
        <v/>
      </c>
      <c r="H51" s="679">
        <f>SUMIFS(CFS!$F$61:$AJ$61,CFS!$F$11:$AJ$11,H$10)</f>
        <v/>
      </c>
      <c r="I51" s="679">
        <f>SUMIFS(CFS!$F$61:$AJ$61,CFS!$F$11:$AJ$11,I$10)</f>
        <v/>
      </c>
      <c r="J51" s="702">
        <f>SUMIFS(CFS!$F$61:$AJ$61,CFS!$F$11:$AJ$11,J$10)</f>
        <v/>
      </c>
      <c r="K51" s="679">
        <f>SUMIFS(CFS!$F$61:$AJ$61,CFS!$F$11:$AJ$11,K$10)</f>
        <v/>
      </c>
      <c r="L51" s="679">
        <f>SUMIFS(CFS!$F$61:$AJ$61,CFS!$F$11:$AJ$11,L$10)</f>
        <v/>
      </c>
    </row>
    <row r="52" ht="12.75" customHeight="1" s="223">
      <c r="D52" s="703" t="inlineStr">
        <is>
          <t>Purchases of capped calls</t>
        </is>
      </c>
      <c r="E52" s="679">
        <f>SUMIFS(CFS!$F$62:$AJ$62,CFS!$F$11:$AJ$11,E$10)</f>
        <v/>
      </c>
      <c r="F52" s="679">
        <f>SUMIFS(CFS!$F$62:$AJ$62,CFS!$F$11:$AJ$11,F$10)</f>
        <v/>
      </c>
      <c r="G52" s="679">
        <f>SUMIFS(CFS!$F$62:$AJ$62,CFS!$F$11:$AJ$11,G$10)</f>
        <v/>
      </c>
      <c r="H52" s="679">
        <f>SUMIFS(CFS!$F$62:$AJ$62,CFS!$F$11:$AJ$11,H$10)</f>
        <v/>
      </c>
      <c r="I52" s="679">
        <f>SUMIFS(CFS!$F$62:$AJ$62,CFS!$F$11:$AJ$11,I$10)</f>
        <v/>
      </c>
      <c r="J52" s="702">
        <f>SUMIFS(CFS!$F$62:$AJ$62,CFS!$F$11:$AJ$11,J$10)</f>
        <v/>
      </c>
      <c r="K52" s="679">
        <f>SUMIFS(CFS!$F$62:$AJ$62,CFS!$F$11:$AJ$11,K$10)</f>
        <v/>
      </c>
      <c r="L52" s="679">
        <f>SUMIFS(CFS!$F$62:$AJ$62,CFS!$F$11:$AJ$11,L$10)</f>
        <v/>
      </c>
    </row>
    <row r="53" ht="12.75" customHeight="1" s="223">
      <c r="D53" s="703" t="inlineStr">
        <is>
          <t>Other financing, net</t>
        </is>
      </c>
      <c r="E53" s="679">
        <f>SUMIFS(CFS!$F$65:$AJ$65,CFS!$F$11:$AJ$11,E$10)</f>
        <v/>
      </c>
      <c r="F53" s="679">
        <f>SUMIFS(CFS!$F$65:$AJ$65,CFS!$F$11:$AJ$11,F$10)</f>
        <v/>
      </c>
      <c r="G53" s="679">
        <f>SUMIFS(CFS!$F$65:$AJ$65,CFS!$F$11:$AJ$11,G$10)</f>
        <v/>
      </c>
      <c r="H53" s="679">
        <f>SUMIFS(CFS!$F$65:$AJ$65,CFS!$F$11:$AJ$11,H$10)</f>
        <v/>
      </c>
      <c r="I53" s="679">
        <f>SUMIFS(CFS!$F$65:$AJ$65,CFS!$F$11:$AJ$11,I$10)</f>
        <v/>
      </c>
      <c r="J53" s="702">
        <f>SUMIFS(CFS!$F$65:$AJ$65,CFS!$F$11:$AJ$11,J$10)</f>
        <v/>
      </c>
      <c r="K53" s="679">
        <f>SUMIFS(CFS!$F$65:$AJ$65,CFS!$F$11:$AJ$11,K$10)</f>
        <v/>
      </c>
      <c r="L53" s="679">
        <f>SUMIFS(CFS!$F$65:$AJ$65,CFS!$F$11:$AJ$11,L$10)</f>
        <v/>
      </c>
    </row>
    <row r="54" ht="12.75" customHeight="1" s="223">
      <c r="D54" s="681" t="inlineStr">
        <is>
          <t>Cash Flow from Financing</t>
        </is>
      </c>
      <c r="E54" s="683">
        <f>SUM(E45:E50)</f>
        <v/>
      </c>
      <c r="F54" s="683">
        <f>SUM(F45:F50)</f>
        <v/>
      </c>
      <c r="G54" s="683">
        <f>SUM(G45:G50)</f>
        <v/>
      </c>
      <c r="H54" s="683">
        <f>SUM(H45:H50)</f>
        <v/>
      </c>
      <c r="I54" s="683">
        <f>SUM(I45:I50)</f>
        <v/>
      </c>
      <c r="J54" s="704">
        <f>SUM(J45:J50)</f>
        <v/>
      </c>
      <c r="K54" s="683">
        <f>SUM(K45:K50)</f>
        <v/>
      </c>
      <c r="L54" s="684">
        <f>SUM(L45:L50)</f>
        <v/>
      </c>
    </row>
    <row r="55" ht="12.75" customHeight="1" s="223">
      <c r="D55" s="687" t="inlineStr">
        <is>
          <t>CFF</t>
        </is>
      </c>
      <c r="E55" s="705">
        <f>SUMIFS(CFS!$F$67:$AJ$67,CFS!$F$11:$AJ$11,E$10)</f>
        <v/>
      </c>
      <c r="F55" s="705">
        <f>SUMIFS(CFS!$F$67:$AJ$67,CFS!$F$11:$AJ$11,F$10)</f>
        <v/>
      </c>
      <c r="G55" s="705">
        <f>SUMIFS(CFS!$F$67:$AJ$67,CFS!$F$11:$AJ$11,G$10)</f>
        <v/>
      </c>
      <c r="H55" s="705">
        <f>SUMIFS(CFS!$F$67:$AJ$67,CFS!$F$11:$AJ$11,H$10)</f>
        <v/>
      </c>
      <c r="I55" s="705">
        <f>SUMIFS(CFS!$F$67:$AJ$67,CFS!$F$11:$AJ$11,I$10)</f>
        <v/>
      </c>
      <c r="J55" s="706">
        <f>SUMIFS(CFS!$F$67:$AJ$67,CFS!$F$11:$AJ$11,J$10)</f>
        <v/>
      </c>
      <c r="K55" s="705">
        <f>SUMIFS(CFS!$F$67:$AJ$67,CFS!$F$11:$AJ$11,K$10)</f>
        <v/>
      </c>
      <c r="L55" s="705">
        <f>SUMIFS(CFS!$F$67:$AJ$67,CFS!$F$11:$AJ$11,L$10)</f>
        <v/>
      </c>
    </row>
    <row r="56" ht="12.75" customHeight="1" s="223">
      <c r="D56" s="687" t="inlineStr">
        <is>
          <t>Check</t>
        </is>
      </c>
      <c r="E56" s="707">
        <f>E54-E55</f>
        <v/>
      </c>
      <c r="F56" s="707">
        <f>F54-F55</f>
        <v/>
      </c>
      <c r="G56" s="707">
        <f>G54-G55</f>
        <v/>
      </c>
      <c r="H56" s="707">
        <f>H54-H55</f>
        <v/>
      </c>
      <c r="I56" s="707">
        <f>I54-I55</f>
        <v/>
      </c>
      <c r="J56" s="708">
        <f>J54-J55</f>
        <v/>
      </c>
      <c r="K56" s="707">
        <f>K54-K55</f>
        <v/>
      </c>
      <c r="L56" s="707">
        <f>L54-L55</f>
        <v/>
      </c>
    </row>
    <row r="57" ht="4.5" customHeight="1" s="223">
      <c r="J57" s="699" t="n"/>
    </row>
    <row r="58" ht="12.75" customHeight="1" s="223">
      <c r="D58" s="695" t="inlineStr">
        <is>
          <t>Effect of foreign currency exchange rates on cash</t>
        </is>
      </c>
      <c r="E58" s="679">
        <f>SUMIFS(CFS!$F$70:$AJ$70,CFS!$F$11:$AJ$11,E$10)</f>
        <v/>
      </c>
      <c r="F58" s="679">
        <f>SUMIFS(CFS!$F$70:$AJ$70,CFS!$F$11:$AJ$11,F$10)</f>
        <v/>
      </c>
      <c r="G58" s="679">
        <f>SUMIFS(CFS!$F$70:$AJ$70,CFS!$F$11:$AJ$11,G$10)</f>
        <v/>
      </c>
      <c r="H58" s="679">
        <f>SUMIFS(CFS!$F$70:$AJ$70,CFS!$F$11:$AJ$11,H$10)</f>
        <v/>
      </c>
      <c r="I58" s="679">
        <f>SUMIFS(CFS!$F$70:$AJ$70,CFS!$F$11:$AJ$11,I$10)</f>
        <v/>
      </c>
      <c r="J58" s="702">
        <f>SUMIFS(CFS!$F$70:$AJ$70,CFS!$F$11:$AJ$11,J$10)</f>
        <v/>
      </c>
      <c r="K58" s="679">
        <f>SUMIFS(CFS!$F$70:$AJ$70,CFS!$F$11:$AJ$11,K$10)</f>
        <v/>
      </c>
      <c r="L58" s="679">
        <f>SUMIFS(CFS!$F$70:$AJ$70,CFS!$F$11:$AJ$11,L$10)</f>
        <v/>
      </c>
    </row>
    <row r="59" ht="12.75" customHeight="1" s="223">
      <c r="D59" s="681" t="inlineStr">
        <is>
          <t>Net increase (decrease) in cash</t>
        </is>
      </c>
      <c r="E59" s="683">
        <f>E32+E41+E54+E58</f>
        <v/>
      </c>
      <c r="F59" s="683">
        <f>F32+F41+F54+F58</f>
        <v/>
      </c>
      <c r="G59" s="683">
        <f>G32+G41+G54+G58</f>
        <v/>
      </c>
      <c r="H59" s="683">
        <f>H32+H41+H54+H58</f>
        <v/>
      </c>
      <c r="I59" s="683">
        <f>I32+I41+I54+I58</f>
        <v/>
      </c>
      <c r="J59" s="704">
        <f>J32+J41+J54+J58</f>
        <v/>
      </c>
      <c r="K59" s="683">
        <f>K32+K41+K54+K58</f>
        <v/>
      </c>
      <c r="L59" s="684">
        <f>L32+L41+L54+L58</f>
        <v/>
      </c>
    </row>
    <row r="60" ht="12.75" customHeight="1" s="223">
      <c r="D60" s="695" t="inlineStr">
        <is>
          <t>Cash at beginning of period</t>
        </is>
      </c>
      <c r="E60" s="676">
        <f>SUMIFS(CFS!$F$75:$AJ$75,CFS!$F$11:$AJ$11,E$10)</f>
        <v/>
      </c>
      <c r="F60" s="676">
        <f>E61</f>
        <v/>
      </c>
      <c r="G60" s="676">
        <f>F61</f>
        <v/>
      </c>
      <c r="H60" s="676">
        <f>G61</f>
        <v/>
      </c>
      <c r="I60" s="676">
        <f>H61</f>
        <v/>
      </c>
      <c r="J60" s="709">
        <f>SUMIFS(CFS!$F$75:$AJ$75,CFS!$F$11:$AJ$11,J$10)</f>
        <v/>
      </c>
      <c r="K60" s="676">
        <f>SUMIFS(CFS!$F$75:$AJ$75,CFS!$F$11:$AJ$11,K$10)</f>
        <v/>
      </c>
      <c r="L60" s="676">
        <f>SUMIFS(CFS!$F$75:$AJ$75,CFS!$F$11:$AJ$11,L$10)</f>
        <v/>
      </c>
    </row>
    <row r="61" ht="12.75" customHeight="1" s="223">
      <c r="D61" s="681" t="inlineStr">
        <is>
          <t>Cash at end of period</t>
        </is>
      </c>
      <c r="E61" s="683">
        <f>SUM(E59:E60)</f>
        <v/>
      </c>
      <c r="F61" s="683">
        <f>SUM(F59:F60)</f>
        <v/>
      </c>
      <c r="G61" s="683">
        <f>SUM(G59:G60)</f>
        <v/>
      </c>
      <c r="H61" s="683">
        <f>SUM(H59:H60)</f>
        <v/>
      </c>
      <c r="I61" s="683">
        <f>SUM(I59:I60)</f>
        <v/>
      </c>
      <c r="J61" s="704">
        <f>SUM(J59:J60)</f>
        <v/>
      </c>
      <c r="K61" s="683">
        <f>SUM(K59:K60)</f>
        <v/>
      </c>
      <c r="L61" s="684">
        <f>SUM(L59:L60)</f>
        <v/>
      </c>
    </row>
    <row r="62" ht="4.5" customHeight="1" s="223">
      <c r="J62" s="699" t="n"/>
    </row>
    <row r="63" ht="12.75" customHeight="1" s="223">
      <c r="D63" s="681" t="inlineStr">
        <is>
          <t>Free Cash Flow(1)</t>
        </is>
      </c>
      <c r="E63" s="683">
        <f>E32+E36</f>
        <v/>
      </c>
      <c r="F63" s="683">
        <f>F32+F36</f>
        <v/>
      </c>
      <c r="G63" s="683">
        <f>G32+G36</f>
        <v/>
      </c>
      <c r="H63" s="683">
        <f>H32+H36</f>
        <v/>
      </c>
      <c r="I63" s="683">
        <f>I32+I36</f>
        <v/>
      </c>
      <c r="J63" s="704">
        <f>J32+J36</f>
        <v/>
      </c>
      <c r="K63" s="683">
        <f>K32+K36</f>
        <v/>
      </c>
      <c r="L63" s="684">
        <f>L32+L36</f>
        <v/>
      </c>
    </row>
    <row r="64" ht="12.75" customHeight="1" s="223"/>
    <row r="65" ht="12.75" customHeight="1" s="223"/>
    <row r="66" ht="12.75" customHeight="1" s="223">
      <c r="D66" s="710" t="inlineStr">
        <is>
          <t>(1) Free Cash Flow calculated as CFO less capital expenditures (cost of additions to land, buildings, equipment and software); matches Xerox's reported free cash flow definition.</t>
        </is>
      </c>
    </row>
    <row r="67" ht="12.75" customHeight="1" s="223">
      <c r="D67" s="710" t="inlineStr">
        <is>
          <t>Note: Lexmark acquired July 1, 2025 ($674M net cash paid in 3Q'25 acquisitions).</t>
        </is>
      </c>
    </row>
    <row r="68" ht="12.75" customHeight="1" s="223">
      <c r="D68" s="710" t="inlineStr">
        <is>
          <t>2Q'26 includes $80M tariff receivables monetization in financing, which Xerox excludes from operating cash flow.</t>
        </is>
      </c>
    </row>
    <row r="69" ht="12.75" customHeight="1" s="223"/>
  </sheetData>
  <mergeCells count="2">
    <mergeCell ref="K8:L8"/>
    <mergeCell ref="E8:I8"/>
  </mergeCells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J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1.7" customWidth="1" style="222" min="1" max="3"/>
    <col width="18.08" customWidth="1" style="222" min="4" max="4"/>
    <col width="36" customWidth="1" style="222" min="5" max="5"/>
    <col width="12.4" customWidth="1" style="222" min="6" max="27"/>
    <col width="10.5" customWidth="1" style="223" min="7" max="7"/>
    <col width="10.5" customWidth="1" style="223" min="8" max="8"/>
    <col width="10.5" customWidth="1" style="223" min="9" max="9"/>
    <col width="10.5" customWidth="1" style="223" min="10" max="10"/>
    <col width="10.5" customWidth="1" style="223" min="11" max="11"/>
    <col width="10.5" customWidth="1" style="223" min="12" max="12"/>
    <col width="10.5" customWidth="1" style="223" min="13" max="13"/>
    <col width="10.5" customWidth="1" style="223" min="14" max="14"/>
    <col width="10.5" customWidth="1" style="223" min="15" max="15"/>
    <col width="10.5" customWidth="1" style="223" min="16" max="16"/>
    <col width="10.5" customWidth="1" style="223" min="17" max="17"/>
    <col width="10.5" customWidth="1" style="223" min="18" max="18"/>
    <col width="10.5" customWidth="1" style="223" min="19" max="19"/>
    <col width="10.5" customWidth="1" style="223" min="20" max="20"/>
    <col width="10.5" customWidth="1" style="223" min="21" max="21"/>
    <col width="10.5" customWidth="1" style="223" min="22" max="22"/>
    <col width="10.5" customWidth="1" style="223" min="23" max="23"/>
    <col width="10.5" customWidth="1" style="223" min="24" max="24"/>
    <col width="10.5" customWidth="1" style="223" min="25" max="25"/>
    <col width="10.5" customWidth="1" style="223" min="26" max="26"/>
    <col width="10.5" customWidth="1" style="223" min="27" max="27"/>
    <col width="3.25" customWidth="1" style="222" min="28" max="28"/>
    <col width="12.4" customWidth="1" style="222" min="29" max="33"/>
    <col width="10.5" customWidth="1" style="223" min="30" max="30"/>
    <col width="10.5" customWidth="1" style="223" min="31" max="31"/>
    <col width="10.5" customWidth="1" style="223" min="32" max="32"/>
    <col width="10.5" customWidth="1" style="223" min="33" max="33"/>
    <col width="3.58" customWidth="1" style="222" min="34" max="34"/>
    <col width="12.4" customWidth="1" style="222" min="35" max="36"/>
    <col width="10.5" customWidth="1" style="223" min="36" max="36"/>
  </cols>
  <sheetData>
    <row r="1">
      <c r="A1" s="671">
        <f>D3</f>
        <v/>
      </c>
      <c r="B1" s="597">
        <f>'Cover Page'!A1</f>
        <v/>
      </c>
    </row>
    <row r="2"/>
    <row r="3" ht="13.5" customHeight="1" s="223">
      <c r="A3" s="600" t="n"/>
      <c r="B3" s="600" t="n"/>
      <c r="C3" s="600" t="n"/>
      <c r="D3" s="601" t="inlineStr">
        <is>
          <t>Balance Sheet Spread</t>
        </is>
      </c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  <c r="S3" s="602" t="n"/>
      <c r="T3" s="602" t="n"/>
      <c r="U3" s="602" t="n"/>
      <c r="V3" s="602" t="n"/>
      <c r="W3" s="602" t="n"/>
      <c r="X3" s="602" t="n"/>
      <c r="Y3" s="602" t="n"/>
      <c r="Z3" s="602" t="n"/>
      <c r="AA3" s="602" t="n"/>
      <c r="AB3" s="602" t="n"/>
      <c r="AC3" s="602" t="n"/>
      <c r="AD3" s="602" t="n"/>
      <c r="AE3" s="602" t="n"/>
      <c r="AF3" s="602" t="n"/>
      <c r="AG3" s="603" t="n"/>
      <c r="AH3" s="602" t="n"/>
      <c r="AI3" s="602" t="n"/>
      <c r="AJ3" s="602" t="n"/>
    </row>
    <row r="4" ht="13.5" customHeight="1" s="223">
      <c r="A4" s="600" t="n"/>
      <c r="B4" s="600" t="n"/>
      <c r="C4" s="600" t="n"/>
      <c r="D4" s="604" t="inlineStr">
        <is>
          <t>Xerox Holdings Corporation – All values in $ millions (USD), except per-share values. Data as of June 30, 2026 (2Q'26).</t>
        </is>
      </c>
      <c r="E4" s="605" t="n"/>
      <c r="F4" s="605" t="n"/>
      <c r="G4" s="605" t="n"/>
      <c r="H4" s="605" t="n"/>
      <c r="I4" s="605" t="n"/>
      <c r="J4" s="605" t="n"/>
      <c r="K4" s="605" t="n"/>
      <c r="L4" s="605" t="n"/>
      <c r="M4" s="605" t="n"/>
      <c r="N4" s="605" t="n"/>
      <c r="O4" s="605" t="n"/>
      <c r="P4" s="605" t="n"/>
      <c r="Q4" s="605" t="n"/>
      <c r="R4" s="605" t="n"/>
      <c r="S4" s="605" t="n"/>
      <c r="T4" s="605" t="n"/>
      <c r="U4" s="605" t="n"/>
      <c r="V4" s="605" t="n"/>
      <c r="W4" s="605" t="n"/>
      <c r="X4" s="605" t="n"/>
      <c r="Y4" s="605" t="n"/>
      <c r="Z4" s="605" t="n"/>
      <c r="AA4" s="605" t="n"/>
      <c r="AB4" s="605" t="n"/>
      <c r="AC4" s="605" t="n"/>
      <c r="AD4" s="605" t="n"/>
      <c r="AE4" s="605" t="n"/>
      <c r="AF4" s="605" t="n"/>
      <c r="AG4" s="606" t="n"/>
      <c r="AH4" s="605" t="n"/>
      <c r="AI4" s="605" t="n"/>
      <c r="AJ4" s="605" t="n"/>
    </row>
    <row r="5" s="223">
      <c r="A5" s="582" t="inlineStr">
        <is>
          <t>x</t>
        </is>
      </c>
      <c r="D5" s="607" t="inlineStr">
        <is>
          <t>Balance Sheet</t>
        </is>
      </c>
      <c r="E5" s="644" t="n"/>
      <c r="F5" s="608" t="inlineStr">
        <is>
          <t>Quarter Ended</t>
        </is>
      </c>
      <c r="G5" s="608" t="n"/>
      <c r="H5" s="608" t="n"/>
      <c r="I5" s="608" t="n"/>
      <c r="J5" s="608" t="n"/>
      <c r="K5" s="608" t="n"/>
      <c r="L5" s="608" t="n"/>
      <c r="M5" s="608" t="n"/>
      <c r="N5" s="608" t="n"/>
      <c r="O5" s="608" t="n"/>
      <c r="P5" s="608" t="n"/>
      <c r="Q5" s="608" t="n"/>
      <c r="R5" s="608" t="n"/>
      <c r="S5" s="608" t="n"/>
      <c r="T5" s="608" t="n"/>
      <c r="U5" s="608" t="n"/>
      <c r="V5" s="608" t="n"/>
      <c r="W5" s="608" t="n"/>
      <c r="X5" s="608" t="n"/>
      <c r="Y5" s="608" t="n"/>
      <c r="Z5" s="608" t="n"/>
      <c r="AA5" s="608" t="n"/>
      <c r="AB5" s="644" t="n"/>
      <c r="AC5" s="608" t="inlineStr">
        <is>
          <t>Fiscal Year Ended December 31,</t>
        </is>
      </c>
      <c r="AD5" s="608" t="n"/>
      <c r="AE5" s="608" t="n"/>
      <c r="AF5" s="608" t="n"/>
      <c r="AG5" s="608" t="n"/>
      <c r="AH5" s="644" t="n"/>
      <c r="AI5" s="608" t="inlineStr">
        <is>
          <t>Variance</t>
        </is>
      </c>
      <c r="AJ5" s="608" t="n"/>
    </row>
    <row r="6" ht="15" customHeight="1" s="223">
      <c r="D6" s="711" t="n"/>
      <c r="E6" s="711" t="n"/>
      <c r="F6" s="712" t="n">
        <v>1</v>
      </c>
      <c r="G6" s="712" t="n">
        <v>2</v>
      </c>
      <c r="H6" s="712" t="n">
        <v>3</v>
      </c>
      <c r="I6" s="712" t="n">
        <v>4</v>
      </c>
      <c r="J6" s="712" t="n">
        <v>1</v>
      </c>
      <c r="K6" s="712" t="n">
        <v>2</v>
      </c>
      <c r="L6" s="712" t="n">
        <v>3</v>
      </c>
      <c r="M6" s="712" t="n">
        <v>4</v>
      </c>
      <c r="N6" s="712" t="n">
        <v>1</v>
      </c>
      <c r="O6" s="712" t="n">
        <v>2</v>
      </c>
      <c r="P6" s="712" t="n">
        <v>3</v>
      </c>
      <c r="Q6" s="712" t="n">
        <v>4</v>
      </c>
      <c r="R6" s="712" t="n">
        <v>1</v>
      </c>
      <c r="S6" s="712" t="n">
        <v>2</v>
      </c>
      <c r="T6" s="712" t="n">
        <v>3</v>
      </c>
      <c r="U6" s="712" t="n">
        <v>4</v>
      </c>
      <c r="V6" s="712" t="n">
        <v>1</v>
      </c>
      <c r="W6" s="712" t="n">
        <v>2</v>
      </c>
      <c r="X6" s="712" t="n">
        <v>3</v>
      </c>
      <c r="Y6" s="712" t="n">
        <v>4</v>
      </c>
      <c r="Z6" s="712" t="n">
        <v>1</v>
      </c>
      <c r="AA6" s="712" t="n">
        <v>2</v>
      </c>
      <c r="AB6" s="711" t="n"/>
      <c r="AC6" s="713" t="n"/>
      <c r="AD6" s="713" t="n"/>
      <c r="AE6" s="713" t="n"/>
      <c r="AF6" s="713" t="n"/>
      <c r="AG6" s="713" t="n"/>
      <c r="AH6" s="711" t="n"/>
      <c r="AI6" s="713" t="n"/>
      <c r="AJ6" s="713" t="n"/>
    </row>
    <row r="7" ht="15" customHeight="1" s="223">
      <c r="D7" s="711" t="n"/>
      <c r="E7" s="711" t="n"/>
      <c r="F7" s="712" t="n">
        <v>2021</v>
      </c>
      <c r="G7" s="712" t="n">
        <v>2021</v>
      </c>
      <c r="H7" s="712" t="n">
        <v>2021</v>
      </c>
      <c r="I7" s="712" t="n">
        <v>2021</v>
      </c>
      <c r="J7" s="712" t="n">
        <v>2022</v>
      </c>
      <c r="K7" s="712" t="n">
        <v>2022</v>
      </c>
      <c r="L7" s="712" t="n">
        <v>2022</v>
      </c>
      <c r="M7" s="712" t="n">
        <v>2022</v>
      </c>
      <c r="N7" s="712" t="n">
        <v>2023</v>
      </c>
      <c r="O7" s="712" t="n">
        <v>2023</v>
      </c>
      <c r="P7" s="712" t="n">
        <v>2023</v>
      </c>
      <c r="Q7" s="712" t="n">
        <v>2023</v>
      </c>
      <c r="R7" s="712" t="n">
        <v>2024</v>
      </c>
      <c r="S7" s="712" t="n">
        <v>2024</v>
      </c>
      <c r="T7" s="712" t="n">
        <v>2024</v>
      </c>
      <c r="U7" s="712" t="n">
        <v>2024</v>
      </c>
      <c r="V7" s="712" t="n">
        <v>2025</v>
      </c>
      <c r="W7" s="712" t="n">
        <v>2025</v>
      </c>
      <c r="X7" s="712" t="n">
        <v>2025</v>
      </c>
      <c r="Y7" s="712" t="n">
        <v>2025</v>
      </c>
      <c r="Z7" s="712" t="n">
        <v>2026</v>
      </c>
      <c r="AA7" s="712" t="n">
        <v>2026</v>
      </c>
      <c r="AB7" s="711" t="n"/>
      <c r="AC7" s="712" t="n">
        <v>2021</v>
      </c>
      <c r="AD7" s="712" t="n">
        <v>2022</v>
      </c>
      <c r="AE7" s="712" t="n">
        <v>2023</v>
      </c>
      <c r="AF7" s="712" t="n">
        <v>2024</v>
      </c>
      <c r="AG7" s="712" t="n">
        <v>2025</v>
      </c>
      <c r="AH7" s="711" t="n"/>
      <c r="AI7" s="713" t="n"/>
      <c r="AJ7" s="713" t="n"/>
    </row>
    <row r="8" ht="15" customHeight="1" s="223">
      <c r="D8" s="711" t="n"/>
      <c r="E8" s="711" t="n"/>
      <c r="F8" s="714" t="n">
        <v>44286</v>
      </c>
      <c r="G8" s="714" t="n">
        <v>44377</v>
      </c>
      <c r="H8" s="714" t="n">
        <v>44469</v>
      </c>
      <c r="I8" s="714" t="n">
        <v>44561</v>
      </c>
      <c r="J8" s="714" t="n">
        <v>44651</v>
      </c>
      <c r="K8" s="714" t="n">
        <v>44742</v>
      </c>
      <c r="L8" s="714" t="n">
        <v>44834</v>
      </c>
      <c r="M8" s="714" t="n">
        <v>44926</v>
      </c>
      <c r="N8" s="714" t="n">
        <v>45016</v>
      </c>
      <c r="O8" s="714" t="n">
        <v>45107</v>
      </c>
      <c r="P8" s="714" t="n">
        <v>45199</v>
      </c>
      <c r="Q8" s="714" t="n">
        <v>45291</v>
      </c>
      <c r="R8" s="714" t="n">
        <v>45382</v>
      </c>
      <c r="S8" s="714" t="n">
        <v>45473</v>
      </c>
      <c r="T8" s="714" t="n">
        <v>45565</v>
      </c>
      <c r="U8" s="714" t="n">
        <v>45657</v>
      </c>
      <c r="V8" s="714" t="n">
        <v>45747</v>
      </c>
      <c r="W8" s="714" t="n">
        <v>45838</v>
      </c>
      <c r="X8" s="714" t="n">
        <v>45930</v>
      </c>
      <c r="Y8" s="714" t="n">
        <v>46022</v>
      </c>
      <c r="Z8" s="714" t="n">
        <v>46112</v>
      </c>
      <c r="AA8" s="714" t="n">
        <v>46203</v>
      </c>
      <c r="AB8" s="711" t="n"/>
      <c r="AC8" s="714" t="n">
        <v>44561</v>
      </c>
      <c r="AD8" s="714" t="n">
        <v>44926</v>
      </c>
      <c r="AE8" s="714" t="n">
        <v>45291</v>
      </c>
      <c r="AF8" s="714" t="n">
        <v>45657</v>
      </c>
      <c r="AG8" s="714" t="n">
        <v>46022</v>
      </c>
      <c r="AH8" s="711" t="n"/>
      <c r="AI8" s="713" t="n"/>
      <c r="AJ8" s="713" t="n"/>
    </row>
    <row r="9"/>
    <row r="10" ht="14.25" customHeight="1" s="223">
      <c r="A10" s="600" t="n"/>
      <c r="B10" s="600" t="n"/>
      <c r="C10" s="600" t="n"/>
      <c r="D10" s="601" t="n"/>
      <c r="E10" s="601" t="n"/>
      <c r="F10" s="613">
        <f>F6&amp;"Q'"&amp;RIGHT(F7,2)</f>
        <v/>
      </c>
      <c r="G10" s="613">
        <f>G6&amp;"Q'"&amp;RIGHT(G7,2)</f>
        <v/>
      </c>
      <c r="H10" s="613">
        <f>H6&amp;"Q'"&amp;RIGHT(H7,2)</f>
        <v/>
      </c>
      <c r="I10" s="613">
        <f>I6&amp;"Q'"&amp;RIGHT(I7,2)</f>
        <v/>
      </c>
      <c r="J10" s="613">
        <f>J6&amp;"Q'"&amp;RIGHT(J7,2)</f>
        <v/>
      </c>
      <c r="K10" s="613">
        <f>K6&amp;"Q'"&amp;RIGHT(K7,2)</f>
        <v/>
      </c>
      <c r="L10" s="613">
        <f>L6&amp;"Q'"&amp;RIGHT(L7,2)</f>
        <v/>
      </c>
      <c r="M10" s="613">
        <f>M6&amp;"Q'"&amp;RIGHT(M7,2)</f>
        <v/>
      </c>
      <c r="N10" s="613">
        <f>N6&amp;"Q'"&amp;RIGHT(N7,2)</f>
        <v/>
      </c>
      <c r="O10" s="613">
        <f>O6&amp;"Q'"&amp;RIGHT(O7,2)</f>
        <v/>
      </c>
      <c r="P10" s="613">
        <f>P6&amp;"Q'"&amp;RIGHT(P7,2)</f>
        <v/>
      </c>
      <c r="Q10" s="613">
        <f>Q6&amp;"Q'"&amp;RIGHT(Q7,2)</f>
        <v/>
      </c>
      <c r="R10" s="613">
        <f>R6&amp;"Q'"&amp;RIGHT(R7,2)</f>
        <v/>
      </c>
      <c r="S10" s="613">
        <f>S6&amp;"Q'"&amp;RIGHT(S7,2)</f>
        <v/>
      </c>
      <c r="T10" s="613">
        <f>T6&amp;"Q'"&amp;RIGHT(T7,2)</f>
        <v/>
      </c>
      <c r="U10" s="613">
        <f>U6&amp;"Q'"&amp;RIGHT(U7,2)</f>
        <v/>
      </c>
      <c r="V10" s="613">
        <f>V6&amp;"Q'"&amp;RIGHT(V7,2)</f>
        <v/>
      </c>
      <c r="W10" s="613">
        <f>W6&amp;"Q'"&amp;RIGHT(W7,2)</f>
        <v/>
      </c>
      <c r="X10" s="613">
        <f>X6&amp;"Q'"&amp;RIGHT(X7,2)</f>
        <v/>
      </c>
      <c r="Y10" s="613">
        <f>Y6&amp;"Q'"&amp;RIGHT(Y7,2)</f>
        <v/>
      </c>
      <c r="Z10" s="613">
        <f>Z6&amp;"Q'"&amp;RIGHT(Z7,2)</f>
        <v/>
      </c>
      <c r="AA10" s="613">
        <f>AA6&amp;"Q'"&amp;RIGHT(AA7,2)</f>
        <v/>
      </c>
      <c r="AB10" s="601" t="n"/>
      <c r="AC10" s="613" t="n">
        <v>2021</v>
      </c>
      <c r="AD10" s="613" t="n">
        <v>2022</v>
      </c>
      <c r="AE10" s="613" t="n">
        <v>2023</v>
      </c>
      <c r="AF10" s="613" t="n">
        <v>2024</v>
      </c>
      <c r="AG10" s="613" t="n">
        <v>2025</v>
      </c>
      <c r="AH10" s="601" t="n"/>
      <c r="AI10" s="613" t="inlineStr">
        <is>
          <t>$ Chg '25</t>
        </is>
      </c>
      <c r="AJ10" s="613" t="inlineStr">
        <is>
          <t>% Chg '25</t>
        </is>
      </c>
    </row>
    <row r="11" ht="0.75" customHeight="1" s="223">
      <c r="A11" s="600" t="n"/>
      <c r="B11" s="600" t="n"/>
      <c r="C11" s="600" t="n"/>
      <c r="D11" s="600" t="n"/>
      <c r="E11" s="600" t="n"/>
      <c r="F11" s="600" t="n"/>
      <c r="G11" s="600" t="n"/>
      <c r="H11" s="600" t="n"/>
      <c r="I11" s="600" t="n"/>
      <c r="J11" s="600" t="n"/>
      <c r="K11" s="600" t="n"/>
      <c r="L11" s="600" t="n"/>
      <c r="M11" s="600" t="n"/>
      <c r="N11" s="600" t="n"/>
      <c r="O11" s="600" t="n"/>
      <c r="P11" s="600" t="n"/>
      <c r="Q11" s="600" t="n"/>
      <c r="R11" s="600" t="n"/>
      <c r="S11" s="600" t="n"/>
      <c r="T11" s="600" t="n"/>
      <c r="U11" s="600" t="n"/>
      <c r="V11" s="600" t="n"/>
      <c r="W11" s="600" t="n"/>
      <c r="X11" s="600" t="n"/>
      <c r="Y11" s="600" t="n"/>
      <c r="Z11" s="600" t="n"/>
      <c r="AA11" s="600" t="n"/>
      <c r="AB11" s="600" t="n"/>
      <c r="AC11" s="600" t="n"/>
      <c r="AD11" s="600" t="n"/>
      <c r="AE11" s="600" t="n"/>
      <c r="AF11" s="600" t="n"/>
      <c r="AG11" s="600" t="n"/>
      <c r="AH11" s="600" t="n"/>
      <c r="AI11" s="600" t="n"/>
      <c r="AJ11" s="600" t="n"/>
    </row>
    <row r="12" ht="15" customHeight="1" s="223">
      <c r="D12" s="673" t="inlineStr">
        <is>
          <t>ASSETS</t>
        </is>
      </c>
    </row>
    <row r="13" ht="15" customHeight="1" s="223">
      <c r="D13" s="674" t="inlineStr">
        <is>
          <t>Cash and cash equivalents</t>
        </is>
      </c>
      <c r="F13" s="677" t="n">
        <v>2379</v>
      </c>
      <c r="G13" s="677" t="n">
        <v>2124</v>
      </c>
      <c r="H13" s="677" t="n">
        <v>2209</v>
      </c>
      <c r="I13" s="677" t="n">
        <v>1840</v>
      </c>
      <c r="J13" s="677" t="n">
        <v>1681</v>
      </c>
      <c r="K13" s="677" t="n">
        <v>1151</v>
      </c>
      <c r="L13" s="677" t="n">
        <v>932</v>
      </c>
      <c r="M13" s="677" t="n">
        <v>1045</v>
      </c>
      <c r="N13" s="677" t="n">
        <v>591</v>
      </c>
      <c r="O13" s="677" t="n">
        <v>477</v>
      </c>
      <c r="P13" s="677" t="n">
        <v>532</v>
      </c>
      <c r="Q13" s="677" t="n">
        <v>519</v>
      </c>
      <c r="R13" s="677" t="n">
        <v>685</v>
      </c>
      <c r="S13" s="677" t="n">
        <v>485</v>
      </c>
      <c r="T13" s="677" t="n">
        <v>521</v>
      </c>
      <c r="U13" s="677" t="n">
        <v>576</v>
      </c>
      <c r="V13" s="677" t="n">
        <v>336</v>
      </c>
      <c r="W13" s="677" t="n">
        <v>449</v>
      </c>
      <c r="X13" s="677" t="n">
        <v>479</v>
      </c>
      <c r="Y13" s="677" t="n">
        <v>512</v>
      </c>
      <c r="Z13" s="677" t="n">
        <v>585</v>
      </c>
      <c r="AA13" s="677" t="n">
        <v>495</v>
      </c>
      <c r="AC13" s="676">
        <f>I13</f>
        <v/>
      </c>
      <c r="AD13" s="676">
        <f>M13</f>
        <v/>
      </c>
      <c r="AE13" s="676">
        <f>Q13</f>
        <v/>
      </c>
      <c r="AF13" s="676">
        <f>U13</f>
        <v/>
      </c>
      <c r="AG13" s="676">
        <f>Y13</f>
        <v/>
      </c>
      <c r="AI13" s="676">
        <f>AG13-AF13</f>
        <v/>
      </c>
      <c r="AJ13" s="715">
        <f>IFERROR(AI13/ABS(AF13),0)</f>
        <v/>
      </c>
    </row>
    <row r="14" ht="15" customHeight="1" s="223">
      <c r="D14" s="674" t="inlineStr">
        <is>
          <t>Accounts receivable, net</t>
        </is>
      </c>
      <c r="F14" s="678" t="n">
        <v>781</v>
      </c>
      <c r="G14" s="678" t="n">
        <v>846</v>
      </c>
      <c r="H14" s="678" t="n">
        <v>891</v>
      </c>
      <c r="I14" s="678" t="n">
        <v>818</v>
      </c>
      <c r="J14" s="678" t="n">
        <v>807</v>
      </c>
      <c r="K14" s="678" t="n">
        <v>852</v>
      </c>
      <c r="L14" s="678" t="n">
        <v>835</v>
      </c>
      <c r="M14" s="678" t="n">
        <v>857</v>
      </c>
      <c r="N14" s="678" t="n">
        <v>818</v>
      </c>
      <c r="O14" s="678" t="n">
        <v>903</v>
      </c>
      <c r="P14" s="678" t="n">
        <v>880</v>
      </c>
      <c r="Q14" s="678" t="n">
        <v>850</v>
      </c>
      <c r="R14" s="678" t="n">
        <v>846</v>
      </c>
      <c r="S14" s="678" t="n">
        <v>847</v>
      </c>
      <c r="T14" s="678" t="n">
        <v>821</v>
      </c>
      <c r="U14" s="678" t="n">
        <v>796</v>
      </c>
      <c r="V14" s="678" t="n">
        <v>819</v>
      </c>
      <c r="W14" s="678" t="n">
        <v>862</v>
      </c>
      <c r="X14" s="678" t="n">
        <v>1196</v>
      </c>
      <c r="Y14" s="678" t="n">
        <v>1122</v>
      </c>
      <c r="Z14" s="678" t="n">
        <v>1218</v>
      </c>
      <c r="AA14" s="678" t="n">
        <v>1185</v>
      </c>
      <c r="AC14" s="679">
        <f>I14</f>
        <v/>
      </c>
      <c r="AD14" s="679">
        <f>M14</f>
        <v/>
      </c>
      <c r="AE14" s="679">
        <f>Q14</f>
        <v/>
      </c>
      <c r="AF14" s="679">
        <f>U14</f>
        <v/>
      </c>
      <c r="AG14" s="679">
        <f>Y14</f>
        <v/>
      </c>
      <c r="AI14" s="676">
        <f>AG14-AF14</f>
        <v/>
      </c>
      <c r="AJ14" s="715">
        <f>IFERROR(AI14/ABS(AF14),0)</f>
        <v/>
      </c>
    </row>
    <row r="15" ht="15" customHeight="1" s="223">
      <c r="D15" s="674" t="inlineStr">
        <is>
          <t>Billed portion of finance receivables, net</t>
        </is>
      </c>
      <c r="F15" s="678" t="n">
        <v>92</v>
      </c>
      <c r="G15" s="678" t="n">
        <v>89</v>
      </c>
      <c r="H15" s="678" t="n">
        <v>100</v>
      </c>
      <c r="I15" s="678" t="n">
        <v>94</v>
      </c>
      <c r="J15" s="678" t="n">
        <v>89</v>
      </c>
      <c r="K15" s="678" t="n">
        <v>83</v>
      </c>
      <c r="L15" s="678" t="n">
        <v>91</v>
      </c>
      <c r="M15" s="678" t="n">
        <v>93</v>
      </c>
      <c r="N15" s="678" t="n">
        <v>94</v>
      </c>
      <c r="O15" s="678" t="n">
        <v>70</v>
      </c>
      <c r="P15" s="678" t="n">
        <v>80</v>
      </c>
      <c r="Q15" s="678" t="n">
        <v>71</v>
      </c>
      <c r="R15" s="678" t="n">
        <v>67</v>
      </c>
      <c r="S15" s="678" t="n">
        <v>70</v>
      </c>
      <c r="T15" s="678" t="n">
        <v>50</v>
      </c>
      <c r="U15" s="678" t="n">
        <v>48</v>
      </c>
      <c r="V15" s="678" t="n">
        <v>43</v>
      </c>
      <c r="W15" s="678" t="n">
        <v>46</v>
      </c>
      <c r="X15" s="678" t="n">
        <v>53</v>
      </c>
      <c r="Y15" s="678" t="n">
        <v>46</v>
      </c>
      <c r="Z15" s="678" t="n">
        <v>43</v>
      </c>
      <c r="AA15" s="678" t="n">
        <v>40</v>
      </c>
      <c r="AC15" s="679">
        <f>I15</f>
        <v/>
      </c>
      <c r="AD15" s="679">
        <f>M15</f>
        <v/>
      </c>
      <c r="AE15" s="679">
        <f>Q15</f>
        <v/>
      </c>
      <c r="AF15" s="679">
        <f>U15</f>
        <v/>
      </c>
      <c r="AG15" s="679">
        <f>Y15</f>
        <v/>
      </c>
      <c r="AI15" s="676">
        <f>AG15-AF15</f>
        <v/>
      </c>
      <c r="AJ15" s="715">
        <f>IFERROR(AI15/ABS(AF15),0)</f>
        <v/>
      </c>
    </row>
    <row r="16" ht="15" customHeight="1" s="223">
      <c r="D16" s="674" t="inlineStr">
        <is>
          <t>Finance receivables, net</t>
        </is>
      </c>
      <c r="F16" s="678" t="n">
        <v>1065</v>
      </c>
      <c r="G16" s="678" t="n">
        <v>1057</v>
      </c>
      <c r="H16" s="678" t="n">
        <v>1039</v>
      </c>
      <c r="I16" s="678" t="n">
        <v>1042</v>
      </c>
      <c r="J16" s="678" t="n">
        <v>1023</v>
      </c>
      <c r="K16" s="678" t="n">
        <v>1019</v>
      </c>
      <c r="L16" s="678" t="n">
        <v>995</v>
      </c>
      <c r="M16" s="678" t="n">
        <v>1061</v>
      </c>
      <c r="N16" s="678" t="n">
        <v>1022</v>
      </c>
      <c r="O16" s="678" t="n">
        <v>940</v>
      </c>
      <c r="P16" s="678" t="n">
        <v>906</v>
      </c>
      <c r="Q16" s="678" t="n">
        <v>842</v>
      </c>
      <c r="R16" s="678" t="n">
        <v>783</v>
      </c>
      <c r="S16" s="678" t="n">
        <v>713</v>
      </c>
      <c r="T16" s="678" t="n">
        <v>664</v>
      </c>
      <c r="U16" s="678" t="n">
        <v>608</v>
      </c>
      <c r="V16" s="678" t="n">
        <v>583</v>
      </c>
      <c r="W16" s="678" t="n">
        <v>584</v>
      </c>
      <c r="X16" s="678" t="n">
        <v>553</v>
      </c>
      <c r="Y16" s="678" t="n">
        <v>510</v>
      </c>
      <c r="Z16" s="678" t="n">
        <v>476</v>
      </c>
      <c r="AA16" s="678" t="n">
        <v>442</v>
      </c>
      <c r="AC16" s="679">
        <f>I16</f>
        <v/>
      </c>
      <c r="AD16" s="679">
        <f>M16</f>
        <v/>
      </c>
      <c r="AE16" s="679">
        <f>Q16</f>
        <v/>
      </c>
      <c r="AF16" s="679">
        <f>U16</f>
        <v/>
      </c>
      <c r="AG16" s="679">
        <f>Y16</f>
        <v/>
      </c>
      <c r="AI16" s="676">
        <f>AG16-AF16</f>
        <v/>
      </c>
      <c r="AJ16" s="715">
        <f>IFERROR(AI16/ABS(AF16),0)</f>
        <v/>
      </c>
    </row>
    <row r="17" ht="15" customHeight="1" s="223">
      <c r="D17" s="674" t="inlineStr">
        <is>
          <t>Inventories</t>
        </is>
      </c>
      <c r="F17" s="678" t="n">
        <v>841</v>
      </c>
      <c r="G17" s="678" t="n">
        <v>815</v>
      </c>
      <c r="H17" s="678" t="n">
        <v>788</v>
      </c>
      <c r="I17" s="678" t="n">
        <v>696</v>
      </c>
      <c r="J17" s="678" t="n">
        <v>732</v>
      </c>
      <c r="K17" s="678" t="n">
        <v>765</v>
      </c>
      <c r="L17" s="678" t="n">
        <v>777</v>
      </c>
      <c r="M17" s="678" t="n">
        <v>797</v>
      </c>
      <c r="N17" s="678" t="n">
        <v>863</v>
      </c>
      <c r="O17" s="678" t="n">
        <v>782</v>
      </c>
      <c r="P17" s="678" t="n">
        <v>728</v>
      </c>
      <c r="Q17" s="678" t="n">
        <v>661</v>
      </c>
      <c r="R17" s="678" t="n">
        <v>736</v>
      </c>
      <c r="S17" s="678" t="n">
        <v>737</v>
      </c>
      <c r="T17" s="678" t="n">
        <v>732</v>
      </c>
      <c r="U17" s="678" t="n">
        <v>695</v>
      </c>
      <c r="V17" s="678" t="n">
        <v>836</v>
      </c>
      <c r="W17" s="678" t="n">
        <v>871</v>
      </c>
      <c r="X17" s="678" t="n">
        <v>1143</v>
      </c>
      <c r="Y17" s="678" t="n">
        <v>1016</v>
      </c>
      <c r="Z17" s="678" t="n">
        <v>1043</v>
      </c>
      <c r="AA17" s="678" t="n">
        <v>1043</v>
      </c>
      <c r="AC17" s="679">
        <f>I17</f>
        <v/>
      </c>
      <c r="AD17" s="679">
        <f>M17</f>
        <v/>
      </c>
      <c r="AE17" s="679">
        <f>Q17</f>
        <v/>
      </c>
      <c r="AF17" s="679">
        <f>U17</f>
        <v/>
      </c>
      <c r="AG17" s="679">
        <f>Y17</f>
        <v/>
      </c>
      <c r="AI17" s="676">
        <f>AG17-AF17</f>
        <v/>
      </c>
      <c r="AJ17" s="715">
        <f>IFERROR(AI17/ABS(AF17),0)</f>
        <v/>
      </c>
    </row>
    <row r="18" ht="15" customHeight="1" s="223">
      <c r="D18" s="674" t="inlineStr">
        <is>
          <t>Other current assets</t>
        </is>
      </c>
      <c r="F18" s="678" t="n">
        <v>262</v>
      </c>
      <c r="G18" s="678" t="n">
        <v>244</v>
      </c>
      <c r="H18" s="678" t="n">
        <v>209</v>
      </c>
      <c r="I18" s="678" t="n">
        <v>211</v>
      </c>
      <c r="J18" s="678" t="n">
        <v>234</v>
      </c>
      <c r="K18" s="678" t="n">
        <v>232</v>
      </c>
      <c r="L18" s="678" t="n">
        <v>265</v>
      </c>
      <c r="M18" s="678" t="n">
        <v>254</v>
      </c>
      <c r="N18" s="678" t="n">
        <v>252</v>
      </c>
      <c r="O18" s="678" t="n">
        <v>218</v>
      </c>
      <c r="P18" s="678" t="n">
        <v>228</v>
      </c>
      <c r="Q18" s="678" t="n">
        <v>234</v>
      </c>
      <c r="R18" s="678" t="n">
        <v>231</v>
      </c>
      <c r="S18" s="678" t="n">
        <v>199</v>
      </c>
      <c r="T18" s="678" t="n">
        <v>223</v>
      </c>
      <c r="U18" s="678" t="n">
        <v>212</v>
      </c>
      <c r="V18" s="678" t="n">
        <v>250</v>
      </c>
      <c r="W18" s="678" t="n">
        <v>731</v>
      </c>
      <c r="X18" s="678" t="n">
        <v>329</v>
      </c>
      <c r="Y18" s="678" t="n">
        <v>362</v>
      </c>
      <c r="Z18" s="678" t="n">
        <v>415</v>
      </c>
      <c r="AA18" s="678" t="n">
        <v>492</v>
      </c>
      <c r="AC18" s="679">
        <f>I18</f>
        <v/>
      </c>
      <c r="AD18" s="679">
        <f>M18</f>
        <v/>
      </c>
      <c r="AE18" s="679">
        <f>Q18</f>
        <v/>
      </c>
      <c r="AF18" s="679">
        <f>U18</f>
        <v/>
      </c>
      <c r="AG18" s="679">
        <f>Y18</f>
        <v/>
      </c>
      <c r="AI18" s="676">
        <f>AG18-AF18</f>
        <v/>
      </c>
      <c r="AJ18" s="715">
        <f>IFERROR(AI18/ABS(AF18),0)</f>
        <v/>
      </c>
    </row>
    <row r="19" ht="15" customHeight="1" s="223">
      <c r="D19" s="681" t="inlineStr">
        <is>
          <t>Total current assets</t>
        </is>
      </c>
      <c r="E19" s="682" t="n"/>
      <c r="F19" s="716">
        <f>SUM(F13:F18)</f>
        <v/>
      </c>
      <c r="G19" s="716">
        <f>SUM(G13:G18)</f>
        <v/>
      </c>
      <c r="H19" s="716">
        <f>SUM(H13:H18)</f>
        <v/>
      </c>
      <c r="I19" s="716">
        <f>SUM(I13:I18)</f>
        <v/>
      </c>
      <c r="J19" s="716">
        <f>SUM(J13:J18)</f>
        <v/>
      </c>
      <c r="K19" s="716">
        <f>SUM(K13:K18)</f>
        <v/>
      </c>
      <c r="L19" s="716">
        <f>SUM(L13:L18)</f>
        <v/>
      </c>
      <c r="M19" s="716">
        <f>SUM(M13:M18)</f>
        <v/>
      </c>
      <c r="N19" s="716">
        <f>SUM(N13:N18)</f>
        <v/>
      </c>
      <c r="O19" s="716">
        <f>SUM(O13:O18)</f>
        <v/>
      </c>
      <c r="P19" s="716">
        <f>SUM(P13:P18)</f>
        <v/>
      </c>
      <c r="Q19" s="716">
        <f>SUM(Q13:Q18)</f>
        <v/>
      </c>
      <c r="R19" s="716">
        <f>SUM(R13:R18)</f>
        <v/>
      </c>
      <c r="S19" s="716">
        <f>SUM(S13:S18)</f>
        <v/>
      </c>
      <c r="T19" s="716">
        <f>SUM(T13:T18)</f>
        <v/>
      </c>
      <c r="U19" s="716">
        <f>SUM(U13:U18)</f>
        <v/>
      </c>
      <c r="V19" s="716">
        <f>SUM(V13:V18)</f>
        <v/>
      </c>
      <c r="W19" s="716">
        <f>SUM(W13:W18)</f>
        <v/>
      </c>
      <c r="X19" s="716">
        <f>SUM(X13:X18)</f>
        <v/>
      </c>
      <c r="Y19" s="716">
        <f>SUM(Y13:Y18)</f>
        <v/>
      </c>
      <c r="Z19" s="716">
        <f>SUM(Z13:Z18)</f>
        <v/>
      </c>
      <c r="AA19" s="717">
        <f>SUM(AA13:AA18)</f>
        <v/>
      </c>
      <c r="AC19" s="718">
        <f>SUM(AC13:AC18)</f>
        <v/>
      </c>
      <c r="AD19" s="716">
        <f>SUM(AD13:AD18)</f>
        <v/>
      </c>
      <c r="AE19" s="716">
        <f>SUM(AE13:AE18)</f>
        <v/>
      </c>
      <c r="AF19" s="716">
        <f>SUM(AF13:AF18)</f>
        <v/>
      </c>
      <c r="AG19" s="717">
        <f>SUM(AG13:AG18)</f>
        <v/>
      </c>
      <c r="AI19" s="700">
        <f>AG19-AF19</f>
        <v/>
      </c>
      <c r="AJ19" s="719">
        <f>IFERROR(AI19/ABS(AF19),0)</f>
        <v/>
      </c>
    </row>
    <row r="20" ht="15" customHeight="1" s="223">
      <c r="D20" s="687" t="inlineStr">
        <is>
          <t>Total current assets</t>
        </is>
      </c>
      <c r="F20" s="720" t="n">
        <v>5420</v>
      </c>
      <c r="G20" s="720" t="n">
        <v>5175</v>
      </c>
      <c r="H20" s="720" t="n">
        <v>5236</v>
      </c>
      <c r="I20" s="720" t="n">
        <v>4701</v>
      </c>
      <c r="J20" s="720" t="n">
        <v>4566</v>
      </c>
      <c r="K20" s="720" t="n">
        <v>4102</v>
      </c>
      <c r="L20" s="720" t="n">
        <v>3895</v>
      </c>
      <c r="M20" s="720" t="n">
        <v>4107</v>
      </c>
      <c r="N20" s="720" t="n">
        <v>3640</v>
      </c>
      <c r="O20" s="720" t="n">
        <v>3390</v>
      </c>
      <c r="P20" s="720" t="n">
        <v>3354</v>
      </c>
      <c r="Q20" s="720" t="n">
        <v>3177</v>
      </c>
      <c r="R20" s="720" t="n">
        <v>3348</v>
      </c>
      <c r="S20" s="720" t="n">
        <v>3051</v>
      </c>
      <c r="T20" s="720" t="n">
        <v>3011</v>
      </c>
      <c r="U20" s="720" t="n">
        <v>2935</v>
      </c>
      <c r="V20" s="720" t="n">
        <v>2867</v>
      </c>
      <c r="W20" s="720" t="n">
        <v>3543</v>
      </c>
      <c r="X20" s="720" t="n">
        <v>3753</v>
      </c>
      <c r="Y20" s="720" t="n">
        <v>3568</v>
      </c>
      <c r="Z20" s="720" t="n">
        <v>3780</v>
      </c>
      <c r="AA20" s="720" t="n">
        <v>3697</v>
      </c>
      <c r="AC20" s="692">
        <f>I20</f>
        <v/>
      </c>
      <c r="AD20" s="692">
        <f>M20</f>
        <v/>
      </c>
      <c r="AE20" s="692">
        <f>Q20</f>
        <v/>
      </c>
      <c r="AF20" s="692">
        <f>U20</f>
        <v/>
      </c>
      <c r="AG20" s="692">
        <f>Y20</f>
        <v/>
      </c>
    </row>
    <row r="21" ht="15" customHeight="1" s="223">
      <c r="D21" s="689" t="inlineStr">
        <is>
          <t>Check</t>
        </is>
      </c>
      <c r="F21" s="690">
        <f>F19-F20</f>
        <v/>
      </c>
      <c r="G21" s="690">
        <f>G19-G20</f>
        <v/>
      </c>
      <c r="H21" s="690">
        <f>H19-H20</f>
        <v/>
      </c>
      <c r="I21" s="690">
        <f>I19-I20</f>
        <v/>
      </c>
      <c r="J21" s="690">
        <f>J19-J20</f>
        <v/>
      </c>
      <c r="K21" s="690">
        <f>K19-K20</f>
        <v/>
      </c>
      <c r="L21" s="690">
        <f>L19-L20</f>
        <v/>
      </c>
      <c r="M21" s="690">
        <f>M19-M20</f>
        <v/>
      </c>
      <c r="N21" s="690">
        <f>N19-N20</f>
        <v/>
      </c>
      <c r="O21" s="690">
        <f>O19-O20</f>
        <v/>
      </c>
      <c r="P21" s="690">
        <f>P19-P20</f>
        <v/>
      </c>
      <c r="Q21" s="690">
        <f>Q19-Q20</f>
        <v/>
      </c>
      <c r="R21" s="690">
        <f>R19-R20</f>
        <v/>
      </c>
      <c r="S21" s="690">
        <f>S19-S20</f>
        <v/>
      </c>
      <c r="T21" s="690">
        <f>T19-T20</f>
        <v/>
      </c>
      <c r="U21" s="690">
        <f>U19-U20</f>
        <v/>
      </c>
      <c r="V21" s="690">
        <f>V19-V20</f>
        <v/>
      </c>
      <c r="W21" s="690">
        <f>W19-W20</f>
        <v/>
      </c>
      <c r="X21" s="690">
        <f>X19-X20</f>
        <v/>
      </c>
      <c r="Y21" s="690">
        <f>Y19-Y20</f>
        <v/>
      </c>
      <c r="Z21" s="690">
        <f>Z19-Z20</f>
        <v/>
      </c>
      <c r="AA21" s="690">
        <f>AA19-AA20</f>
        <v/>
      </c>
      <c r="AC21" s="721">
        <f>AC19-AC20</f>
        <v/>
      </c>
      <c r="AD21" s="721">
        <f>AD19-AD20</f>
        <v/>
      </c>
      <c r="AE21" s="721">
        <f>AE19-AE20</f>
        <v/>
      </c>
      <c r="AF21" s="721">
        <f>AF19-AF20</f>
        <v/>
      </c>
      <c r="AG21" s="721">
        <f>AG19-AG20</f>
        <v/>
      </c>
    </row>
    <row r="22" ht="15" customHeight="1" s="223">
      <c r="D22" s="674" t="inlineStr">
        <is>
          <t>Finance receivables due after one year, net</t>
        </is>
      </c>
      <c r="F22" s="677" t="n">
        <v>1920</v>
      </c>
      <c r="G22" s="677" t="n">
        <v>1971</v>
      </c>
      <c r="H22" s="677" t="n">
        <v>1936</v>
      </c>
      <c r="I22" s="677" t="n">
        <v>1934</v>
      </c>
      <c r="J22" s="677" t="n">
        <v>1893</v>
      </c>
      <c r="K22" s="677" t="n">
        <v>1845</v>
      </c>
      <c r="L22" s="677" t="n">
        <v>1814</v>
      </c>
      <c r="M22" s="677" t="n">
        <v>1948</v>
      </c>
      <c r="N22" s="677" t="n">
        <v>1864</v>
      </c>
      <c r="O22" s="677" t="n">
        <v>1697</v>
      </c>
      <c r="P22" s="677" t="n">
        <v>1605</v>
      </c>
      <c r="Q22" s="677" t="n">
        <v>1597</v>
      </c>
      <c r="R22" s="677" t="n">
        <v>1408</v>
      </c>
      <c r="S22" s="677" t="n">
        <v>1277</v>
      </c>
      <c r="T22" s="677" t="n">
        <v>1275</v>
      </c>
      <c r="U22" s="677" t="n">
        <v>1089</v>
      </c>
      <c r="V22" s="677" t="n">
        <v>1013</v>
      </c>
      <c r="W22" s="677" t="n">
        <v>990</v>
      </c>
      <c r="X22" s="677" t="n">
        <v>950</v>
      </c>
      <c r="Y22" s="677" t="n">
        <v>846</v>
      </c>
      <c r="Z22" s="677" t="n">
        <v>797</v>
      </c>
      <c r="AA22" s="677" t="n">
        <v>732</v>
      </c>
      <c r="AC22" s="676">
        <f>I22</f>
        <v/>
      </c>
      <c r="AD22" s="676">
        <f>M22</f>
        <v/>
      </c>
      <c r="AE22" s="676">
        <f>Q22</f>
        <v/>
      </c>
      <c r="AF22" s="676">
        <f>U22</f>
        <v/>
      </c>
      <c r="AG22" s="676">
        <f>Y22</f>
        <v/>
      </c>
      <c r="AI22" s="676">
        <f>AG22-AF22</f>
        <v/>
      </c>
      <c r="AJ22" s="715">
        <f>IFERROR(AI22/ABS(AF22),0)</f>
        <v/>
      </c>
    </row>
    <row r="23" ht="15" customHeight="1" s="223">
      <c r="D23" s="674" t="inlineStr">
        <is>
          <t>Equipment on operating leases, net</t>
        </is>
      </c>
      <c r="F23" s="678" t="n">
        <v>277</v>
      </c>
      <c r="G23" s="678" t="n">
        <v>271</v>
      </c>
      <c r="H23" s="678" t="n">
        <v>254</v>
      </c>
      <c r="I23" s="678" t="n">
        <v>253</v>
      </c>
      <c r="J23" s="678" t="n">
        <v>254</v>
      </c>
      <c r="K23" s="678" t="n">
        <v>226</v>
      </c>
      <c r="L23" s="678" t="n">
        <v>216</v>
      </c>
      <c r="M23" s="678" t="n">
        <v>235</v>
      </c>
      <c r="N23" s="678" t="n">
        <v>250</v>
      </c>
      <c r="O23" s="678" t="n">
        <v>259</v>
      </c>
      <c r="P23" s="678" t="n">
        <v>257</v>
      </c>
      <c r="Q23" s="678" t="n">
        <v>265</v>
      </c>
      <c r="R23" s="678" t="n">
        <v>257</v>
      </c>
      <c r="S23" s="678" t="n">
        <v>253</v>
      </c>
      <c r="T23" s="678" t="n">
        <v>255</v>
      </c>
      <c r="U23" s="678" t="n">
        <v>245</v>
      </c>
      <c r="V23" s="678" t="n">
        <v>248</v>
      </c>
      <c r="W23" s="678" t="n">
        <v>249</v>
      </c>
      <c r="X23" s="678" t="n">
        <v>300</v>
      </c>
      <c r="Y23" s="678" t="n">
        <v>299</v>
      </c>
      <c r="Z23" s="678" t="n">
        <v>292</v>
      </c>
      <c r="AA23" s="678" t="n">
        <v>283</v>
      </c>
      <c r="AC23" s="679">
        <f>I23</f>
        <v/>
      </c>
      <c r="AD23" s="679">
        <f>M23</f>
        <v/>
      </c>
      <c r="AE23" s="679">
        <f>Q23</f>
        <v/>
      </c>
      <c r="AF23" s="679">
        <f>U23</f>
        <v/>
      </c>
      <c r="AG23" s="679">
        <f>Y23</f>
        <v/>
      </c>
      <c r="AI23" s="676">
        <f>AG23-AF23</f>
        <v/>
      </c>
      <c r="AJ23" s="715">
        <f>IFERROR(AI23/ABS(AF23),0)</f>
        <v/>
      </c>
    </row>
    <row r="24" ht="15" customHeight="1" s="223">
      <c r="D24" s="674" t="inlineStr">
        <is>
          <t>Land, buildings and equipment, net</t>
        </is>
      </c>
      <c r="F24" s="678" t="n">
        <v>393</v>
      </c>
      <c r="G24" s="678" t="n">
        <v>372</v>
      </c>
      <c r="H24" s="678" t="n">
        <v>370</v>
      </c>
      <c r="I24" s="678" t="n">
        <v>358</v>
      </c>
      <c r="J24" s="678" t="n">
        <v>350</v>
      </c>
      <c r="K24" s="678" t="n">
        <v>334</v>
      </c>
      <c r="L24" s="678" t="n">
        <v>315</v>
      </c>
      <c r="M24" s="678" t="n">
        <v>320</v>
      </c>
      <c r="N24" s="678" t="n">
        <v>311</v>
      </c>
      <c r="O24" s="678" t="n">
        <v>281</v>
      </c>
      <c r="P24" s="678" t="n">
        <v>273</v>
      </c>
      <c r="Q24" s="678" t="n">
        <v>266</v>
      </c>
      <c r="R24" s="678" t="n">
        <v>245</v>
      </c>
      <c r="S24" s="678" t="n">
        <v>227</v>
      </c>
      <c r="T24" s="678" t="n">
        <v>225</v>
      </c>
      <c r="U24" s="678" t="n">
        <v>251</v>
      </c>
      <c r="V24" s="678" t="n">
        <v>195</v>
      </c>
      <c r="W24" s="678" t="n">
        <v>187</v>
      </c>
      <c r="X24" s="678" t="n">
        <v>427</v>
      </c>
      <c r="Y24" s="678" t="n">
        <v>390</v>
      </c>
      <c r="Z24" s="678" t="n">
        <v>378</v>
      </c>
      <c r="AA24" s="678" t="n">
        <v>378</v>
      </c>
      <c r="AC24" s="679">
        <f>I24</f>
        <v/>
      </c>
      <c r="AD24" s="679">
        <f>M24</f>
        <v/>
      </c>
      <c r="AE24" s="679">
        <f>Q24</f>
        <v/>
      </c>
      <c r="AF24" s="679">
        <f>U24</f>
        <v/>
      </c>
      <c r="AG24" s="679">
        <f>Y24</f>
        <v/>
      </c>
      <c r="AI24" s="676">
        <f>AG24-AF24</f>
        <v/>
      </c>
      <c r="AJ24" s="715">
        <f>IFERROR(AI24/ABS(AF24),0)</f>
        <v/>
      </c>
    </row>
    <row r="25" ht="15" customHeight="1" s="223">
      <c r="D25" s="674" t="inlineStr">
        <is>
          <t>Intangible assets, net</t>
        </is>
      </c>
      <c r="F25" s="678" t="n">
        <v>223</v>
      </c>
      <c r="G25" s="678" t="n">
        <v>230</v>
      </c>
      <c r="H25" s="678" t="n">
        <v>216</v>
      </c>
      <c r="I25" s="678" t="n">
        <v>211</v>
      </c>
      <c r="J25" s="678" t="n">
        <v>240</v>
      </c>
      <c r="K25" s="678" t="n">
        <v>223</v>
      </c>
      <c r="L25" s="678" t="n">
        <v>216</v>
      </c>
      <c r="M25" s="678" t="n">
        <v>208</v>
      </c>
      <c r="N25" s="678" t="n">
        <v>202</v>
      </c>
      <c r="O25" s="678" t="n">
        <v>194</v>
      </c>
      <c r="P25" s="678" t="n">
        <v>183</v>
      </c>
      <c r="Q25" s="678" t="n">
        <v>177</v>
      </c>
      <c r="R25" s="678" t="n">
        <v>165</v>
      </c>
      <c r="S25" s="678" t="n">
        <v>155</v>
      </c>
      <c r="T25" s="678" t="n">
        <v>149</v>
      </c>
      <c r="U25" s="678" t="n">
        <v>236</v>
      </c>
      <c r="V25" s="678" t="n">
        <v>228</v>
      </c>
      <c r="W25" s="678" t="n">
        <v>222</v>
      </c>
      <c r="X25" s="678" t="n">
        <v>954</v>
      </c>
      <c r="Y25" s="678" t="n">
        <v>921</v>
      </c>
      <c r="Z25" s="678" t="n">
        <v>891</v>
      </c>
      <c r="AA25" s="678" t="n">
        <v>857</v>
      </c>
      <c r="AC25" s="679">
        <f>I25</f>
        <v/>
      </c>
      <c r="AD25" s="679">
        <f>M25</f>
        <v/>
      </c>
      <c r="AE25" s="679">
        <f>Q25</f>
        <v/>
      </c>
      <c r="AF25" s="679">
        <f>U25</f>
        <v/>
      </c>
      <c r="AG25" s="679">
        <f>Y25</f>
        <v/>
      </c>
      <c r="AI25" s="676">
        <f>AG25-AF25</f>
        <v/>
      </c>
      <c r="AJ25" s="715">
        <f>IFERROR(AI25/ABS(AF25),0)</f>
        <v/>
      </c>
    </row>
    <row r="26" ht="15" customHeight="1" s="223">
      <c r="D26" s="674" t="inlineStr">
        <is>
          <t>Goodwill, net</t>
        </is>
      </c>
      <c r="F26" s="678" t="n">
        <v>4075</v>
      </c>
      <c r="G26" s="678" t="n">
        <v>4104</v>
      </c>
      <c r="H26" s="678" t="n">
        <v>4066</v>
      </c>
      <c r="I26" s="678" t="n">
        <v>3287</v>
      </c>
      <c r="J26" s="678" t="n">
        <v>3300</v>
      </c>
      <c r="K26" s="678" t="n">
        <v>3217</v>
      </c>
      <c r="L26" s="678" t="n">
        <v>2753</v>
      </c>
      <c r="M26" s="678" t="n">
        <v>2820</v>
      </c>
      <c r="N26" s="678" t="n">
        <v>2850</v>
      </c>
      <c r="O26" s="678" t="n">
        <v>2751</v>
      </c>
      <c r="P26" s="678" t="n">
        <v>2716</v>
      </c>
      <c r="Q26" s="678" t="n">
        <v>2747</v>
      </c>
      <c r="R26" s="678" t="n">
        <v>2720</v>
      </c>
      <c r="S26" s="678" t="n">
        <v>2719</v>
      </c>
      <c r="T26" s="678" t="n">
        <v>1709</v>
      </c>
      <c r="U26" s="678" t="n">
        <v>1937</v>
      </c>
      <c r="V26" s="678" t="n">
        <v>1954</v>
      </c>
      <c r="W26" s="678" t="n">
        <v>1984</v>
      </c>
      <c r="X26" s="678" t="n">
        <v>2182</v>
      </c>
      <c r="Y26" s="678" t="n">
        <v>2222</v>
      </c>
      <c r="Z26" s="678" t="n">
        <v>2201</v>
      </c>
      <c r="AA26" s="678" t="n">
        <v>2234</v>
      </c>
      <c r="AC26" s="679">
        <f>I26</f>
        <v/>
      </c>
      <c r="AD26" s="679">
        <f>M26</f>
        <v/>
      </c>
      <c r="AE26" s="679">
        <f>Q26</f>
        <v/>
      </c>
      <c r="AF26" s="679">
        <f>U26</f>
        <v/>
      </c>
      <c r="AG26" s="679">
        <f>Y26</f>
        <v/>
      </c>
      <c r="AI26" s="676">
        <f>AG26-AF26</f>
        <v/>
      </c>
      <c r="AJ26" s="715">
        <f>IFERROR(AI26/ABS(AF26),0)</f>
        <v/>
      </c>
    </row>
    <row r="27" ht="15" customHeight="1" s="223">
      <c r="D27" s="674" t="inlineStr">
        <is>
          <t>Deferred tax assets</t>
        </is>
      </c>
      <c r="F27" s="678" t="n">
        <v>510</v>
      </c>
      <c r="G27" s="678" t="n">
        <v>491</v>
      </c>
      <c r="H27" s="678" t="n">
        <v>511</v>
      </c>
      <c r="I27" s="678" t="n">
        <v>519</v>
      </c>
      <c r="J27" s="678" t="n">
        <v>528</v>
      </c>
      <c r="K27" s="678" t="n">
        <v>539</v>
      </c>
      <c r="L27" s="678" t="n">
        <v>496</v>
      </c>
      <c r="M27" s="678" t="n">
        <v>582</v>
      </c>
      <c r="N27" s="678" t="n">
        <v>598</v>
      </c>
      <c r="O27" s="678" t="n">
        <v>620</v>
      </c>
      <c r="P27" s="678" t="n">
        <v>701</v>
      </c>
      <c r="Q27" s="678" t="n">
        <v>745</v>
      </c>
      <c r="R27" s="678" t="n">
        <v>749</v>
      </c>
      <c r="S27" s="678" t="n">
        <v>760</v>
      </c>
      <c r="T27" s="678" t="n">
        <v>635</v>
      </c>
      <c r="U27" s="678" t="n">
        <v>615</v>
      </c>
      <c r="V27" s="678" t="n">
        <v>607</v>
      </c>
      <c r="W27" s="678" t="n">
        <v>551</v>
      </c>
      <c r="X27" s="678" t="n">
        <v>101</v>
      </c>
      <c r="Y27" s="678" t="n">
        <v>98</v>
      </c>
      <c r="Z27" s="678" t="n">
        <v>96</v>
      </c>
      <c r="AA27" s="678" t="n">
        <v>86</v>
      </c>
      <c r="AC27" s="679">
        <f>I27</f>
        <v/>
      </c>
      <c r="AD27" s="679">
        <f>M27</f>
        <v/>
      </c>
      <c r="AE27" s="679">
        <f>Q27</f>
        <v/>
      </c>
      <c r="AF27" s="679">
        <f>U27</f>
        <v/>
      </c>
      <c r="AG27" s="679">
        <f>Y27</f>
        <v/>
      </c>
      <c r="AI27" s="676">
        <f>AG27-AF27</f>
        <v/>
      </c>
      <c r="AJ27" s="715">
        <f>IFERROR(AI27/ABS(AF27),0)</f>
        <v/>
      </c>
    </row>
    <row r="28" ht="15" customHeight="1" s="223">
      <c r="D28" s="674" t="inlineStr">
        <is>
          <t>Other long-term assets</t>
        </is>
      </c>
      <c r="F28" s="678" t="n">
        <v>1454</v>
      </c>
      <c r="G28" s="678" t="n">
        <v>1496</v>
      </c>
      <c r="H28" s="678" t="n">
        <v>1492</v>
      </c>
      <c r="I28" s="678" t="n">
        <v>1960</v>
      </c>
      <c r="J28" s="678" t="n">
        <v>1951</v>
      </c>
      <c r="K28" s="678" t="n">
        <v>1784</v>
      </c>
      <c r="L28" s="678" t="n">
        <v>1715</v>
      </c>
      <c r="M28" s="678" t="n">
        <v>1323</v>
      </c>
      <c r="N28" s="678" t="n">
        <v>1331</v>
      </c>
      <c r="O28" s="678" t="n">
        <v>1377</v>
      </c>
      <c r="P28" s="678" t="n">
        <v>1355</v>
      </c>
      <c r="Q28" s="678" t="n">
        <v>1034</v>
      </c>
      <c r="R28" s="678" t="n">
        <v>1052</v>
      </c>
      <c r="S28" s="678" t="n">
        <v>1049</v>
      </c>
      <c r="T28" s="678" t="n">
        <v>1063</v>
      </c>
      <c r="U28" s="678" t="n">
        <v>1057</v>
      </c>
      <c r="V28" s="678" t="n">
        <v>1099</v>
      </c>
      <c r="W28" s="678" t="n">
        <v>1148</v>
      </c>
      <c r="X28" s="678" t="n">
        <v>1401</v>
      </c>
      <c r="Y28" s="678" t="n">
        <v>1479</v>
      </c>
      <c r="Z28" s="678" t="n">
        <v>1467</v>
      </c>
      <c r="AA28" s="678" t="n">
        <v>1457</v>
      </c>
      <c r="AC28" s="679">
        <f>I28</f>
        <v/>
      </c>
      <c r="AD28" s="679">
        <f>M28</f>
        <v/>
      </c>
      <c r="AE28" s="679">
        <f>Q28</f>
        <v/>
      </c>
      <c r="AF28" s="679">
        <f>U28</f>
        <v/>
      </c>
      <c r="AG28" s="679">
        <f>Y28</f>
        <v/>
      </c>
      <c r="AI28" s="676">
        <f>AG28-AF28</f>
        <v/>
      </c>
      <c r="AJ28" s="715">
        <f>IFERROR(AI28/ABS(AF28),0)</f>
        <v/>
      </c>
    </row>
    <row r="29" ht="15" customHeight="1" s="223">
      <c r="D29" s="681" t="inlineStr">
        <is>
          <t>Total assets</t>
        </is>
      </c>
      <c r="E29" s="682" t="n"/>
      <c r="F29" s="716">
        <f>SUM(F22:F28)+F19</f>
        <v/>
      </c>
      <c r="G29" s="716">
        <f>SUM(G22:G28)+G19</f>
        <v/>
      </c>
      <c r="H29" s="716">
        <f>SUM(H22:H28)+H19</f>
        <v/>
      </c>
      <c r="I29" s="716">
        <f>SUM(I22:I28)+I19</f>
        <v/>
      </c>
      <c r="J29" s="716">
        <f>SUM(J22:J28)+J19</f>
        <v/>
      </c>
      <c r="K29" s="716">
        <f>SUM(K22:K28)+K19</f>
        <v/>
      </c>
      <c r="L29" s="716">
        <f>SUM(L22:L28)+L19</f>
        <v/>
      </c>
      <c r="M29" s="716">
        <f>SUM(M22:M28)+M19</f>
        <v/>
      </c>
      <c r="N29" s="716">
        <f>SUM(N22:N28)+N19</f>
        <v/>
      </c>
      <c r="O29" s="716">
        <f>SUM(O22:O28)+O19</f>
        <v/>
      </c>
      <c r="P29" s="716">
        <f>SUM(P22:P28)+P19</f>
        <v/>
      </c>
      <c r="Q29" s="716">
        <f>SUM(Q22:Q28)+Q19</f>
        <v/>
      </c>
      <c r="R29" s="716">
        <f>SUM(R22:R28)+R19</f>
        <v/>
      </c>
      <c r="S29" s="716">
        <f>SUM(S22:S28)+S19</f>
        <v/>
      </c>
      <c r="T29" s="716">
        <f>SUM(T22:T28)+T19</f>
        <v/>
      </c>
      <c r="U29" s="716">
        <f>SUM(U22:U28)+U19</f>
        <v/>
      </c>
      <c r="V29" s="716">
        <f>SUM(V22:V28)+V19</f>
        <v/>
      </c>
      <c r="W29" s="716">
        <f>SUM(W22:W28)+W19</f>
        <v/>
      </c>
      <c r="X29" s="716">
        <f>SUM(X22:X28)+X19</f>
        <v/>
      </c>
      <c r="Y29" s="716">
        <f>SUM(Y22:Y28)+Y19</f>
        <v/>
      </c>
      <c r="Z29" s="716">
        <f>SUM(Z22:Z28)+Z19</f>
        <v/>
      </c>
      <c r="AA29" s="717">
        <f>SUM(AA22:AA28)+AA19</f>
        <v/>
      </c>
      <c r="AC29" s="718">
        <f>SUM(AC22:AC28)+AC19</f>
        <v/>
      </c>
      <c r="AD29" s="716">
        <f>SUM(AD22:AD28)+AD19</f>
        <v/>
      </c>
      <c r="AE29" s="716">
        <f>SUM(AE22:AE28)+AE19</f>
        <v/>
      </c>
      <c r="AF29" s="716">
        <f>SUM(AF22:AF28)+AF19</f>
        <v/>
      </c>
      <c r="AG29" s="717">
        <f>SUM(AG22:AG28)+AG19</f>
        <v/>
      </c>
      <c r="AI29" s="700">
        <f>AG29-AF29</f>
        <v/>
      </c>
      <c r="AJ29" s="719">
        <f>IFERROR(AI29/ABS(AF29),0)</f>
        <v/>
      </c>
    </row>
    <row r="30" ht="15" customHeight="1" s="223">
      <c r="D30" s="687" t="inlineStr">
        <is>
          <t>Total assets</t>
        </is>
      </c>
      <c r="F30" s="720" t="n">
        <v>14272</v>
      </c>
      <c r="G30" s="720" t="n">
        <v>14110</v>
      </c>
      <c r="H30" s="720" t="n">
        <v>14081</v>
      </c>
      <c r="I30" s="720" t="n">
        <v>13223</v>
      </c>
      <c r="J30" s="720" t="n">
        <v>13082</v>
      </c>
      <c r="K30" s="720" t="n">
        <v>12270</v>
      </c>
      <c r="L30" s="720" t="n">
        <v>11420</v>
      </c>
      <c r="M30" s="720" t="n">
        <v>11543</v>
      </c>
      <c r="N30" s="720" t="n">
        <v>11046</v>
      </c>
      <c r="O30" s="720" t="n">
        <v>10569</v>
      </c>
      <c r="P30" s="720" t="n">
        <v>10444</v>
      </c>
      <c r="Q30" s="720" t="n">
        <v>10008</v>
      </c>
      <c r="R30" s="720" t="n">
        <v>9944</v>
      </c>
      <c r="S30" s="720" t="n">
        <v>9491</v>
      </c>
      <c r="T30" s="720" t="n">
        <v>8322</v>
      </c>
      <c r="U30" s="720" t="n">
        <v>8365</v>
      </c>
      <c r="V30" s="720" t="n">
        <v>8211</v>
      </c>
      <c r="W30" s="720" t="n">
        <v>8874</v>
      </c>
      <c r="X30" s="720" t="n">
        <v>10068</v>
      </c>
      <c r="Y30" s="720" t="n">
        <v>9823</v>
      </c>
      <c r="Z30" s="720" t="n">
        <v>9902</v>
      </c>
      <c r="AA30" s="720" t="n">
        <v>9724</v>
      </c>
      <c r="AC30" s="692">
        <f>I30</f>
        <v/>
      </c>
      <c r="AD30" s="692">
        <f>M30</f>
        <v/>
      </c>
      <c r="AE30" s="692">
        <f>Q30</f>
        <v/>
      </c>
      <c r="AF30" s="692">
        <f>U30</f>
        <v/>
      </c>
      <c r="AG30" s="692">
        <f>Y30</f>
        <v/>
      </c>
    </row>
    <row r="31" ht="15" customHeight="1" s="223">
      <c r="D31" s="689" t="inlineStr">
        <is>
          <t>Check</t>
        </is>
      </c>
      <c r="F31" s="693">
        <f>F29-F30</f>
        <v/>
      </c>
      <c r="G31" s="693">
        <f>G29-G30</f>
        <v/>
      </c>
      <c r="H31" s="693">
        <f>H29-H30</f>
        <v/>
      </c>
      <c r="I31" s="693">
        <f>I29-I30</f>
        <v/>
      </c>
      <c r="J31" s="693">
        <f>J29-J30</f>
        <v/>
      </c>
      <c r="K31" s="693">
        <f>K29-K30</f>
        <v/>
      </c>
      <c r="L31" s="693">
        <f>L29-L30</f>
        <v/>
      </c>
      <c r="M31" s="693">
        <f>M29-M30</f>
        <v/>
      </c>
      <c r="N31" s="693">
        <f>N29-N30</f>
        <v/>
      </c>
      <c r="O31" s="693">
        <f>O29-O30</f>
        <v/>
      </c>
      <c r="P31" s="693">
        <f>P29-P30</f>
        <v/>
      </c>
      <c r="Q31" s="693">
        <f>Q29-Q30</f>
        <v/>
      </c>
      <c r="R31" s="693">
        <f>R29-R30</f>
        <v/>
      </c>
      <c r="S31" s="693">
        <f>S29-S30</f>
        <v/>
      </c>
      <c r="T31" s="693">
        <f>T29-T30</f>
        <v/>
      </c>
      <c r="U31" s="693">
        <f>U29-U30</f>
        <v/>
      </c>
      <c r="V31" s="693">
        <f>V29-V30</f>
        <v/>
      </c>
      <c r="W31" s="693">
        <f>W29-W30</f>
        <v/>
      </c>
      <c r="X31" s="693">
        <f>X29-X30</f>
        <v/>
      </c>
      <c r="Y31" s="693">
        <f>Y29-Y30</f>
        <v/>
      </c>
      <c r="Z31" s="693">
        <f>Z29-Z30</f>
        <v/>
      </c>
      <c r="AA31" s="693">
        <f>AA29-AA30</f>
        <v/>
      </c>
      <c r="AC31" s="722">
        <f>AC29-AC30</f>
        <v/>
      </c>
      <c r="AD31" s="722">
        <f>AD29-AD30</f>
        <v/>
      </c>
      <c r="AE31" s="722">
        <f>AE29-AE30</f>
        <v/>
      </c>
      <c r="AF31" s="722">
        <f>AF29-AF30</f>
        <v/>
      </c>
      <c r="AG31" s="722">
        <f>AG29-AG30</f>
        <v/>
      </c>
    </row>
    <row r="32" ht="4.5" customHeight="1" s="223"/>
    <row r="33" ht="15" customHeight="1" s="223">
      <c r="D33" s="673" t="inlineStr">
        <is>
          <t>LIABILITIES AND EQUITY</t>
        </is>
      </c>
    </row>
    <row r="34" ht="15" customHeight="1" s="223">
      <c r="D34" s="673" t="inlineStr">
        <is>
          <t>Current liabilities</t>
        </is>
      </c>
    </row>
    <row r="35" ht="15" customHeight="1" s="223">
      <c r="D35" s="674" t="inlineStr">
        <is>
          <t>Short-term debt and current portion of long-term debt</t>
        </is>
      </c>
      <c r="F35" s="677" t="n">
        <v>678</v>
      </c>
      <c r="G35" s="677" t="n">
        <v>642</v>
      </c>
      <c r="H35" s="677" t="n">
        <v>646</v>
      </c>
      <c r="I35" s="677" t="n">
        <v>650</v>
      </c>
      <c r="J35" s="677" t="n">
        <v>1450</v>
      </c>
      <c r="K35" s="677" t="n">
        <v>1108</v>
      </c>
      <c r="L35" s="677" t="n">
        <v>1070</v>
      </c>
      <c r="M35" s="677" t="n">
        <v>860</v>
      </c>
      <c r="N35" s="677" t="n">
        <v>553</v>
      </c>
      <c r="O35" s="677" t="n">
        <v>891</v>
      </c>
      <c r="P35" s="677" t="n">
        <v>870</v>
      </c>
      <c r="Q35" s="677" t="n">
        <v>567</v>
      </c>
      <c r="R35" s="677" t="n">
        <v>405</v>
      </c>
      <c r="S35" s="677" t="n">
        <v>129</v>
      </c>
      <c r="T35" s="677" t="n">
        <v>519</v>
      </c>
      <c r="U35" s="677" t="n">
        <v>585</v>
      </c>
      <c r="V35" s="677" t="n">
        <v>599</v>
      </c>
      <c r="W35" s="677" t="n">
        <v>458</v>
      </c>
      <c r="X35" s="677" t="n">
        <v>354</v>
      </c>
      <c r="Y35" s="677" t="n">
        <v>231</v>
      </c>
      <c r="Z35" s="677" t="n">
        <v>165</v>
      </c>
      <c r="AA35" s="677" t="n">
        <v>70</v>
      </c>
      <c r="AC35" s="676">
        <f>I35</f>
        <v/>
      </c>
      <c r="AD35" s="676">
        <f>M35</f>
        <v/>
      </c>
      <c r="AE35" s="676">
        <f>Q35</f>
        <v/>
      </c>
      <c r="AF35" s="676">
        <f>U35</f>
        <v/>
      </c>
      <c r="AG35" s="676">
        <f>Y35</f>
        <v/>
      </c>
      <c r="AI35" s="676">
        <f>AG35-AF35</f>
        <v/>
      </c>
      <c r="AJ35" s="715">
        <f>IFERROR(AI35/ABS(AF35),0)</f>
        <v/>
      </c>
    </row>
    <row r="36" ht="15" customHeight="1" s="223">
      <c r="D36" s="674" t="inlineStr">
        <is>
          <t>Financing liability, tariff receivables monetization</t>
        </is>
      </c>
      <c r="F36" s="678" t="n">
        <v>0</v>
      </c>
      <c r="G36" s="678" t="n">
        <v>0</v>
      </c>
      <c r="H36" s="678" t="n">
        <v>0</v>
      </c>
      <c r="I36" s="678" t="n">
        <v>0</v>
      </c>
      <c r="J36" s="678" t="n">
        <v>0</v>
      </c>
      <c r="K36" s="678" t="n">
        <v>0</v>
      </c>
      <c r="L36" s="678" t="n">
        <v>0</v>
      </c>
      <c r="M36" s="678" t="n">
        <v>0</v>
      </c>
      <c r="N36" s="678" t="n">
        <v>0</v>
      </c>
      <c r="O36" s="678" t="n">
        <v>0</v>
      </c>
      <c r="P36" s="678" t="n">
        <v>0</v>
      </c>
      <c r="Q36" s="678" t="n">
        <v>0</v>
      </c>
      <c r="R36" s="678" t="n">
        <v>0</v>
      </c>
      <c r="S36" s="678" t="n">
        <v>0</v>
      </c>
      <c r="T36" s="678" t="n">
        <v>0</v>
      </c>
      <c r="U36" s="678" t="n">
        <v>0</v>
      </c>
      <c r="V36" s="678" t="n">
        <v>0</v>
      </c>
      <c r="W36" s="678" t="n">
        <v>0</v>
      </c>
      <c r="X36" s="678" t="n">
        <v>0</v>
      </c>
      <c r="Y36" s="678" t="n">
        <v>0</v>
      </c>
      <c r="Z36" s="678" t="n">
        <v>0</v>
      </c>
      <c r="AA36" s="678" t="n">
        <v>90</v>
      </c>
      <c r="AC36" s="679">
        <f>I36</f>
        <v/>
      </c>
      <c r="AD36" s="679">
        <f>M36</f>
        <v/>
      </c>
      <c r="AE36" s="679">
        <f>Q36</f>
        <v/>
      </c>
      <c r="AF36" s="679">
        <f>U36</f>
        <v/>
      </c>
      <c r="AG36" s="679">
        <f>Y36</f>
        <v/>
      </c>
      <c r="AI36" s="676">
        <f>AG36-AF36</f>
        <v/>
      </c>
      <c r="AJ36" s="715">
        <f>IFERROR(AI36/ABS(AF36),0)</f>
        <v/>
      </c>
    </row>
    <row r="37" ht="15" customHeight="1" s="223">
      <c r="D37" s="674" t="inlineStr">
        <is>
          <t>Accounts payable</t>
        </is>
      </c>
      <c r="F37" s="678" t="n">
        <v>932</v>
      </c>
      <c r="G37" s="678" t="n">
        <v>935</v>
      </c>
      <c r="H37" s="678" t="n">
        <v>1032</v>
      </c>
      <c r="I37" s="678" t="n">
        <v>1069</v>
      </c>
      <c r="J37" s="678" t="n">
        <v>1183</v>
      </c>
      <c r="K37" s="678" t="n">
        <v>1207</v>
      </c>
      <c r="L37" s="678" t="n">
        <v>1213</v>
      </c>
      <c r="M37" s="678" t="n">
        <v>1331</v>
      </c>
      <c r="N37" s="678" t="n">
        <v>1301</v>
      </c>
      <c r="O37" s="678" t="n">
        <v>1041</v>
      </c>
      <c r="P37" s="678" t="n">
        <v>1031</v>
      </c>
      <c r="Q37" s="678" t="n">
        <v>1044</v>
      </c>
      <c r="R37" s="678" t="n">
        <v>1046</v>
      </c>
      <c r="S37" s="678" t="n">
        <v>936</v>
      </c>
      <c r="T37" s="678" t="n">
        <v>895</v>
      </c>
      <c r="U37" s="678" t="n">
        <v>1023</v>
      </c>
      <c r="V37" s="678" t="n">
        <v>1120</v>
      </c>
      <c r="W37" s="678" t="n">
        <v>1080</v>
      </c>
      <c r="X37" s="678" t="n">
        <v>1481</v>
      </c>
      <c r="Y37" s="678" t="n">
        <v>1498</v>
      </c>
      <c r="Z37" s="678" t="n">
        <v>1548</v>
      </c>
      <c r="AA37" s="678" t="n">
        <v>1456</v>
      </c>
      <c r="AC37" s="679">
        <f>I37</f>
        <v/>
      </c>
      <c r="AD37" s="679">
        <f>M37</f>
        <v/>
      </c>
      <c r="AE37" s="679">
        <f>Q37</f>
        <v/>
      </c>
      <c r="AF37" s="679">
        <f>U37</f>
        <v/>
      </c>
      <c r="AG37" s="679">
        <f>Y37</f>
        <v/>
      </c>
      <c r="AI37" s="676">
        <f>AG37-AF37</f>
        <v/>
      </c>
      <c r="AJ37" s="715">
        <f>IFERROR(AI37/ABS(AF37),0)</f>
        <v/>
      </c>
    </row>
    <row r="38" ht="15" customHeight="1" s="223">
      <c r="D38" s="674" t="inlineStr">
        <is>
          <t>Accrued compensation and benefits costs</t>
        </is>
      </c>
      <c r="F38" s="678" t="n">
        <v>241</v>
      </c>
      <c r="G38" s="678" t="n">
        <v>263</v>
      </c>
      <c r="H38" s="678" t="n">
        <v>262</v>
      </c>
      <c r="I38" s="678" t="n">
        <v>239</v>
      </c>
      <c r="J38" s="678" t="n">
        <v>258</v>
      </c>
      <c r="K38" s="678" t="n">
        <v>233</v>
      </c>
      <c r="L38" s="678" t="n">
        <v>250</v>
      </c>
      <c r="M38" s="678" t="n">
        <v>258</v>
      </c>
      <c r="N38" s="678" t="n">
        <v>243</v>
      </c>
      <c r="O38" s="678" t="n">
        <v>251</v>
      </c>
      <c r="P38" s="678" t="n">
        <v>276</v>
      </c>
      <c r="Q38" s="678" t="n">
        <v>306</v>
      </c>
      <c r="R38" s="678" t="n">
        <v>213</v>
      </c>
      <c r="S38" s="678" t="n">
        <v>205</v>
      </c>
      <c r="T38" s="678" t="n">
        <v>227</v>
      </c>
      <c r="U38" s="678" t="n">
        <v>227</v>
      </c>
      <c r="V38" s="678" t="n">
        <v>199</v>
      </c>
      <c r="W38" s="678" t="n">
        <v>182</v>
      </c>
      <c r="X38" s="678" t="n">
        <v>247</v>
      </c>
      <c r="Y38" s="678" t="n">
        <v>235</v>
      </c>
      <c r="Z38" s="678" t="n">
        <v>223</v>
      </c>
      <c r="AA38" s="678" t="n">
        <v>246</v>
      </c>
      <c r="AC38" s="679">
        <f>I38</f>
        <v/>
      </c>
      <c r="AD38" s="679">
        <f>M38</f>
        <v/>
      </c>
      <c r="AE38" s="679">
        <f>Q38</f>
        <v/>
      </c>
      <c r="AF38" s="679">
        <f>U38</f>
        <v/>
      </c>
      <c r="AG38" s="679">
        <f>Y38</f>
        <v/>
      </c>
      <c r="AI38" s="676">
        <f>AG38-AF38</f>
        <v/>
      </c>
      <c r="AJ38" s="715">
        <f>IFERROR(AI38/ABS(AF38),0)</f>
        <v/>
      </c>
    </row>
    <row r="39" ht="15" customHeight="1" s="223">
      <c r="D39" s="674" t="inlineStr">
        <is>
          <t>Accrued expenses and other current liabilities</t>
        </is>
      </c>
      <c r="F39" s="678" t="n">
        <v>794</v>
      </c>
      <c r="G39" s="678" t="n">
        <v>851</v>
      </c>
      <c r="H39" s="678" t="n">
        <v>844</v>
      </c>
      <c r="I39" s="678" t="n">
        <v>871</v>
      </c>
      <c r="J39" s="678" t="n">
        <v>878</v>
      </c>
      <c r="K39" s="678" t="n">
        <v>867</v>
      </c>
      <c r="L39" s="678" t="n">
        <v>810</v>
      </c>
      <c r="M39" s="678" t="n">
        <v>881</v>
      </c>
      <c r="N39" s="678" t="n">
        <v>782</v>
      </c>
      <c r="O39" s="678" t="n">
        <v>766</v>
      </c>
      <c r="P39" s="678" t="n">
        <v>829</v>
      </c>
      <c r="Q39" s="678" t="n">
        <v>862</v>
      </c>
      <c r="R39" s="678" t="n">
        <v>774</v>
      </c>
      <c r="S39" s="678" t="n">
        <v>776</v>
      </c>
      <c r="T39" s="678" t="n">
        <v>752</v>
      </c>
      <c r="U39" s="678" t="n">
        <v>784</v>
      </c>
      <c r="V39" s="678" t="n">
        <v>721</v>
      </c>
      <c r="W39" s="678" t="n">
        <v>706</v>
      </c>
      <c r="X39" s="678" t="n">
        <v>1317</v>
      </c>
      <c r="Y39" s="678" t="n">
        <v>1258</v>
      </c>
      <c r="Z39" s="678" t="n">
        <v>1266</v>
      </c>
      <c r="AA39" s="678" t="n">
        <v>1264</v>
      </c>
      <c r="AC39" s="679">
        <f>I39</f>
        <v/>
      </c>
      <c r="AD39" s="679">
        <f>M39</f>
        <v/>
      </c>
      <c r="AE39" s="679">
        <f>Q39</f>
        <v/>
      </c>
      <c r="AF39" s="679">
        <f>U39</f>
        <v/>
      </c>
      <c r="AG39" s="679">
        <f>Y39</f>
        <v/>
      </c>
      <c r="AI39" s="676">
        <f>AG39-AF39</f>
        <v/>
      </c>
      <c r="AJ39" s="715">
        <f>IFERROR(AI39/ABS(AF39),0)</f>
        <v/>
      </c>
    </row>
    <row r="40" ht="15" customHeight="1" s="223">
      <c r="D40" s="681" t="inlineStr">
        <is>
          <t>Total current liabilities</t>
        </is>
      </c>
      <c r="E40" s="682" t="n"/>
      <c r="F40" s="716">
        <f>SUM(F35:F39)</f>
        <v/>
      </c>
      <c r="G40" s="716">
        <f>SUM(G35:G39)</f>
        <v/>
      </c>
      <c r="H40" s="716">
        <f>SUM(H35:H39)</f>
        <v/>
      </c>
      <c r="I40" s="716">
        <f>SUM(I35:I39)</f>
        <v/>
      </c>
      <c r="J40" s="716">
        <f>SUM(J35:J39)</f>
        <v/>
      </c>
      <c r="K40" s="716">
        <f>SUM(K35:K39)</f>
        <v/>
      </c>
      <c r="L40" s="716">
        <f>SUM(L35:L39)</f>
        <v/>
      </c>
      <c r="M40" s="716">
        <f>SUM(M35:M39)</f>
        <v/>
      </c>
      <c r="N40" s="716">
        <f>SUM(N35:N39)</f>
        <v/>
      </c>
      <c r="O40" s="716">
        <f>SUM(O35:O39)</f>
        <v/>
      </c>
      <c r="P40" s="716">
        <f>SUM(P35:P39)</f>
        <v/>
      </c>
      <c r="Q40" s="716">
        <f>SUM(Q35:Q39)</f>
        <v/>
      </c>
      <c r="R40" s="716">
        <f>SUM(R35:R39)</f>
        <v/>
      </c>
      <c r="S40" s="716">
        <f>SUM(S35:S39)</f>
        <v/>
      </c>
      <c r="T40" s="716">
        <f>SUM(T35:T39)</f>
        <v/>
      </c>
      <c r="U40" s="716">
        <f>SUM(U35:U39)</f>
        <v/>
      </c>
      <c r="V40" s="716">
        <f>SUM(V35:V39)</f>
        <v/>
      </c>
      <c r="W40" s="716">
        <f>SUM(W35:W39)</f>
        <v/>
      </c>
      <c r="X40" s="716">
        <f>SUM(X35:X39)</f>
        <v/>
      </c>
      <c r="Y40" s="716">
        <f>SUM(Y35:Y39)</f>
        <v/>
      </c>
      <c r="Z40" s="716">
        <f>SUM(Z35:Z39)</f>
        <v/>
      </c>
      <c r="AA40" s="717">
        <f>SUM(AA35:AA39)</f>
        <v/>
      </c>
      <c r="AC40" s="718">
        <f>SUM(AC35:AC39)</f>
        <v/>
      </c>
      <c r="AD40" s="716">
        <f>SUM(AD35:AD39)</f>
        <v/>
      </c>
      <c r="AE40" s="716">
        <f>SUM(AE35:AE39)</f>
        <v/>
      </c>
      <c r="AF40" s="716">
        <f>SUM(AF35:AF39)</f>
        <v/>
      </c>
      <c r="AG40" s="717">
        <f>SUM(AG35:AG39)</f>
        <v/>
      </c>
      <c r="AI40" s="700">
        <f>AG40-AF40</f>
        <v/>
      </c>
      <c r="AJ40" s="719">
        <f>IFERROR(AI40/ABS(AF40),0)</f>
        <v/>
      </c>
    </row>
    <row r="41" ht="15" customHeight="1" s="223">
      <c r="D41" s="687" t="inlineStr">
        <is>
          <t>Total current liabilities</t>
        </is>
      </c>
      <c r="F41" s="720" t="n">
        <v>2645</v>
      </c>
      <c r="G41" s="720" t="n">
        <v>2691</v>
      </c>
      <c r="H41" s="720" t="n">
        <v>2784</v>
      </c>
      <c r="I41" s="720" t="n">
        <v>2829</v>
      </c>
      <c r="J41" s="720" t="n">
        <v>3769</v>
      </c>
      <c r="K41" s="720" t="n">
        <v>3415</v>
      </c>
      <c r="L41" s="720" t="n">
        <v>3343</v>
      </c>
      <c r="M41" s="720" t="n">
        <v>3330</v>
      </c>
      <c r="N41" s="720" t="n">
        <v>2879</v>
      </c>
      <c r="O41" s="720" t="n">
        <v>2949</v>
      </c>
      <c r="P41" s="720" t="n">
        <v>3006</v>
      </c>
      <c r="Q41" s="720" t="n">
        <v>2779</v>
      </c>
      <c r="R41" s="720" t="n">
        <v>2438</v>
      </c>
      <c r="S41" s="720" t="n">
        <v>2046</v>
      </c>
      <c r="T41" s="720" t="n">
        <v>2393</v>
      </c>
      <c r="U41" s="720" t="n">
        <v>2619</v>
      </c>
      <c r="V41" s="720" t="n">
        <v>2639</v>
      </c>
      <c r="W41" s="720" t="n">
        <v>2426</v>
      </c>
      <c r="X41" s="720" t="n">
        <v>3399</v>
      </c>
      <c r="Y41" s="720" t="n">
        <v>3222</v>
      </c>
      <c r="Z41" s="720" t="n">
        <v>3202</v>
      </c>
      <c r="AA41" s="720" t="n">
        <v>3126</v>
      </c>
      <c r="AC41" s="692">
        <f>I41</f>
        <v/>
      </c>
      <c r="AD41" s="692">
        <f>M41</f>
        <v/>
      </c>
      <c r="AE41" s="692">
        <f>Q41</f>
        <v/>
      </c>
      <c r="AF41" s="692">
        <f>U41</f>
        <v/>
      </c>
      <c r="AG41" s="692">
        <f>Y41</f>
        <v/>
      </c>
    </row>
    <row r="42" ht="15" customHeight="1" s="223">
      <c r="D42" s="689" t="inlineStr">
        <is>
          <t>Check</t>
        </is>
      </c>
      <c r="F42" s="690">
        <f>F40-F41</f>
        <v/>
      </c>
      <c r="G42" s="690">
        <f>G40-G41</f>
        <v/>
      </c>
      <c r="H42" s="690">
        <f>H40-H41</f>
        <v/>
      </c>
      <c r="I42" s="690">
        <f>I40-I41</f>
        <v/>
      </c>
      <c r="J42" s="690">
        <f>J40-J41</f>
        <v/>
      </c>
      <c r="K42" s="690">
        <f>K40-K41</f>
        <v/>
      </c>
      <c r="L42" s="690">
        <f>L40-L41</f>
        <v/>
      </c>
      <c r="M42" s="690">
        <f>M40-M41</f>
        <v/>
      </c>
      <c r="N42" s="690">
        <f>N40-N41</f>
        <v/>
      </c>
      <c r="O42" s="690">
        <f>O40-O41</f>
        <v/>
      </c>
      <c r="P42" s="690">
        <f>P40-P41</f>
        <v/>
      </c>
      <c r="Q42" s="690">
        <f>Q40-Q41</f>
        <v/>
      </c>
      <c r="R42" s="690">
        <f>R40-R41</f>
        <v/>
      </c>
      <c r="S42" s="690">
        <f>S40-S41</f>
        <v/>
      </c>
      <c r="T42" s="690">
        <f>T40-T41</f>
        <v/>
      </c>
      <c r="U42" s="690">
        <f>U40-U41</f>
        <v/>
      </c>
      <c r="V42" s="690">
        <f>V40-V41</f>
        <v/>
      </c>
      <c r="W42" s="690">
        <f>W40-W41</f>
        <v/>
      </c>
      <c r="X42" s="690">
        <f>X40-X41</f>
        <v/>
      </c>
      <c r="Y42" s="690">
        <f>Y40-Y41</f>
        <v/>
      </c>
      <c r="Z42" s="690">
        <f>Z40-Z41</f>
        <v/>
      </c>
      <c r="AA42" s="690">
        <f>AA40-AA41</f>
        <v/>
      </c>
      <c r="AC42" s="721">
        <f>AC40-AC41</f>
        <v/>
      </c>
      <c r="AD42" s="721">
        <f>AD40-AD41</f>
        <v/>
      </c>
      <c r="AE42" s="721">
        <f>AE40-AE41</f>
        <v/>
      </c>
      <c r="AF42" s="721">
        <f>AF40-AF41</f>
        <v/>
      </c>
      <c r="AG42" s="721">
        <f>AG40-AG41</f>
        <v/>
      </c>
    </row>
    <row r="43" ht="15" customHeight="1" s="223">
      <c r="D43" s="674" t="inlineStr">
        <is>
          <t>Long-term debt</t>
        </is>
      </c>
      <c r="F43" s="677" t="n">
        <v>3674</v>
      </c>
      <c r="G43" s="677" t="n">
        <v>3597</v>
      </c>
      <c r="H43" s="677" t="n">
        <v>3673</v>
      </c>
      <c r="I43" s="677" t="n">
        <v>3596</v>
      </c>
      <c r="J43" s="677" t="n">
        <v>2821</v>
      </c>
      <c r="K43" s="677" t="n">
        <v>2764</v>
      </c>
      <c r="L43" s="677" t="n">
        <v>2676</v>
      </c>
      <c r="M43" s="677" t="n">
        <v>2866</v>
      </c>
      <c r="N43" s="677" t="n">
        <v>2726</v>
      </c>
      <c r="O43" s="677" t="n">
        <v>2225</v>
      </c>
      <c r="P43" s="677" t="n">
        <v>2739</v>
      </c>
      <c r="Q43" s="677" t="n">
        <v>2710</v>
      </c>
      <c r="R43" s="677" t="n">
        <v>3199</v>
      </c>
      <c r="S43" s="677" t="n">
        <v>3174</v>
      </c>
      <c r="T43" s="677" t="n">
        <v>2752</v>
      </c>
      <c r="U43" s="677" t="n">
        <v>2814</v>
      </c>
      <c r="V43" s="677" t="n">
        <v>2699</v>
      </c>
      <c r="W43" s="677" t="n">
        <v>3484</v>
      </c>
      <c r="X43" s="677" t="n">
        <v>4052</v>
      </c>
      <c r="Y43" s="677" t="n">
        <v>4016</v>
      </c>
      <c r="Z43" s="677" t="n">
        <v>4281</v>
      </c>
      <c r="AA43" s="677" t="n">
        <v>4153</v>
      </c>
      <c r="AC43" s="676">
        <f>I43</f>
        <v/>
      </c>
      <c r="AD43" s="676">
        <f>M43</f>
        <v/>
      </c>
      <c r="AE43" s="676">
        <f>Q43</f>
        <v/>
      </c>
      <c r="AF43" s="676">
        <f>U43</f>
        <v/>
      </c>
      <c r="AG43" s="676">
        <f>Y43</f>
        <v/>
      </c>
      <c r="AI43" s="676">
        <f>AG43-AF43</f>
        <v/>
      </c>
      <c r="AJ43" s="715">
        <f>IFERROR(AI43/ABS(AF43),0)</f>
        <v/>
      </c>
    </row>
    <row r="44" ht="15" customHeight="1" s="223">
      <c r="D44" s="674" t="inlineStr">
        <is>
          <t>Pension and other benefit liabilities</t>
        </is>
      </c>
      <c r="F44" s="678" t="n">
        <v>1473</v>
      </c>
      <c r="G44" s="678" t="n">
        <v>1436</v>
      </c>
      <c r="H44" s="678" t="n">
        <v>1381</v>
      </c>
      <c r="I44" s="678" t="n">
        <v>1373</v>
      </c>
      <c r="J44" s="678" t="n">
        <v>1359</v>
      </c>
      <c r="K44" s="678" t="n">
        <v>1310</v>
      </c>
      <c r="L44" s="678" t="n">
        <v>1298</v>
      </c>
      <c r="M44" s="678" t="n">
        <v>1175</v>
      </c>
      <c r="N44" s="678" t="n">
        <v>1168</v>
      </c>
      <c r="O44" s="678" t="n">
        <v>1206</v>
      </c>
      <c r="P44" s="678" t="n">
        <v>1131</v>
      </c>
      <c r="Q44" s="678" t="n">
        <v>1216</v>
      </c>
      <c r="R44" s="678" t="n">
        <v>1183</v>
      </c>
      <c r="S44" s="678" t="n">
        <v>1180</v>
      </c>
      <c r="T44" s="678" t="n">
        <v>1126</v>
      </c>
      <c r="U44" s="678" t="n">
        <v>1088</v>
      </c>
      <c r="V44" s="678" t="n">
        <v>1077</v>
      </c>
      <c r="W44" s="678" t="n">
        <v>1083</v>
      </c>
      <c r="X44" s="678" t="n">
        <v>1150</v>
      </c>
      <c r="Y44" s="678" t="n">
        <v>1068</v>
      </c>
      <c r="Z44" s="678" t="n">
        <v>1037</v>
      </c>
      <c r="AA44" s="678" t="n">
        <v>1027</v>
      </c>
      <c r="AC44" s="679">
        <f>I44</f>
        <v/>
      </c>
      <c r="AD44" s="679">
        <f>M44</f>
        <v/>
      </c>
      <c r="AE44" s="679">
        <f>Q44</f>
        <v/>
      </c>
      <c r="AF44" s="679">
        <f>U44</f>
        <v/>
      </c>
      <c r="AG44" s="679">
        <f>Y44</f>
        <v/>
      </c>
      <c r="AI44" s="676">
        <f>AG44-AF44</f>
        <v/>
      </c>
      <c r="AJ44" s="715">
        <f>IFERROR(AI44/ABS(AF44),0)</f>
        <v/>
      </c>
    </row>
    <row r="45" ht="15" customHeight="1" s="223">
      <c r="D45" s="674" t="inlineStr">
        <is>
          <t>Post-retirement medical benefits</t>
        </is>
      </c>
      <c r="F45" s="678" t="n">
        <v>339</v>
      </c>
      <c r="G45" s="678" t="n">
        <v>340</v>
      </c>
      <c r="H45" s="678" t="n">
        <v>333</v>
      </c>
      <c r="I45" s="678" t="n">
        <v>277</v>
      </c>
      <c r="J45" s="678" t="n">
        <v>247</v>
      </c>
      <c r="K45" s="678" t="n">
        <v>242</v>
      </c>
      <c r="L45" s="678" t="n">
        <v>209</v>
      </c>
      <c r="M45" s="678" t="n">
        <v>184</v>
      </c>
      <c r="N45" s="678" t="n">
        <v>182</v>
      </c>
      <c r="O45" s="678" t="n">
        <v>179</v>
      </c>
      <c r="P45" s="678" t="n">
        <v>175</v>
      </c>
      <c r="Q45" s="678" t="n">
        <v>171</v>
      </c>
      <c r="R45" s="678" t="n">
        <v>167</v>
      </c>
      <c r="S45" s="678" t="n">
        <v>164</v>
      </c>
      <c r="T45" s="678" t="n">
        <v>166</v>
      </c>
      <c r="U45" s="678" t="n">
        <v>154</v>
      </c>
      <c r="V45" s="678" t="n">
        <v>152</v>
      </c>
      <c r="W45" s="678" t="n">
        <v>153</v>
      </c>
      <c r="X45" s="678" t="n">
        <v>168</v>
      </c>
      <c r="Y45" s="678" t="n">
        <v>159</v>
      </c>
      <c r="Z45" s="678" t="n">
        <v>156</v>
      </c>
      <c r="AA45" s="678" t="n">
        <v>148</v>
      </c>
      <c r="AC45" s="679">
        <f>I45</f>
        <v/>
      </c>
      <c r="AD45" s="679">
        <f>M45</f>
        <v/>
      </c>
      <c r="AE45" s="679">
        <f>Q45</f>
        <v/>
      </c>
      <c r="AF45" s="679">
        <f>U45</f>
        <v/>
      </c>
      <c r="AG45" s="679">
        <f>Y45</f>
        <v/>
      </c>
      <c r="AI45" s="676">
        <f>AG45-AF45</f>
        <v/>
      </c>
      <c r="AJ45" s="715">
        <f>IFERROR(AI45/ABS(AF45),0)</f>
        <v/>
      </c>
    </row>
    <row r="46" ht="15" customHeight="1" s="223">
      <c r="D46" s="674" t="inlineStr">
        <is>
          <t>Other long-term liabilities</t>
        </is>
      </c>
      <c r="F46" s="678" t="n">
        <v>498</v>
      </c>
      <c r="G46" s="678" t="n">
        <v>537</v>
      </c>
      <c r="H46" s="678" t="n">
        <v>491</v>
      </c>
      <c r="I46" s="678" t="n">
        <v>481</v>
      </c>
      <c r="J46" s="678" t="n">
        <v>473</v>
      </c>
      <c r="K46" s="678" t="n">
        <v>433</v>
      </c>
      <c r="L46" s="678" t="n">
        <v>416</v>
      </c>
      <c r="M46" s="678" t="n">
        <v>411</v>
      </c>
      <c r="N46" s="678" t="n">
        <v>400</v>
      </c>
      <c r="O46" s="678" t="n">
        <v>394</v>
      </c>
      <c r="P46" s="678" t="n">
        <v>371</v>
      </c>
      <c r="Q46" s="678" t="n">
        <v>360</v>
      </c>
      <c r="R46" s="678" t="n">
        <v>352</v>
      </c>
      <c r="S46" s="678" t="n">
        <v>338</v>
      </c>
      <c r="T46" s="678" t="n">
        <v>354</v>
      </c>
      <c r="U46" s="678" t="n">
        <v>386</v>
      </c>
      <c r="V46" s="678" t="n">
        <v>363</v>
      </c>
      <c r="W46" s="678" t="n">
        <v>377</v>
      </c>
      <c r="X46" s="678" t="n">
        <v>705</v>
      </c>
      <c r="Y46" s="678" t="n">
        <v>685</v>
      </c>
      <c r="Z46" s="678" t="n">
        <v>697</v>
      </c>
      <c r="AA46" s="678" t="n">
        <v>716</v>
      </c>
      <c r="AC46" s="679">
        <f>I46</f>
        <v/>
      </c>
      <c r="AD46" s="679">
        <f>M46</f>
        <v/>
      </c>
      <c r="AE46" s="679">
        <f>Q46</f>
        <v/>
      </c>
      <c r="AF46" s="679">
        <f>U46</f>
        <v/>
      </c>
      <c r="AG46" s="679">
        <f>Y46</f>
        <v/>
      </c>
      <c r="AI46" s="676">
        <f>AG46-AF46</f>
        <v/>
      </c>
      <c r="AJ46" s="715">
        <f>IFERROR(AI46/ABS(AF46),0)</f>
        <v/>
      </c>
    </row>
    <row r="47" ht="15" customHeight="1" s="223">
      <c r="D47" s="681" t="inlineStr">
        <is>
          <t>Total liabilities</t>
        </is>
      </c>
      <c r="E47" s="682" t="n"/>
      <c r="F47" s="716">
        <f>SUM(F43:F46)+F40</f>
        <v/>
      </c>
      <c r="G47" s="716">
        <f>SUM(G43:G46)+G40</f>
        <v/>
      </c>
      <c r="H47" s="716">
        <f>SUM(H43:H46)+H40</f>
        <v/>
      </c>
      <c r="I47" s="716">
        <f>SUM(I43:I46)+I40</f>
        <v/>
      </c>
      <c r="J47" s="716">
        <f>SUM(J43:J46)+J40</f>
        <v/>
      </c>
      <c r="K47" s="716">
        <f>SUM(K43:K46)+K40</f>
        <v/>
      </c>
      <c r="L47" s="716">
        <f>SUM(L43:L46)+L40</f>
        <v/>
      </c>
      <c r="M47" s="716">
        <f>SUM(M43:M46)+M40</f>
        <v/>
      </c>
      <c r="N47" s="716">
        <f>SUM(N43:N46)+N40</f>
        <v/>
      </c>
      <c r="O47" s="716">
        <f>SUM(O43:O46)+O40</f>
        <v/>
      </c>
      <c r="P47" s="716">
        <f>SUM(P43:P46)+P40</f>
        <v/>
      </c>
      <c r="Q47" s="716">
        <f>SUM(Q43:Q46)+Q40</f>
        <v/>
      </c>
      <c r="R47" s="716">
        <f>SUM(R43:R46)+R40</f>
        <v/>
      </c>
      <c r="S47" s="716">
        <f>SUM(S43:S46)+S40</f>
        <v/>
      </c>
      <c r="T47" s="716">
        <f>SUM(T43:T46)+T40</f>
        <v/>
      </c>
      <c r="U47" s="716">
        <f>SUM(U43:U46)+U40</f>
        <v/>
      </c>
      <c r="V47" s="716">
        <f>SUM(V43:V46)+V40</f>
        <v/>
      </c>
      <c r="W47" s="716">
        <f>SUM(W43:W46)+W40</f>
        <v/>
      </c>
      <c r="X47" s="716">
        <f>SUM(X43:X46)+X40</f>
        <v/>
      </c>
      <c r="Y47" s="716">
        <f>SUM(Y43:Y46)+Y40</f>
        <v/>
      </c>
      <c r="Z47" s="716">
        <f>SUM(Z43:Z46)+Z40</f>
        <v/>
      </c>
      <c r="AA47" s="717">
        <f>SUM(AA43:AA46)+AA40</f>
        <v/>
      </c>
      <c r="AC47" s="718">
        <f>SUM(AC43:AC46)+AC40</f>
        <v/>
      </c>
      <c r="AD47" s="716">
        <f>SUM(AD43:AD46)+AD40</f>
        <v/>
      </c>
      <c r="AE47" s="716">
        <f>SUM(AE43:AE46)+AE40</f>
        <v/>
      </c>
      <c r="AF47" s="716">
        <f>SUM(AF43:AF46)+AF40</f>
        <v/>
      </c>
      <c r="AG47" s="717">
        <f>SUM(AG43:AG46)+AG40</f>
        <v/>
      </c>
      <c r="AI47" s="700">
        <f>AG47-AF47</f>
        <v/>
      </c>
      <c r="AJ47" s="719">
        <f>IFERROR(AI47/ABS(AF47),0)</f>
        <v/>
      </c>
    </row>
    <row r="48" ht="15" customHeight="1" s="223">
      <c r="D48" s="687" t="inlineStr">
        <is>
          <t>Total liabilities</t>
        </is>
      </c>
      <c r="F48" s="720" t="n">
        <v>8629</v>
      </c>
      <c r="G48" s="720" t="n">
        <v>8601</v>
      </c>
      <c r="H48" s="720" t="n">
        <v>8662</v>
      </c>
      <c r="I48" s="720" t="n">
        <v>8556</v>
      </c>
      <c r="J48" s="720" t="n">
        <v>8669</v>
      </c>
      <c r="K48" s="720" t="n">
        <v>8164</v>
      </c>
      <c r="L48" s="720" t="n">
        <v>7942</v>
      </c>
      <c r="M48" s="720" t="n">
        <v>7966</v>
      </c>
      <c r="N48" s="720" t="n">
        <v>7355</v>
      </c>
      <c r="O48" s="720" t="n">
        <v>6953</v>
      </c>
      <c r="P48" s="720" t="n">
        <v>7422</v>
      </c>
      <c r="Q48" s="720" t="n">
        <v>7236</v>
      </c>
      <c r="R48" s="720" t="n">
        <v>7339</v>
      </c>
      <c r="S48" s="720" t="n">
        <v>6902</v>
      </c>
      <c r="T48" s="720" t="n">
        <v>6791</v>
      </c>
      <c r="U48" s="720" t="n">
        <v>7061</v>
      </c>
      <c r="V48" s="720" t="n">
        <v>6930</v>
      </c>
      <c r="W48" s="720" t="n">
        <v>7523</v>
      </c>
      <c r="X48" s="720" t="n">
        <v>9474</v>
      </c>
      <c r="Y48" s="720" t="n">
        <v>9150</v>
      </c>
      <c r="Z48" s="720" t="n">
        <v>9373</v>
      </c>
      <c r="AA48" s="720" t="n">
        <v>9170</v>
      </c>
      <c r="AC48" s="692">
        <f>I48</f>
        <v/>
      </c>
      <c r="AD48" s="692">
        <f>M48</f>
        <v/>
      </c>
      <c r="AE48" s="692">
        <f>Q48</f>
        <v/>
      </c>
      <c r="AF48" s="692">
        <f>U48</f>
        <v/>
      </c>
      <c r="AG48" s="692">
        <f>Y48</f>
        <v/>
      </c>
    </row>
    <row r="49" ht="15" customHeight="1" s="223">
      <c r="D49" s="689" t="inlineStr">
        <is>
          <t>Check</t>
        </is>
      </c>
      <c r="F49" s="690">
        <f>F47-F48</f>
        <v/>
      </c>
      <c r="G49" s="690">
        <f>G47-G48</f>
        <v/>
      </c>
      <c r="H49" s="690">
        <f>H47-H48</f>
        <v/>
      </c>
      <c r="I49" s="690">
        <f>I47-I48</f>
        <v/>
      </c>
      <c r="J49" s="690">
        <f>J47-J48</f>
        <v/>
      </c>
      <c r="K49" s="690">
        <f>K47-K48</f>
        <v/>
      </c>
      <c r="L49" s="690">
        <f>L47-L48</f>
        <v/>
      </c>
      <c r="M49" s="690">
        <f>M47-M48</f>
        <v/>
      </c>
      <c r="N49" s="690">
        <f>N47-N48</f>
        <v/>
      </c>
      <c r="O49" s="690">
        <f>O47-O48</f>
        <v/>
      </c>
      <c r="P49" s="690">
        <f>P47-P48</f>
        <v/>
      </c>
      <c r="Q49" s="690">
        <f>Q47-Q48</f>
        <v/>
      </c>
      <c r="R49" s="690">
        <f>R47-R48</f>
        <v/>
      </c>
      <c r="S49" s="690">
        <f>S47-S48</f>
        <v/>
      </c>
      <c r="T49" s="690">
        <f>T47-T48</f>
        <v/>
      </c>
      <c r="U49" s="690">
        <f>U47-U48</f>
        <v/>
      </c>
      <c r="V49" s="690">
        <f>V47-V48</f>
        <v/>
      </c>
      <c r="W49" s="690">
        <f>W47-W48</f>
        <v/>
      </c>
      <c r="X49" s="690">
        <f>X47-X48</f>
        <v/>
      </c>
      <c r="Y49" s="690">
        <f>Y47-Y48</f>
        <v/>
      </c>
      <c r="Z49" s="690">
        <f>Z47-Z48</f>
        <v/>
      </c>
      <c r="AA49" s="690">
        <f>AA47-AA48</f>
        <v/>
      </c>
      <c r="AC49" s="721">
        <f>AC47-AC48</f>
        <v/>
      </c>
      <c r="AD49" s="721">
        <f>AD47-AD48</f>
        <v/>
      </c>
      <c r="AE49" s="721">
        <f>AE47-AE48</f>
        <v/>
      </c>
      <c r="AF49" s="721">
        <f>AF47-AF48</f>
        <v/>
      </c>
      <c r="AG49" s="721">
        <f>AG47-AG48</f>
        <v/>
      </c>
    </row>
    <row r="50" ht="4.5" customHeight="1" s="223"/>
    <row r="51" ht="15" customHeight="1" s="223">
      <c r="D51" s="673" t="inlineStr">
        <is>
          <t>Temporary equity</t>
        </is>
      </c>
    </row>
    <row r="52" ht="15" customHeight="1" s="223">
      <c r="D52" s="674" t="inlineStr">
        <is>
          <t>Noncontrolling interests (temporary equity)</t>
        </is>
      </c>
      <c r="F52" s="677" t="n">
        <v>0</v>
      </c>
      <c r="G52" s="677" t="n">
        <v>0</v>
      </c>
      <c r="H52" s="677" t="n">
        <v>10</v>
      </c>
      <c r="I52" s="677" t="n">
        <v>10</v>
      </c>
      <c r="J52" s="677" t="n">
        <v>10</v>
      </c>
      <c r="K52" s="677" t="n">
        <v>10</v>
      </c>
      <c r="L52" s="677" t="n">
        <v>10</v>
      </c>
      <c r="M52" s="677" t="n">
        <v>10</v>
      </c>
      <c r="N52" s="677" t="n">
        <v>10</v>
      </c>
      <c r="O52" s="677" t="n">
        <v>10</v>
      </c>
      <c r="P52" s="677" t="n">
        <v>10</v>
      </c>
      <c r="Q52" s="677" t="n">
        <v>10</v>
      </c>
      <c r="R52" s="677" t="n">
        <v>10</v>
      </c>
      <c r="S52" s="677" t="n">
        <v>10</v>
      </c>
      <c r="T52" s="677" t="n">
        <v>10</v>
      </c>
      <c r="U52" s="677" t="n">
        <v>10</v>
      </c>
      <c r="V52" s="677" t="n">
        <v>10</v>
      </c>
      <c r="W52" s="677" t="n">
        <v>10</v>
      </c>
      <c r="X52" s="677" t="n">
        <v>10</v>
      </c>
      <c r="Y52" s="677" t="n">
        <v>10</v>
      </c>
      <c r="Z52" s="677" t="n">
        <v>10</v>
      </c>
      <c r="AA52" s="677" t="n">
        <v>10</v>
      </c>
      <c r="AC52" s="676">
        <f>I52</f>
        <v/>
      </c>
      <c r="AD52" s="676">
        <f>M52</f>
        <v/>
      </c>
      <c r="AE52" s="676">
        <f>Q52</f>
        <v/>
      </c>
      <c r="AF52" s="676">
        <f>U52</f>
        <v/>
      </c>
      <c r="AG52" s="676">
        <f>Y52</f>
        <v/>
      </c>
      <c r="AI52" s="676">
        <f>AG52-AF52</f>
        <v/>
      </c>
      <c r="AJ52" s="715">
        <f>IFERROR(AI52/ABS(AF52),0)</f>
        <v/>
      </c>
    </row>
    <row r="53" ht="15" customHeight="1" s="223">
      <c r="D53" s="674" t="inlineStr">
        <is>
          <t>Convertible preferred stock</t>
        </is>
      </c>
      <c r="F53" s="678" t="n">
        <v>214</v>
      </c>
      <c r="G53" s="678" t="n">
        <v>214</v>
      </c>
      <c r="H53" s="678" t="n">
        <v>214</v>
      </c>
      <c r="I53" s="678" t="n">
        <v>214</v>
      </c>
      <c r="J53" s="678" t="n">
        <v>214</v>
      </c>
      <c r="K53" s="678" t="n">
        <v>214</v>
      </c>
      <c r="L53" s="678" t="n">
        <v>214</v>
      </c>
      <c r="M53" s="678" t="n">
        <v>214</v>
      </c>
      <c r="N53" s="678" t="n">
        <v>214</v>
      </c>
      <c r="O53" s="678" t="n">
        <v>214</v>
      </c>
      <c r="P53" s="678" t="n">
        <v>214</v>
      </c>
      <c r="Q53" s="678" t="n">
        <v>214</v>
      </c>
      <c r="R53" s="678" t="n">
        <v>214</v>
      </c>
      <c r="S53" s="678" t="n">
        <v>214</v>
      </c>
      <c r="T53" s="678" t="n">
        <v>214</v>
      </c>
      <c r="U53" s="678" t="n">
        <v>214</v>
      </c>
      <c r="V53" s="678" t="n">
        <v>214</v>
      </c>
      <c r="W53" s="678" t="n">
        <v>214</v>
      </c>
      <c r="X53" s="678" t="n">
        <v>214</v>
      </c>
      <c r="Y53" s="678" t="n">
        <v>214</v>
      </c>
      <c r="Z53" s="678" t="n">
        <v>214</v>
      </c>
      <c r="AA53" s="678" t="n">
        <v>214</v>
      </c>
      <c r="AC53" s="679">
        <f>I53</f>
        <v/>
      </c>
      <c r="AD53" s="679">
        <f>M53</f>
        <v/>
      </c>
      <c r="AE53" s="679">
        <f>Q53</f>
        <v/>
      </c>
      <c r="AF53" s="679">
        <f>U53</f>
        <v/>
      </c>
      <c r="AG53" s="679">
        <f>Y53</f>
        <v/>
      </c>
      <c r="AI53" s="676">
        <f>AG53-AF53</f>
        <v/>
      </c>
      <c r="AJ53" s="715">
        <f>IFERROR(AI53/ABS(AF53),0)</f>
        <v/>
      </c>
    </row>
    <row r="54" ht="15" customHeight="1" s="223">
      <c r="D54" s="673" t="inlineStr">
        <is>
          <t>Shareholders' equity</t>
        </is>
      </c>
    </row>
    <row r="55" ht="15" customHeight="1" s="223">
      <c r="D55" s="674" t="inlineStr">
        <is>
          <t>Common stock</t>
        </is>
      </c>
      <c r="F55" s="677" t="n">
        <v>199</v>
      </c>
      <c r="G55" s="677" t="n">
        <v>189</v>
      </c>
      <c r="H55" s="677" t="n">
        <v>182</v>
      </c>
      <c r="I55" s="677" t="n">
        <v>168</v>
      </c>
      <c r="J55" s="677" t="n">
        <v>156</v>
      </c>
      <c r="K55" s="677" t="n">
        <v>155</v>
      </c>
      <c r="L55" s="677" t="n">
        <v>156</v>
      </c>
      <c r="M55" s="677" t="n">
        <v>156</v>
      </c>
      <c r="N55" s="677" t="n">
        <v>157</v>
      </c>
      <c r="O55" s="677" t="n">
        <v>157</v>
      </c>
      <c r="P55" s="677" t="n">
        <v>157</v>
      </c>
      <c r="Q55" s="677" t="n">
        <v>123</v>
      </c>
      <c r="R55" s="677" t="n">
        <v>124</v>
      </c>
      <c r="S55" s="677" t="n">
        <v>124</v>
      </c>
      <c r="T55" s="677" t="n">
        <v>124</v>
      </c>
      <c r="U55" s="677" t="n">
        <v>124</v>
      </c>
      <c r="V55" s="677" t="n">
        <v>126</v>
      </c>
      <c r="W55" s="677" t="n">
        <v>126</v>
      </c>
      <c r="X55" s="677" t="n">
        <v>128</v>
      </c>
      <c r="Y55" s="677" t="n">
        <v>128</v>
      </c>
      <c r="Z55" s="677" t="n">
        <v>131</v>
      </c>
      <c r="AA55" s="677" t="n">
        <v>131</v>
      </c>
      <c r="AC55" s="676">
        <f>I55</f>
        <v/>
      </c>
      <c r="AD55" s="676">
        <f>M55</f>
        <v/>
      </c>
      <c r="AE55" s="676">
        <f>Q55</f>
        <v/>
      </c>
      <c r="AF55" s="676">
        <f>U55</f>
        <v/>
      </c>
      <c r="AG55" s="676">
        <f>Y55</f>
        <v/>
      </c>
      <c r="AI55" s="676">
        <f>AG55-AF55</f>
        <v/>
      </c>
      <c r="AJ55" s="715">
        <f>IFERROR(AI55/ABS(AF55),0)</f>
        <v/>
      </c>
    </row>
    <row r="56" ht="15" customHeight="1" s="223">
      <c r="D56" s="674" t="inlineStr">
        <is>
          <t>Additional paid-in capital</t>
        </is>
      </c>
      <c r="F56" s="678" t="n">
        <v>2456</v>
      </c>
      <c r="G56" s="678" t="n">
        <v>2214</v>
      </c>
      <c r="H56" s="678" t="n">
        <v>2080</v>
      </c>
      <c r="I56" s="678" t="n">
        <v>1802</v>
      </c>
      <c r="J56" s="678" t="n">
        <v>1560</v>
      </c>
      <c r="K56" s="678" t="n">
        <v>1564</v>
      </c>
      <c r="L56" s="678" t="n">
        <v>1577</v>
      </c>
      <c r="M56" s="678" t="n">
        <v>1588</v>
      </c>
      <c r="N56" s="678" t="n">
        <v>1594</v>
      </c>
      <c r="O56" s="678" t="n">
        <v>1607</v>
      </c>
      <c r="P56" s="678" t="n">
        <v>1619</v>
      </c>
      <c r="Q56" s="678" t="n">
        <v>1114</v>
      </c>
      <c r="R56" s="678" t="n">
        <v>1099</v>
      </c>
      <c r="S56" s="678" t="n">
        <v>1114</v>
      </c>
      <c r="T56" s="678" t="n">
        <v>1123</v>
      </c>
      <c r="U56" s="678" t="n">
        <v>1137</v>
      </c>
      <c r="V56" s="678" t="n">
        <v>1141</v>
      </c>
      <c r="W56" s="678" t="n">
        <v>1154</v>
      </c>
      <c r="X56" s="678" t="n">
        <v>1171</v>
      </c>
      <c r="Y56" s="678" t="n">
        <v>1183</v>
      </c>
      <c r="Z56" s="678" t="n">
        <v>1192</v>
      </c>
      <c r="AA56" s="678" t="n">
        <v>1200</v>
      </c>
      <c r="AC56" s="679">
        <f>I56</f>
        <v/>
      </c>
      <c r="AD56" s="679">
        <f>M56</f>
        <v/>
      </c>
      <c r="AE56" s="679">
        <f>Q56</f>
        <v/>
      </c>
      <c r="AF56" s="679">
        <f>U56</f>
        <v/>
      </c>
      <c r="AG56" s="679">
        <f>Y56</f>
        <v/>
      </c>
      <c r="AI56" s="676">
        <f>AG56-AF56</f>
        <v/>
      </c>
      <c r="AJ56" s="715">
        <f>IFERROR(AI56/ABS(AF56),0)</f>
        <v/>
      </c>
    </row>
    <row r="57" ht="15" customHeight="1" s="223">
      <c r="D57" s="674" t="inlineStr">
        <is>
          <t>Treasury stock, at cost</t>
        </is>
      </c>
      <c r="F57" s="678" t="n">
        <v>-162</v>
      </c>
      <c r="G57" s="678" t="n">
        <v>-159</v>
      </c>
      <c r="H57" s="678" t="n">
        <v>-87</v>
      </c>
      <c r="I57" s="678" t="n">
        <v>-177</v>
      </c>
      <c r="J57" s="678" t="n">
        <v>-32</v>
      </c>
      <c r="K57" s="678" t="n">
        <v>0</v>
      </c>
      <c r="L57" s="678" t="n">
        <v>0</v>
      </c>
      <c r="M57" s="678" t="n">
        <v>0</v>
      </c>
      <c r="N57" s="678" t="n">
        <v>0</v>
      </c>
      <c r="O57" s="678" t="n">
        <v>0</v>
      </c>
      <c r="P57" s="678" t="n">
        <v>-553</v>
      </c>
      <c r="Q57" s="678" t="n">
        <v>0</v>
      </c>
      <c r="R57" s="678" t="n">
        <v>0</v>
      </c>
      <c r="S57" s="678" t="n">
        <v>0</v>
      </c>
      <c r="T57" s="678" t="n">
        <v>0</v>
      </c>
      <c r="U57" s="678" t="n">
        <v>0</v>
      </c>
      <c r="V57" s="678" t="n">
        <v>0</v>
      </c>
      <c r="W57" s="678" t="n">
        <v>0</v>
      </c>
      <c r="X57" s="678" t="n">
        <v>0</v>
      </c>
      <c r="Y57" s="678" t="n">
        <v>0</v>
      </c>
      <c r="Z57" s="678" t="n">
        <v>0</v>
      </c>
      <c r="AA57" s="678" t="n">
        <v>0</v>
      </c>
      <c r="AC57" s="679">
        <f>I57</f>
        <v/>
      </c>
      <c r="AD57" s="679">
        <f>M57</f>
        <v/>
      </c>
      <c r="AE57" s="679">
        <f>Q57</f>
        <v/>
      </c>
      <c r="AF57" s="679">
        <f>U57</f>
        <v/>
      </c>
      <c r="AG57" s="679">
        <f>Y57</f>
        <v/>
      </c>
      <c r="AI57" s="676">
        <f>AG57-AF57</f>
        <v/>
      </c>
      <c r="AJ57" s="715">
        <f>IFERROR(AI57/ABS(AF57),0)</f>
        <v/>
      </c>
    </row>
    <row r="58" ht="15" customHeight="1" s="223">
      <c r="D58" s="674" t="inlineStr">
        <is>
          <t>Retained earnings</t>
        </is>
      </c>
      <c r="F58" s="678" t="n">
        <v>6267</v>
      </c>
      <c r="G58" s="678" t="n">
        <v>6308</v>
      </c>
      <c r="H58" s="678" t="n">
        <v>6348</v>
      </c>
      <c r="I58" s="678" t="n">
        <v>5631</v>
      </c>
      <c r="J58" s="678" t="n">
        <v>5532</v>
      </c>
      <c r="K58" s="678" t="n">
        <v>5484</v>
      </c>
      <c r="L58" s="678" t="n">
        <v>5057</v>
      </c>
      <c r="M58" s="678" t="n">
        <v>5136</v>
      </c>
      <c r="N58" s="678" t="n">
        <v>5162</v>
      </c>
      <c r="O58" s="678" t="n">
        <v>5057</v>
      </c>
      <c r="P58" s="678" t="n">
        <v>5070</v>
      </c>
      <c r="Q58" s="678" t="n">
        <v>4977</v>
      </c>
      <c r="R58" s="678" t="n">
        <v>4828</v>
      </c>
      <c r="S58" s="678" t="n">
        <v>4810</v>
      </c>
      <c r="T58" s="678" t="n">
        <v>3570</v>
      </c>
      <c r="U58" s="678" t="n">
        <v>3514</v>
      </c>
      <c r="V58" s="678" t="n">
        <v>3403</v>
      </c>
      <c r="W58" s="678" t="n">
        <v>3290</v>
      </c>
      <c r="X58" s="678" t="n">
        <v>2523</v>
      </c>
      <c r="Y58" s="678" t="n">
        <v>2444</v>
      </c>
      <c r="Z58" s="678" t="n">
        <v>2320</v>
      </c>
      <c r="AA58" s="678" t="n">
        <v>2326</v>
      </c>
      <c r="AC58" s="679">
        <f>I58</f>
        <v/>
      </c>
      <c r="AD58" s="679">
        <f>M58</f>
        <v/>
      </c>
      <c r="AE58" s="679">
        <f>Q58</f>
        <v/>
      </c>
      <c r="AF58" s="679">
        <f>U58</f>
        <v/>
      </c>
      <c r="AG58" s="679">
        <f>Y58</f>
        <v/>
      </c>
      <c r="AI58" s="676">
        <f>AG58-AF58</f>
        <v/>
      </c>
      <c r="AJ58" s="715">
        <f>IFERROR(AI58/ABS(AF58),0)</f>
        <v/>
      </c>
    </row>
    <row r="59" ht="15" customHeight="1" s="223">
      <c r="D59" s="674" t="inlineStr">
        <is>
          <t>Accumulated other comprehensive loss</t>
        </is>
      </c>
      <c r="F59" s="678" t="n">
        <v>-3335</v>
      </c>
      <c r="G59" s="678" t="n">
        <v>-3265</v>
      </c>
      <c r="H59" s="678" t="n">
        <v>-3335</v>
      </c>
      <c r="I59" s="678" t="n">
        <v>-2988</v>
      </c>
      <c r="J59" s="678" t="n">
        <v>-3032</v>
      </c>
      <c r="K59" s="678" t="n">
        <v>-3330</v>
      </c>
      <c r="L59" s="678" t="n">
        <v>-3547</v>
      </c>
      <c r="M59" s="678" t="n">
        <v>-3537</v>
      </c>
      <c r="N59" s="678" t="n">
        <v>-3454</v>
      </c>
      <c r="O59" s="678" t="n">
        <v>-3437</v>
      </c>
      <c r="P59" s="678" t="n">
        <v>-3504</v>
      </c>
      <c r="Q59" s="678" t="n">
        <v>-3676</v>
      </c>
      <c r="R59" s="678" t="n">
        <v>-3673</v>
      </c>
      <c r="S59" s="678" t="n">
        <v>-3687</v>
      </c>
      <c r="T59" s="678" t="n">
        <v>-3514</v>
      </c>
      <c r="U59" s="678" t="n">
        <v>-3699</v>
      </c>
      <c r="V59" s="678" t="n">
        <v>-3617</v>
      </c>
      <c r="W59" s="678" t="n">
        <v>-3448</v>
      </c>
      <c r="X59" s="678" t="n">
        <v>-3457</v>
      </c>
      <c r="Y59" s="678" t="n">
        <v>-3311</v>
      </c>
      <c r="Z59" s="678" t="n">
        <v>-3344</v>
      </c>
      <c r="AA59" s="678" t="n">
        <v>-3334</v>
      </c>
      <c r="AC59" s="679">
        <f>I59</f>
        <v/>
      </c>
      <c r="AD59" s="679">
        <f>M59</f>
        <v/>
      </c>
      <c r="AE59" s="679">
        <f>Q59</f>
        <v/>
      </c>
      <c r="AF59" s="679">
        <f>U59</f>
        <v/>
      </c>
      <c r="AG59" s="679">
        <f>Y59</f>
        <v/>
      </c>
      <c r="AI59" s="676">
        <f>AG59-AF59</f>
        <v/>
      </c>
      <c r="AJ59" s="715">
        <f>IFERROR(AI59/ABS(AF59),0)</f>
        <v/>
      </c>
    </row>
    <row r="60" ht="15" customHeight="1" s="223">
      <c r="D60" s="681" t="inlineStr">
        <is>
          <t>Xerox Holdings shareholders' equity</t>
        </is>
      </c>
      <c r="E60" s="682" t="n"/>
      <c r="F60" s="716">
        <f>SUM(F55:F59)</f>
        <v/>
      </c>
      <c r="G60" s="716">
        <f>SUM(G55:G59)</f>
        <v/>
      </c>
      <c r="H60" s="716">
        <f>SUM(H55:H59)</f>
        <v/>
      </c>
      <c r="I60" s="716">
        <f>SUM(I55:I59)</f>
        <v/>
      </c>
      <c r="J60" s="716">
        <f>SUM(J55:J59)</f>
        <v/>
      </c>
      <c r="K60" s="716">
        <f>SUM(K55:K59)</f>
        <v/>
      </c>
      <c r="L60" s="716">
        <f>SUM(L55:L59)</f>
        <v/>
      </c>
      <c r="M60" s="716">
        <f>SUM(M55:M59)</f>
        <v/>
      </c>
      <c r="N60" s="716">
        <f>SUM(N55:N59)</f>
        <v/>
      </c>
      <c r="O60" s="716">
        <f>SUM(O55:O59)</f>
        <v/>
      </c>
      <c r="P60" s="716">
        <f>SUM(P55:P59)</f>
        <v/>
      </c>
      <c r="Q60" s="716">
        <f>SUM(Q55:Q59)</f>
        <v/>
      </c>
      <c r="R60" s="716">
        <f>SUM(R55:R59)</f>
        <v/>
      </c>
      <c r="S60" s="716">
        <f>SUM(S55:S59)</f>
        <v/>
      </c>
      <c r="T60" s="716">
        <f>SUM(T55:T59)</f>
        <v/>
      </c>
      <c r="U60" s="716">
        <f>SUM(U55:U59)</f>
        <v/>
      </c>
      <c r="V60" s="716">
        <f>SUM(V55:V59)</f>
        <v/>
      </c>
      <c r="W60" s="716">
        <f>SUM(W55:W59)</f>
        <v/>
      </c>
      <c r="X60" s="716">
        <f>SUM(X55:X59)</f>
        <v/>
      </c>
      <c r="Y60" s="716">
        <f>SUM(Y55:Y59)</f>
        <v/>
      </c>
      <c r="Z60" s="716">
        <f>SUM(Z55:Z59)</f>
        <v/>
      </c>
      <c r="AA60" s="717">
        <f>SUM(AA55:AA59)</f>
        <v/>
      </c>
      <c r="AC60" s="718">
        <f>SUM(AC55:AC59)</f>
        <v/>
      </c>
      <c r="AD60" s="716">
        <f>SUM(AD55:AD59)</f>
        <v/>
      </c>
      <c r="AE60" s="716">
        <f>SUM(AE55:AE59)</f>
        <v/>
      </c>
      <c r="AF60" s="716">
        <f>SUM(AF55:AF59)</f>
        <v/>
      </c>
      <c r="AG60" s="717">
        <f>SUM(AG55:AG59)</f>
        <v/>
      </c>
      <c r="AI60" s="700">
        <f>AG60-AF60</f>
        <v/>
      </c>
      <c r="AJ60" s="719">
        <f>IFERROR(AI60/ABS(AF60),0)</f>
        <v/>
      </c>
    </row>
    <row r="61" ht="15" customHeight="1" s="223">
      <c r="D61" s="687" t="inlineStr">
        <is>
          <t>Xerox Holdings shareholders' equity</t>
        </is>
      </c>
      <c r="F61" s="720" t="n">
        <v>5425</v>
      </c>
      <c r="G61" s="720" t="n">
        <v>5287</v>
      </c>
      <c r="H61" s="720" t="n">
        <v>5188</v>
      </c>
      <c r="I61" s="720" t="n">
        <v>4436</v>
      </c>
      <c r="J61" s="720" t="n">
        <v>4184</v>
      </c>
      <c r="K61" s="720" t="n">
        <v>3873</v>
      </c>
      <c r="L61" s="720" t="n">
        <v>3243</v>
      </c>
      <c r="M61" s="720" t="n">
        <v>3343</v>
      </c>
      <c r="N61" s="720" t="n">
        <v>3459</v>
      </c>
      <c r="O61" s="720" t="n">
        <v>3384</v>
      </c>
      <c r="P61" s="720" t="n">
        <v>2789</v>
      </c>
      <c r="Q61" s="720" t="n">
        <v>2538</v>
      </c>
      <c r="R61" s="720" t="n">
        <v>2378</v>
      </c>
      <c r="S61" s="720" t="n">
        <v>2361</v>
      </c>
      <c r="T61" s="720" t="n">
        <v>1303</v>
      </c>
      <c r="U61" s="720" t="n">
        <v>1076</v>
      </c>
      <c r="V61" s="720" t="n">
        <v>1053</v>
      </c>
      <c r="W61" s="720" t="n">
        <v>1122</v>
      </c>
      <c r="X61" s="720" t="n">
        <v>365</v>
      </c>
      <c r="Y61" s="720" t="n">
        <v>444</v>
      </c>
      <c r="Z61" s="720" t="n">
        <v>299</v>
      </c>
      <c r="AA61" s="720" t="n">
        <v>323</v>
      </c>
      <c r="AC61" s="692">
        <f>I61</f>
        <v/>
      </c>
      <c r="AD61" s="692">
        <f>M61</f>
        <v/>
      </c>
      <c r="AE61" s="692">
        <f>Q61</f>
        <v/>
      </c>
      <c r="AF61" s="692">
        <f>U61</f>
        <v/>
      </c>
      <c r="AG61" s="692">
        <f>Y61</f>
        <v/>
      </c>
    </row>
    <row r="62" ht="15" customHeight="1" s="223">
      <c r="D62" s="689" t="inlineStr">
        <is>
          <t>Check</t>
        </is>
      </c>
      <c r="F62" s="690">
        <f>F60-F61</f>
        <v/>
      </c>
      <c r="G62" s="690">
        <f>G60-G61</f>
        <v/>
      </c>
      <c r="H62" s="690">
        <f>H60-H61</f>
        <v/>
      </c>
      <c r="I62" s="690">
        <f>I60-I61</f>
        <v/>
      </c>
      <c r="J62" s="690">
        <f>J60-J61</f>
        <v/>
      </c>
      <c r="K62" s="690">
        <f>K60-K61</f>
        <v/>
      </c>
      <c r="L62" s="690">
        <f>L60-L61</f>
        <v/>
      </c>
      <c r="M62" s="690">
        <f>M60-M61</f>
        <v/>
      </c>
      <c r="N62" s="690">
        <f>N60-N61</f>
        <v/>
      </c>
      <c r="O62" s="690">
        <f>O60-O61</f>
        <v/>
      </c>
      <c r="P62" s="690">
        <f>P60-P61</f>
        <v/>
      </c>
      <c r="Q62" s="690">
        <f>Q60-Q61</f>
        <v/>
      </c>
      <c r="R62" s="690">
        <f>R60-R61</f>
        <v/>
      </c>
      <c r="S62" s="690">
        <f>S60-S61</f>
        <v/>
      </c>
      <c r="T62" s="690">
        <f>T60-T61</f>
        <v/>
      </c>
      <c r="U62" s="690">
        <f>U60-U61</f>
        <v/>
      </c>
      <c r="V62" s="690">
        <f>V60-V61</f>
        <v/>
      </c>
      <c r="W62" s="690">
        <f>W60-W61</f>
        <v/>
      </c>
      <c r="X62" s="690">
        <f>X60-X61</f>
        <v/>
      </c>
      <c r="Y62" s="690">
        <f>Y60-Y61</f>
        <v/>
      </c>
      <c r="Z62" s="690">
        <f>Z60-Z61</f>
        <v/>
      </c>
      <c r="AA62" s="690">
        <f>AA60-AA61</f>
        <v/>
      </c>
      <c r="AC62" s="721">
        <f>AC60-AC61</f>
        <v/>
      </c>
      <c r="AD62" s="721">
        <f>AD60-AD61</f>
        <v/>
      </c>
      <c r="AE62" s="721">
        <f>AE60-AE61</f>
        <v/>
      </c>
      <c r="AF62" s="721">
        <f>AF60-AF61</f>
        <v/>
      </c>
      <c r="AG62" s="721">
        <f>AG60-AG61</f>
        <v/>
      </c>
    </row>
    <row r="63" ht="15" customHeight="1" s="223">
      <c r="D63" s="674" t="inlineStr">
        <is>
          <t>Noncontrolling interests</t>
        </is>
      </c>
      <c r="F63" s="678" t="n">
        <v>4</v>
      </c>
      <c r="G63" s="678" t="n">
        <v>8</v>
      </c>
      <c r="H63" s="678" t="n">
        <v>7</v>
      </c>
      <c r="I63" s="678" t="n">
        <v>7</v>
      </c>
      <c r="J63" s="678" t="n">
        <v>5</v>
      </c>
      <c r="K63" s="678" t="n">
        <v>9</v>
      </c>
      <c r="L63" s="678" t="n">
        <v>11</v>
      </c>
      <c r="M63" s="678" t="n">
        <v>10</v>
      </c>
      <c r="N63" s="678" t="n">
        <v>8</v>
      </c>
      <c r="O63" s="678" t="n">
        <v>8</v>
      </c>
      <c r="P63" s="678" t="n">
        <v>9</v>
      </c>
      <c r="Q63" s="678" t="n">
        <v>10</v>
      </c>
      <c r="R63" s="678" t="n">
        <v>3</v>
      </c>
      <c r="S63" s="678" t="n">
        <v>4</v>
      </c>
      <c r="T63" s="678" t="n">
        <v>4</v>
      </c>
      <c r="U63" s="678" t="n">
        <v>4</v>
      </c>
      <c r="V63" s="678" t="n">
        <v>4</v>
      </c>
      <c r="W63" s="678" t="n">
        <v>5</v>
      </c>
      <c r="X63" s="678" t="n">
        <v>5</v>
      </c>
      <c r="Y63" s="678" t="n">
        <v>5</v>
      </c>
      <c r="Z63" s="678" t="n">
        <v>6</v>
      </c>
      <c r="AA63" s="678" t="n">
        <v>7</v>
      </c>
      <c r="AC63" s="679">
        <f>I63</f>
        <v/>
      </c>
      <c r="AD63" s="679">
        <f>M63</f>
        <v/>
      </c>
      <c r="AE63" s="679">
        <f>Q63</f>
        <v/>
      </c>
      <c r="AF63" s="679">
        <f>U63</f>
        <v/>
      </c>
      <c r="AG63" s="679">
        <f>Y63</f>
        <v/>
      </c>
      <c r="AI63" s="676">
        <f>AG63-AF63</f>
        <v/>
      </c>
      <c r="AJ63" s="715">
        <f>IFERROR(AI63/ABS(AF63),0)</f>
        <v/>
      </c>
    </row>
    <row r="64" ht="15" customHeight="1" s="223">
      <c r="D64" s="681" t="inlineStr">
        <is>
          <t>Total equity</t>
        </is>
      </c>
      <c r="E64" s="682" t="n"/>
      <c r="F64" s="716">
        <f>F60+F63</f>
        <v/>
      </c>
      <c r="G64" s="716">
        <f>G60+G63</f>
        <v/>
      </c>
      <c r="H64" s="716">
        <f>H60+H63</f>
        <v/>
      </c>
      <c r="I64" s="716">
        <f>I60+I63</f>
        <v/>
      </c>
      <c r="J64" s="716">
        <f>J60+J63</f>
        <v/>
      </c>
      <c r="K64" s="716">
        <f>K60+K63</f>
        <v/>
      </c>
      <c r="L64" s="716">
        <f>L60+L63</f>
        <v/>
      </c>
      <c r="M64" s="716">
        <f>M60+M63</f>
        <v/>
      </c>
      <c r="N64" s="716">
        <f>N60+N63</f>
        <v/>
      </c>
      <c r="O64" s="716">
        <f>O60+O63</f>
        <v/>
      </c>
      <c r="P64" s="716">
        <f>P60+P63</f>
        <v/>
      </c>
      <c r="Q64" s="716">
        <f>Q60+Q63</f>
        <v/>
      </c>
      <c r="R64" s="716">
        <f>R60+R63</f>
        <v/>
      </c>
      <c r="S64" s="716">
        <f>S60+S63</f>
        <v/>
      </c>
      <c r="T64" s="716">
        <f>T60+T63</f>
        <v/>
      </c>
      <c r="U64" s="716">
        <f>U60+U63</f>
        <v/>
      </c>
      <c r="V64" s="716">
        <f>V60+V63</f>
        <v/>
      </c>
      <c r="W64" s="716">
        <f>W60+W63</f>
        <v/>
      </c>
      <c r="X64" s="716">
        <f>X60+X63</f>
        <v/>
      </c>
      <c r="Y64" s="716">
        <f>Y60+Y63</f>
        <v/>
      </c>
      <c r="Z64" s="716">
        <f>Z60+Z63</f>
        <v/>
      </c>
      <c r="AA64" s="717">
        <f>AA60+AA63</f>
        <v/>
      </c>
      <c r="AC64" s="718">
        <f>AC60+AC63</f>
        <v/>
      </c>
      <c r="AD64" s="716">
        <f>AD60+AD63</f>
        <v/>
      </c>
      <c r="AE64" s="716">
        <f>AE60+AE63</f>
        <v/>
      </c>
      <c r="AF64" s="716">
        <f>AF60+AF63</f>
        <v/>
      </c>
      <c r="AG64" s="717">
        <f>AG60+AG63</f>
        <v/>
      </c>
      <c r="AI64" s="700">
        <f>AG64-AF64</f>
        <v/>
      </c>
      <c r="AJ64" s="719">
        <f>IFERROR(AI64/ABS(AF64),0)</f>
        <v/>
      </c>
    </row>
    <row r="65" ht="15" customHeight="1" s="223">
      <c r="D65" s="687" t="inlineStr">
        <is>
          <t>Total equity</t>
        </is>
      </c>
      <c r="F65" s="720" t="n">
        <v>5429</v>
      </c>
      <c r="G65" s="720" t="n">
        <v>5295</v>
      </c>
      <c r="H65" s="720" t="n">
        <v>5195</v>
      </c>
      <c r="I65" s="720" t="n">
        <v>4443</v>
      </c>
      <c r="J65" s="720" t="n">
        <v>4189</v>
      </c>
      <c r="K65" s="720" t="n">
        <v>3882</v>
      </c>
      <c r="L65" s="720" t="n">
        <v>3254</v>
      </c>
      <c r="M65" s="720" t="n">
        <v>3353</v>
      </c>
      <c r="N65" s="720" t="n">
        <v>3467</v>
      </c>
      <c r="O65" s="720" t="n">
        <v>3392</v>
      </c>
      <c r="P65" s="720" t="n">
        <v>2798</v>
      </c>
      <c r="Q65" s="720" t="n">
        <v>2548</v>
      </c>
      <c r="R65" s="720" t="n">
        <v>2381</v>
      </c>
      <c r="S65" s="720" t="n">
        <v>2365</v>
      </c>
      <c r="T65" s="720" t="n">
        <v>1307</v>
      </c>
      <c r="U65" s="720" t="n">
        <v>1080</v>
      </c>
      <c r="V65" s="720" t="n">
        <v>1057</v>
      </c>
      <c r="W65" s="720" t="n">
        <v>1127</v>
      </c>
      <c r="X65" s="720" t="n">
        <v>370</v>
      </c>
      <c r="Y65" s="720" t="n">
        <v>449</v>
      </c>
      <c r="Z65" s="720" t="n">
        <v>305</v>
      </c>
      <c r="AA65" s="720" t="n">
        <v>330</v>
      </c>
      <c r="AC65" s="692">
        <f>I65</f>
        <v/>
      </c>
      <c r="AD65" s="692">
        <f>M65</f>
        <v/>
      </c>
      <c r="AE65" s="692">
        <f>Q65</f>
        <v/>
      </c>
      <c r="AF65" s="692">
        <f>U65</f>
        <v/>
      </c>
      <c r="AG65" s="692">
        <f>Y65</f>
        <v/>
      </c>
    </row>
    <row r="66" ht="15" customHeight="1" s="223">
      <c r="D66" s="689" t="inlineStr">
        <is>
          <t>Check</t>
        </is>
      </c>
      <c r="F66" s="690">
        <f>F64-F65</f>
        <v/>
      </c>
      <c r="G66" s="690">
        <f>G64-G65</f>
        <v/>
      </c>
      <c r="H66" s="690">
        <f>H64-H65</f>
        <v/>
      </c>
      <c r="I66" s="690">
        <f>I64-I65</f>
        <v/>
      </c>
      <c r="J66" s="690">
        <f>J64-J65</f>
        <v/>
      </c>
      <c r="K66" s="690">
        <f>K64-K65</f>
        <v/>
      </c>
      <c r="L66" s="690">
        <f>L64-L65</f>
        <v/>
      </c>
      <c r="M66" s="690">
        <f>M64-M65</f>
        <v/>
      </c>
      <c r="N66" s="690">
        <f>N64-N65</f>
        <v/>
      </c>
      <c r="O66" s="690">
        <f>O64-O65</f>
        <v/>
      </c>
      <c r="P66" s="690">
        <f>P64-P65</f>
        <v/>
      </c>
      <c r="Q66" s="690">
        <f>Q64-Q65</f>
        <v/>
      </c>
      <c r="R66" s="690">
        <f>R64-R65</f>
        <v/>
      </c>
      <c r="S66" s="690">
        <f>S64-S65</f>
        <v/>
      </c>
      <c r="T66" s="690">
        <f>T64-T65</f>
        <v/>
      </c>
      <c r="U66" s="690">
        <f>U64-U65</f>
        <v/>
      </c>
      <c r="V66" s="690">
        <f>V64-V65</f>
        <v/>
      </c>
      <c r="W66" s="690">
        <f>W64-W65</f>
        <v/>
      </c>
      <c r="X66" s="690">
        <f>X64-X65</f>
        <v/>
      </c>
      <c r="Y66" s="690">
        <f>Y64-Y65</f>
        <v/>
      </c>
      <c r="Z66" s="690">
        <f>Z64-Z65</f>
        <v/>
      </c>
      <c r="AA66" s="690">
        <f>AA64-AA65</f>
        <v/>
      </c>
      <c r="AC66" s="721">
        <f>AC64-AC65</f>
        <v/>
      </c>
      <c r="AD66" s="721">
        <f>AD64-AD65</f>
        <v/>
      </c>
      <c r="AE66" s="721">
        <f>AE64-AE65</f>
        <v/>
      </c>
      <c r="AF66" s="721">
        <f>AF64-AF65</f>
        <v/>
      </c>
      <c r="AG66" s="721">
        <f>AG64-AG65</f>
        <v/>
      </c>
    </row>
    <row r="67" ht="3" customHeight="1" s="223"/>
    <row r="68" ht="15" customHeight="1" s="223">
      <c r="D68" s="681" t="inlineStr">
        <is>
          <t>Total liabilities and equity</t>
        </is>
      </c>
      <c r="E68" s="682" t="n"/>
      <c r="F68" s="716">
        <f>F47+F52+F53+F64</f>
        <v/>
      </c>
      <c r="G68" s="716">
        <f>G47+G52+G53+G64</f>
        <v/>
      </c>
      <c r="H68" s="716">
        <f>H47+H52+H53+H64</f>
        <v/>
      </c>
      <c r="I68" s="716">
        <f>I47+I52+I53+I64</f>
        <v/>
      </c>
      <c r="J68" s="716">
        <f>J47+J52+J53+J64</f>
        <v/>
      </c>
      <c r="K68" s="716">
        <f>K47+K52+K53+K64</f>
        <v/>
      </c>
      <c r="L68" s="716">
        <f>L47+L52+L53+L64</f>
        <v/>
      </c>
      <c r="M68" s="716">
        <f>M47+M52+M53+M64</f>
        <v/>
      </c>
      <c r="N68" s="716">
        <f>N47+N52+N53+N64</f>
        <v/>
      </c>
      <c r="O68" s="716">
        <f>O47+O52+O53+O64</f>
        <v/>
      </c>
      <c r="P68" s="716">
        <f>P47+P52+P53+P64</f>
        <v/>
      </c>
      <c r="Q68" s="716">
        <f>Q47+Q52+Q53+Q64</f>
        <v/>
      </c>
      <c r="R68" s="716">
        <f>R47+R52+R53+R64</f>
        <v/>
      </c>
      <c r="S68" s="716">
        <f>S47+S52+S53+S64</f>
        <v/>
      </c>
      <c r="T68" s="716">
        <f>T47+T52+T53+T64</f>
        <v/>
      </c>
      <c r="U68" s="716">
        <f>U47+U52+U53+U64</f>
        <v/>
      </c>
      <c r="V68" s="716">
        <f>V47+V52+V53+V64</f>
        <v/>
      </c>
      <c r="W68" s="716">
        <f>W47+W52+W53+W64</f>
        <v/>
      </c>
      <c r="X68" s="716">
        <f>X47+X52+X53+X64</f>
        <v/>
      </c>
      <c r="Y68" s="716">
        <f>Y47+Y52+Y53+Y64</f>
        <v/>
      </c>
      <c r="Z68" s="716">
        <f>Z47+Z52+Z53+Z64</f>
        <v/>
      </c>
      <c r="AA68" s="717">
        <f>AA47+AA52+AA53+AA64</f>
        <v/>
      </c>
      <c r="AC68" s="718">
        <f>AC47+AC52+AC53+AC64</f>
        <v/>
      </c>
      <c r="AD68" s="716">
        <f>AD47+AD52+AD53+AD64</f>
        <v/>
      </c>
      <c r="AE68" s="716">
        <f>AE47+AE52+AE53+AE64</f>
        <v/>
      </c>
      <c r="AF68" s="716">
        <f>AF47+AF52+AF53+AF64</f>
        <v/>
      </c>
      <c r="AG68" s="717">
        <f>AG47+AG52+AG53+AG64</f>
        <v/>
      </c>
      <c r="AI68" s="700">
        <f>AG68-AF68</f>
        <v/>
      </c>
      <c r="AJ68" s="719">
        <f>IFERROR(AI68/ABS(AF68),0)</f>
        <v/>
      </c>
    </row>
    <row r="69" ht="15" customHeight="1" s="223">
      <c r="D69" s="687" t="inlineStr">
        <is>
          <t>Total liabilities and equity</t>
        </is>
      </c>
      <c r="F69" s="720" t="n">
        <v>14272</v>
      </c>
      <c r="G69" s="720" t="n">
        <v>14110</v>
      </c>
      <c r="H69" s="720" t="n">
        <v>14081</v>
      </c>
      <c r="I69" s="720" t="n">
        <v>13223</v>
      </c>
      <c r="J69" s="720" t="n">
        <v>13082</v>
      </c>
      <c r="K69" s="720" t="n">
        <v>12270</v>
      </c>
      <c r="L69" s="720" t="n">
        <v>11420</v>
      </c>
      <c r="M69" s="720" t="n">
        <v>11543</v>
      </c>
      <c r="N69" s="720" t="n">
        <v>11046</v>
      </c>
      <c r="O69" s="720" t="n">
        <v>10569</v>
      </c>
      <c r="P69" s="720" t="n">
        <v>10444</v>
      </c>
      <c r="Q69" s="720" t="n">
        <v>10008</v>
      </c>
      <c r="R69" s="720" t="n">
        <v>9944</v>
      </c>
      <c r="S69" s="720" t="n">
        <v>9491</v>
      </c>
      <c r="T69" s="720" t="n">
        <v>8322</v>
      </c>
      <c r="U69" s="720" t="n">
        <v>8365</v>
      </c>
      <c r="V69" s="720" t="n">
        <v>8211</v>
      </c>
      <c r="W69" s="720" t="n">
        <v>8874</v>
      </c>
      <c r="X69" s="720" t="n">
        <v>10068</v>
      </c>
      <c r="Y69" s="720" t="n">
        <v>9823</v>
      </c>
      <c r="Z69" s="720" t="n">
        <v>9902</v>
      </c>
      <c r="AA69" s="720" t="n">
        <v>9724</v>
      </c>
      <c r="AC69" s="679" t="n"/>
      <c r="AD69" s="679" t="n"/>
      <c r="AE69" s="679" t="n"/>
      <c r="AF69" s="679" t="n"/>
      <c r="AG69" s="679" t="n"/>
    </row>
    <row r="70" ht="15" customHeight="1" s="223">
      <c r="D70" s="689" t="inlineStr">
        <is>
          <t>Check</t>
        </is>
      </c>
      <c r="F70" s="693">
        <f>F68-F69</f>
        <v/>
      </c>
      <c r="G70" s="693">
        <f>G68-G69</f>
        <v/>
      </c>
      <c r="H70" s="693">
        <f>H68-H69</f>
        <v/>
      </c>
      <c r="I70" s="693">
        <f>I68-I69</f>
        <v/>
      </c>
      <c r="J70" s="693">
        <f>J68-J69</f>
        <v/>
      </c>
      <c r="K70" s="693">
        <f>K68-K69</f>
        <v/>
      </c>
      <c r="L70" s="693">
        <f>L68-L69</f>
        <v/>
      </c>
      <c r="M70" s="693">
        <f>M68-M69</f>
        <v/>
      </c>
      <c r="N70" s="693">
        <f>N68-N69</f>
        <v/>
      </c>
      <c r="O70" s="693">
        <f>O68-O69</f>
        <v/>
      </c>
      <c r="P70" s="693">
        <f>P68-P69</f>
        <v/>
      </c>
      <c r="Q70" s="693">
        <f>Q68-Q69</f>
        <v/>
      </c>
      <c r="R70" s="693">
        <f>R68-R69</f>
        <v/>
      </c>
      <c r="S70" s="693">
        <f>S68-S69</f>
        <v/>
      </c>
      <c r="T70" s="693">
        <f>T68-T69</f>
        <v/>
      </c>
      <c r="U70" s="693">
        <f>U68-U69</f>
        <v/>
      </c>
      <c r="V70" s="693">
        <f>V68-V69</f>
        <v/>
      </c>
      <c r="W70" s="693">
        <f>W68-W69</f>
        <v/>
      </c>
      <c r="X70" s="693">
        <f>X68-X69</f>
        <v/>
      </c>
      <c r="Y70" s="693">
        <f>Y68-Y69</f>
        <v/>
      </c>
      <c r="Z70" s="693">
        <f>Z68-Z69</f>
        <v/>
      </c>
      <c r="AA70" s="693">
        <f>AA68-AA69</f>
        <v/>
      </c>
      <c r="AC70" s="694" t="n"/>
      <c r="AD70" s="694" t="n"/>
      <c r="AE70" s="694" t="n"/>
      <c r="AF70" s="694" t="n"/>
      <c r="AG70" s="694" t="n"/>
    </row>
    <row r="71" ht="15" customHeight="1" s="223">
      <c r="D71" s="689" t="inlineStr">
        <is>
          <t>A=L+SE Check</t>
        </is>
      </c>
      <c r="F71" s="693">
        <f>F29-F68</f>
        <v/>
      </c>
      <c r="G71" s="693">
        <f>G29-G68</f>
        <v/>
      </c>
      <c r="H71" s="693">
        <f>H29-H68</f>
        <v/>
      </c>
      <c r="I71" s="693">
        <f>I29-I68</f>
        <v/>
      </c>
      <c r="J71" s="693">
        <f>J29-J68</f>
        <v/>
      </c>
      <c r="K71" s="693">
        <f>K29-K68</f>
        <v/>
      </c>
      <c r="L71" s="693">
        <f>L29-L68</f>
        <v/>
      </c>
      <c r="M71" s="693">
        <f>M29-M68</f>
        <v/>
      </c>
      <c r="N71" s="693">
        <f>N29-N68</f>
        <v/>
      </c>
      <c r="O71" s="693">
        <f>O29-O68</f>
        <v/>
      </c>
      <c r="P71" s="693">
        <f>P29-P68</f>
        <v/>
      </c>
      <c r="Q71" s="693">
        <f>Q29-Q68</f>
        <v/>
      </c>
      <c r="R71" s="693">
        <f>R29-R68</f>
        <v/>
      </c>
      <c r="S71" s="693">
        <f>S29-S68</f>
        <v/>
      </c>
      <c r="T71" s="693">
        <f>T29-T68</f>
        <v/>
      </c>
      <c r="U71" s="693">
        <f>U29-U68</f>
        <v/>
      </c>
      <c r="V71" s="693">
        <f>V29-V68</f>
        <v/>
      </c>
      <c r="W71" s="693">
        <f>W29-W68</f>
        <v/>
      </c>
      <c r="X71" s="693">
        <f>X29-X68</f>
        <v/>
      </c>
      <c r="Y71" s="693">
        <f>Y29-Y68</f>
        <v/>
      </c>
      <c r="Z71" s="693">
        <f>Z29-Z68</f>
        <v/>
      </c>
      <c r="AA71" s="693">
        <f>AA29-AA68</f>
        <v/>
      </c>
      <c r="AC71" s="693">
        <f>AC29-AC68</f>
        <v/>
      </c>
      <c r="AD71" s="693">
        <f>AD29-AD68</f>
        <v/>
      </c>
      <c r="AE71" s="693">
        <f>AE29-AE68</f>
        <v/>
      </c>
      <c r="AF71" s="693">
        <f>AF29-AF68</f>
        <v/>
      </c>
      <c r="AG71" s="693">
        <f>AG29-AG68</f>
        <v/>
      </c>
    </row>
    <row r="72" ht="4.5" customHeight="1" s="223"/>
    <row r="73" ht="15" customHeight="1" s="223">
      <c r="D73" s="673" t="inlineStr">
        <is>
          <t>MEMO (cross-statement links)</t>
        </is>
      </c>
    </row>
    <row r="74" ht="15" customHeight="1" s="223">
      <c r="D74" s="674" t="inlineStr">
        <is>
          <t>Total debt (short-term + long-term)</t>
        </is>
      </c>
      <c r="F74" s="676">
        <f>F35+F43</f>
        <v/>
      </c>
      <c r="G74" s="676">
        <f>G35+G43</f>
        <v/>
      </c>
      <c r="H74" s="676">
        <f>H35+H43</f>
        <v/>
      </c>
      <c r="I74" s="676">
        <f>I35+I43</f>
        <v/>
      </c>
      <c r="J74" s="676">
        <f>J35+J43</f>
        <v/>
      </c>
      <c r="K74" s="676">
        <f>K35+K43</f>
        <v/>
      </c>
      <c r="L74" s="676">
        <f>L35+L43</f>
        <v/>
      </c>
      <c r="M74" s="676">
        <f>M35+M43</f>
        <v/>
      </c>
      <c r="N74" s="676">
        <f>N35+N43</f>
        <v/>
      </c>
      <c r="O74" s="676">
        <f>O35+O43</f>
        <v/>
      </c>
      <c r="P74" s="676">
        <f>P35+P43</f>
        <v/>
      </c>
      <c r="Q74" s="676">
        <f>Q35+Q43</f>
        <v/>
      </c>
      <c r="R74" s="676">
        <f>R35+R43</f>
        <v/>
      </c>
      <c r="S74" s="676">
        <f>S35+S43</f>
        <v/>
      </c>
      <c r="T74" s="676">
        <f>T35+T43</f>
        <v/>
      </c>
      <c r="U74" s="676">
        <f>U35+U43</f>
        <v/>
      </c>
      <c r="V74" s="676">
        <f>V35+V43</f>
        <v/>
      </c>
      <c r="W74" s="676">
        <f>W35+W43</f>
        <v/>
      </c>
      <c r="X74" s="676">
        <f>X35+X43</f>
        <v/>
      </c>
      <c r="Y74" s="676">
        <f>Y35+Y43</f>
        <v/>
      </c>
      <c r="Z74" s="676">
        <f>Z35+Z43</f>
        <v/>
      </c>
      <c r="AA74" s="676">
        <f>AA35+AA43</f>
        <v/>
      </c>
      <c r="AC74" s="676">
        <f>AC35+AC43</f>
        <v/>
      </c>
      <c r="AD74" s="676">
        <f>AD35+AD43</f>
        <v/>
      </c>
      <c r="AE74" s="676">
        <f>AE35+AE43</f>
        <v/>
      </c>
      <c r="AF74" s="676">
        <f>AF35+AF43</f>
        <v/>
      </c>
      <c r="AG74" s="676">
        <f>AG35+AG43</f>
        <v/>
      </c>
      <c r="AI74" s="676">
        <f>AG74-AF74</f>
        <v/>
      </c>
      <c r="AJ74" s="715">
        <f>IFERROR(AI74/ABS(AF74),0)</f>
        <v/>
      </c>
    </row>
    <row r="75" ht="15" customHeight="1" s="223">
      <c r="D75" s="674" t="inlineStr">
        <is>
          <t>Net debt (total debt less cash)</t>
        </is>
      </c>
      <c r="F75" s="679">
        <f>F74-F13</f>
        <v/>
      </c>
      <c r="G75" s="679">
        <f>G74-G13</f>
        <v/>
      </c>
      <c r="H75" s="679">
        <f>H74-H13</f>
        <v/>
      </c>
      <c r="I75" s="679">
        <f>I74-I13</f>
        <v/>
      </c>
      <c r="J75" s="679">
        <f>J74-J13</f>
        <v/>
      </c>
      <c r="K75" s="679">
        <f>K74-K13</f>
        <v/>
      </c>
      <c r="L75" s="679">
        <f>L74-L13</f>
        <v/>
      </c>
      <c r="M75" s="679">
        <f>M74-M13</f>
        <v/>
      </c>
      <c r="N75" s="679">
        <f>N74-N13</f>
        <v/>
      </c>
      <c r="O75" s="679">
        <f>O74-O13</f>
        <v/>
      </c>
      <c r="P75" s="679">
        <f>P74-P13</f>
        <v/>
      </c>
      <c r="Q75" s="679">
        <f>Q74-Q13</f>
        <v/>
      </c>
      <c r="R75" s="679">
        <f>R74-R13</f>
        <v/>
      </c>
      <c r="S75" s="679">
        <f>S74-S13</f>
        <v/>
      </c>
      <c r="T75" s="679">
        <f>T74-T13</f>
        <v/>
      </c>
      <c r="U75" s="679">
        <f>U74-U13</f>
        <v/>
      </c>
      <c r="V75" s="679">
        <f>V74-V13</f>
        <v/>
      </c>
      <c r="W75" s="679">
        <f>W74-W13</f>
        <v/>
      </c>
      <c r="X75" s="679">
        <f>X74-X13</f>
        <v/>
      </c>
      <c r="Y75" s="679">
        <f>Y74-Y13</f>
        <v/>
      </c>
      <c r="Z75" s="679">
        <f>Z74-Z13</f>
        <v/>
      </c>
      <c r="AA75" s="679">
        <f>AA74-AA13</f>
        <v/>
      </c>
      <c r="AC75" s="679">
        <f>AC74-AC13</f>
        <v/>
      </c>
      <c r="AD75" s="679">
        <f>AD74-AD13</f>
        <v/>
      </c>
      <c r="AE75" s="679">
        <f>AE74-AE13</f>
        <v/>
      </c>
      <c r="AF75" s="679">
        <f>AF74-AF13</f>
        <v/>
      </c>
      <c r="AG75" s="679">
        <f>AG74-AG13</f>
        <v/>
      </c>
      <c r="AI75" s="676">
        <f>AG75-AF75</f>
        <v/>
      </c>
      <c r="AJ75" s="715">
        <f>IFERROR(AI75/ABS(AF75),0)</f>
        <v/>
      </c>
    </row>
    <row r="76" ht="15" customHeight="1" s="223">
      <c r="D76" s="674" t="inlineStr">
        <is>
          <t>Cash, cash equivalents and restricted cash (per CFS)</t>
        </is>
      </c>
      <c r="F76" s="675">
        <f>CFS!F76</f>
        <v/>
      </c>
      <c r="G76" s="675">
        <f>CFS!G76</f>
        <v/>
      </c>
      <c r="H76" s="675">
        <f>CFS!H76</f>
        <v/>
      </c>
      <c r="I76" s="675">
        <f>CFS!I76</f>
        <v/>
      </c>
      <c r="J76" s="675">
        <f>CFS!J76</f>
        <v/>
      </c>
      <c r="K76" s="675">
        <f>CFS!K76</f>
        <v/>
      </c>
      <c r="L76" s="675">
        <f>CFS!L76</f>
        <v/>
      </c>
      <c r="M76" s="675">
        <f>CFS!M76</f>
        <v/>
      </c>
      <c r="N76" s="675">
        <f>CFS!N76</f>
        <v/>
      </c>
      <c r="O76" s="675">
        <f>CFS!O76</f>
        <v/>
      </c>
      <c r="P76" s="675">
        <f>CFS!P76</f>
        <v/>
      </c>
      <c r="Q76" s="675">
        <f>CFS!Q76</f>
        <v/>
      </c>
      <c r="R76" s="675">
        <f>CFS!R76</f>
        <v/>
      </c>
      <c r="S76" s="675">
        <f>CFS!S76</f>
        <v/>
      </c>
      <c r="T76" s="675">
        <f>CFS!T76</f>
        <v/>
      </c>
      <c r="U76" s="675">
        <f>CFS!U76</f>
        <v/>
      </c>
      <c r="V76" s="675">
        <f>CFS!V76</f>
        <v/>
      </c>
      <c r="W76" s="675">
        <f>CFS!W76</f>
        <v/>
      </c>
      <c r="X76" s="675">
        <f>CFS!X76</f>
        <v/>
      </c>
      <c r="Y76" s="675">
        <f>CFS!Y76</f>
        <v/>
      </c>
      <c r="Z76" s="675">
        <f>CFS!Z76</f>
        <v/>
      </c>
      <c r="AA76" s="675">
        <f>CFS!AA76</f>
        <v/>
      </c>
      <c r="AC76" s="675">
        <f>CFS!AC76</f>
        <v/>
      </c>
      <c r="AD76" s="675">
        <f>CFS!AD76</f>
        <v/>
      </c>
      <c r="AE76" s="675">
        <f>CFS!AE76</f>
        <v/>
      </c>
      <c r="AF76" s="675">
        <f>CFS!AF76</f>
        <v/>
      </c>
      <c r="AG76" s="675">
        <f>CFS!AG76</f>
        <v/>
      </c>
      <c r="AI76" s="676">
        <f>AG76-AF76</f>
        <v/>
      </c>
      <c r="AJ76" s="715">
        <f>IFERROR(AI76/ABS(AF76),0)</f>
        <v/>
      </c>
    </row>
    <row r="77" ht="15" customHeight="1" s="223">
      <c r="D77" s="674" t="inlineStr">
        <is>
          <t>Restricted cash (CFS cash less BS cash)</t>
        </is>
      </c>
      <c r="F77" s="679">
        <f>F76-F13</f>
        <v/>
      </c>
      <c r="G77" s="679">
        <f>G76-G13</f>
        <v/>
      </c>
      <c r="H77" s="679">
        <f>H76-H13</f>
        <v/>
      </c>
      <c r="I77" s="679">
        <f>I76-I13</f>
        <v/>
      </c>
      <c r="J77" s="679">
        <f>J76-J13</f>
        <v/>
      </c>
      <c r="K77" s="679">
        <f>K76-K13</f>
        <v/>
      </c>
      <c r="L77" s="679">
        <f>L76-L13</f>
        <v/>
      </c>
      <c r="M77" s="679">
        <f>M76-M13</f>
        <v/>
      </c>
      <c r="N77" s="679">
        <f>N76-N13</f>
        <v/>
      </c>
      <c r="O77" s="679">
        <f>O76-O13</f>
        <v/>
      </c>
      <c r="P77" s="679">
        <f>P76-P13</f>
        <v/>
      </c>
      <c r="Q77" s="679">
        <f>Q76-Q13</f>
        <v/>
      </c>
      <c r="R77" s="679">
        <f>R76-R13</f>
        <v/>
      </c>
      <c r="S77" s="679">
        <f>S76-S13</f>
        <v/>
      </c>
      <c r="T77" s="679">
        <f>T76-T13</f>
        <v/>
      </c>
      <c r="U77" s="679">
        <f>U76-U13</f>
        <v/>
      </c>
      <c r="V77" s="679">
        <f>V76-V13</f>
        <v/>
      </c>
      <c r="W77" s="679">
        <f>W76-W13</f>
        <v/>
      </c>
      <c r="X77" s="679">
        <f>X76-X13</f>
        <v/>
      </c>
      <c r="Y77" s="679">
        <f>Y76-Y13</f>
        <v/>
      </c>
      <c r="Z77" s="679">
        <f>Z76-Z13</f>
        <v/>
      </c>
      <c r="AA77" s="679">
        <f>AA76-AA13</f>
        <v/>
      </c>
      <c r="AC77" s="679">
        <f>AC76-AC13</f>
        <v/>
      </c>
      <c r="AD77" s="679">
        <f>AD76-AD13</f>
        <v/>
      </c>
      <c r="AE77" s="679">
        <f>AE76-AE13</f>
        <v/>
      </c>
      <c r="AF77" s="679">
        <f>AF76-AF13</f>
        <v/>
      </c>
      <c r="AG77" s="679">
        <f>AG76-AG13</f>
        <v/>
      </c>
      <c r="AI77" s="676">
        <f>AG77-AF77</f>
        <v/>
      </c>
      <c r="AJ77" s="715">
        <f>IFERROR(AI77/ABS(AF77),0)</f>
        <v/>
      </c>
    </row>
    <row r="78" ht="15" customHeight="1" s="223">
      <c r="D78" s="674" t="inlineStr">
        <is>
          <t>Total finance receivables (billed + current + long-term)</t>
        </is>
      </c>
      <c r="F78" s="679">
        <f>F15+F16+F22</f>
        <v/>
      </c>
      <c r="G78" s="679">
        <f>G15+G16+G22</f>
        <v/>
      </c>
      <c r="H78" s="679">
        <f>H15+H16+H22</f>
        <v/>
      </c>
      <c r="I78" s="679">
        <f>I15+I16+I22</f>
        <v/>
      </c>
      <c r="J78" s="679">
        <f>J15+J16+J22</f>
        <v/>
      </c>
      <c r="K78" s="679">
        <f>K15+K16+K22</f>
        <v/>
      </c>
      <c r="L78" s="679">
        <f>L15+L16+L22</f>
        <v/>
      </c>
      <c r="M78" s="679">
        <f>M15+M16+M22</f>
        <v/>
      </c>
      <c r="N78" s="679">
        <f>N15+N16+N22</f>
        <v/>
      </c>
      <c r="O78" s="679">
        <f>O15+O16+O22</f>
        <v/>
      </c>
      <c r="P78" s="679">
        <f>P15+P16+P22</f>
        <v/>
      </c>
      <c r="Q78" s="679">
        <f>Q15+Q16+Q22</f>
        <v/>
      </c>
      <c r="R78" s="679">
        <f>R15+R16+R22</f>
        <v/>
      </c>
      <c r="S78" s="679">
        <f>S15+S16+S22</f>
        <v/>
      </c>
      <c r="T78" s="679">
        <f>T15+T16+T22</f>
        <v/>
      </c>
      <c r="U78" s="679">
        <f>U15+U16+U22</f>
        <v/>
      </c>
      <c r="V78" s="679">
        <f>V15+V16+V22</f>
        <v/>
      </c>
      <c r="W78" s="679">
        <f>W15+W16+W22</f>
        <v/>
      </c>
      <c r="X78" s="679">
        <f>X15+X16+X22</f>
        <v/>
      </c>
      <c r="Y78" s="679">
        <f>Y15+Y16+Y22</f>
        <v/>
      </c>
      <c r="Z78" s="679">
        <f>Z15+Z16+Z22</f>
        <v/>
      </c>
      <c r="AA78" s="679">
        <f>AA15+AA16+AA22</f>
        <v/>
      </c>
      <c r="AC78" s="679">
        <f>AC15+AC16+AC22</f>
        <v/>
      </c>
      <c r="AD78" s="679">
        <f>AD15+AD16+AD22</f>
        <v/>
      </c>
      <c r="AE78" s="679">
        <f>AE15+AE16+AE22</f>
        <v/>
      </c>
      <c r="AF78" s="679">
        <f>AF15+AF16+AF22</f>
        <v/>
      </c>
      <c r="AG78" s="679">
        <f>AG15+AG16+AG22</f>
        <v/>
      </c>
      <c r="AI78" s="676">
        <f>AG78-AF78</f>
        <v/>
      </c>
      <c r="AJ78" s="715">
        <f>IFERROR(AI78/ABS(AF78),0)</f>
        <v/>
      </c>
    </row>
    <row r="79" ht="15" customHeight="1" s="223">
      <c r="D79" s="674" t="inlineStr">
        <is>
          <t>Net working capital (AR + inventories + other CA - AP - accruals)</t>
        </is>
      </c>
      <c r="F79" s="679">
        <f>F14+F17+F18-F37-F38-F39</f>
        <v/>
      </c>
      <c r="G79" s="679">
        <f>G14+G17+G18-G37-G38-G39</f>
        <v/>
      </c>
      <c r="H79" s="679">
        <f>H14+H17+H18-H37-H38-H39</f>
        <v/>
      </c>
      <c r="I79" s="679">
        <f>I14+I17+I18-I37-I38-I39</f>
        <v/>
      </c>
      <c r="J79" s="679">
        <f>J14+J17+J18-J37-J38-J39</f>
        <v/>
      </c>
      <c r="K79" s="679">
        <f>K14+K17+K18-K37-K38-K39</f>
        <v/>
      </c>
      <c r="L79" s="679">
        <f>L14+L17+L18-L37-L38-L39</f>
        <v/>
      </c>
      <c r="M79" s="679">
        <f>M14+M17+M18-M37-M38-M39</f>
        <v/>
      </c>
      <c r="N79" s="679">
        <f>N14+N17+N18-N37-N38-N39</f>
        <v/>
      </c>
      <c r="O79" s="679">
        <f>O14+O17+O18-O37-O38-O39</f>
        <v/>
      </c>
      <c r="P79" s="679">
        <f>P14+P17+P18-P37-P38-P39</f>
        <v/>
      </c>
      <c r="Q79" s="679">
        <f>Q14+Q17+Q18-Q37-Q38-Q39</f>
        <v/>
      </c>
      <c r="R79" s="679">
        <f>R14+R17+R18-R37-R38-R39</f>
        <v/>
      </c>
      <c r="S79" s="679">
        <f>S14+S17+S18-S37-S38-S39</f>
        <v/>
      </c>
      <c r="T79" s="679">
        <f>T14+T17+T18-T37-T38-T39</f>
        <v/>
      </c>
      <c r="U79" s="679">
        <f>U14+U17+U18-U37-U38-U39</f>
        <v/>
      </c>
      <c r="V79" s="679">
        <f>V14+V17+V18-V37-V38-V39</f>
        <v/>
      </c>
      <c r="W79" s="679">
        <f>W14+W17+W18-W37-W38-W39</f>
        <v/>
      </c>
      <c r="X79" s="679">
        <f>X14+X17+X18-X37-X38-X39</f>
        <v/>
      </c>
      <c r="Y79" s="679">
        <f>Y14+Y17+Y18-Y37-Y38-Y39</f>
        <v/>
      </c>
      <c r="Z79" s="679">
        <f>Z14+Z17+Z18-Z37-Z38-Z39</f>
        <v/>
      </c>
      <c r="AA79" s="679">
        <f>AA14+AA17+AA18-AA37-AA38-AA39</f>
        <v/>
      </c>
      <c r="AC79" s="679">
        <f>AC14+AC17+AC18-AC37-AC38-AC39</f>
        <v/>
      </c>
      <c r="AD79" s="679">
        <f>AD14+AD17+AD18-AD37-AD38-AD39</f>
        <v/>
      </c>
      <c r="AE79" s="679">
        <f>AE14+AE17+AE18-AE37-AE38-AE39</f>
        <v/>
      </c>
      <c r="AF79" s="679">
        <f>AF14+AF17+AF18-AF37-AF38-AF39</f>
        <v/>
      </c>
      <c r="AG79" s="679">
        <f>AG14+AG17+AG18-AG37-AG38-AG39</f>
        <v/>
      </c>
      <c r="AI79" s="676">
        <f>AG79-AF79</f>
        <v/>
      </c>
      <c r="AJ79" s="715">
        <f>IFERROR(AI79/ABS(AF79),0)</f>
        <v/>
      </c>
    </row>
    <row r="80"/>
    <row r="81" ht="15" customHeight="1" s="223">
      <c r="D81" s="673" t="inlineStr">
        <is>
          <t>Notes:</t>
        </is>
      </c>
    </row>
    <row r="82" ht="15" customHeight="1" s="223">
      <c r="D82" s="674" t="inlineStr">
        <is>
          <t>(1) Every quarter-end is taken from that period's own 10-Q (or the 10-K for Q4), as originally filed. Annual columns link to each year's Q4.</t>
        </is>
      </c>
    </row>
    <row r="83" ht="15" customHeight="1" s="223">
      <c r="D83" s="674" t="inlineStr">
        <is>
          <t>(2) Lexmark acquired July 1, 2025: step-ups in receivables, inventories, PP&amp;E, intangibles, payables and debt from 3Q'25.</t>
        </is>
      </c>
    </row>
    <row r="84" ht="15" customHeight="1" s="223">
      <c r="D84" s="674" t="inlineStr">
        <is>
          <t>(3) Convertible preferred stock and a small noncontrolling interest are temporary equity, outside Total equity but inside Total liabilities and equity.</t>
        </is>
      </c>
    </row>
    <row r="85" ht="15" customHeight="1" s="223">
      <c r="D85" s="674" t="inlineStr">
        <is>
          <t>(4) Variance columns compare FY2025 with FY2024.</t>
        </is>
      </c>
    </row>
  </sheetData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K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7" customWidth="1" style="222" min="1" max="3"/>
    <col width="48" customWidth="1" style="222" min="4" max="4"/>
    <col hidden="1" width="11.7" customWidth="1" style="222" min="5" max="5"/>
    <col width="12.7" customWidth="1" style="222" min="6" max="9"/>
    <col width="10.5" customWidth="1" style="223" min="7" max="7"/>
    <col width="10.5" customWidth="1" style="223" min="8" max="8"/>
    <col width="10.5" customWidth="1" style="223" min="9" max="9"/>
    <col width="11" customWidth="1" style="222" min="10" max="11"/>
    <col width="10.5" customWidth="1" style="223" min="11" max="11"/>
    <col width="2.08" customWidth="1" style="222" min="12" max="12"/>
  </cols>
  <sheetData>
    <row r="1">
      <c r="A1" s="671">
        <f>D3</f>
        <v/>
      </c>
      <c r="B1" s="597">
        <f>'Cover Page'!A1</f>
        <v/>
      </c>
    </row>
    <row r="2"/>
    <row r="3" ht="15" customHeight="1" s="223">
      <c r="A3" s="600" t="n"/>
      <c r="B3" s="600" t="n"/>
      <c r="C3" s="600" t="n"/>
      <c r="D3" s="601" t="inlineStr">
        <is>
          <t>Balance Sheet Summary</t>
        </is>
      </c>
      <c r="E3" s="602" t="n"/>
      <c r="F3" s="602" t="n"/>
      <c r="G3" s="602" t="n"/>
      <c r="H3" s="602" t="n"/>
      <c r="I3" s="602" t="n"/>
      <c r="J3" s="602" t="n"/>
      <c r="K3" s="603" t="n"/>
    </row>
    <row r="4" ht="15" customHeight="1" s="223">
      <c r="A4" s="600" t="n"/>
      <c r="B4" s="600" t="n"/>
      <c r="C4" s="600" t="n"/>
      <c r="D4" s="604" t="inlineStr">
        <is>
          <t>Xerox Holdings Corporation – All values in $ millions (USD), except per-share values. Data as of June 30, 2026 (2Q'26).</t>
        </is>
      </c>
      <c r="E4" s="605" t="n"/>
      <c r="F4" s="605" t="n"/>
      <c r="G4" s="605" t="n"/>
      <c r="H4" s="605" t="n"/>
      <c r="I4" s="605" t="n"/>
      <c r="J4" s="605" t="n"/>
      <c r="K4" s="606" t="n"/>
    </row>
    <row r="5" ht="15" customHeight="1" s="223">
      <c r="A5" s="600" t="n"/>
      <c r="B5" s="600" t="n"/>
      <c r="C5" s="600" t="n"/>
      <c r="D5" s="605" t="n"/>
      <c r="E5" s="600" t="n"/>
      <c r="F5" s="600" t="n"/>
      <c r="G5" s="600" t="n"/>
      <c r="H5" s="600" t="n"/>
      <c r="I5" s="600" t="n"/>
      <c r="J5" s="600" t="n"/>
      <c r="K5" s="600" t="n"/>
    </row>
    <row r="6" ht="15" customHeight="1" s="223">
      <c r="A6" s="600" t="n"/>
      <c r="B6" s="600" t="n"/>
      <c r="C6" s="600" t="n"/>
      <c r="D6" s="604" t="n"/>
      <c r="E6" s="600" t="n"/>
      <c r="F6" s="600" t="n"/>
      <c r="G6" s="600" t="n"/>
      <c r="H6" s="600" t="n"/>
      <c r="I6" s="600" t="n"/>
      <c r="J6" s="600" t="n"/>
      <c r="K6" s="600" t="n"/>
    </row>
    <row r="7" ht="15" customHeight="1" s="223">
      <c r="A7" s="600" t="inlineStr">
        <is>
          <t>x</t>
        </is>
      </c>
      <c r="B7" s="600" t="n"/>
      <c r="C7" s="600" t="n"/>
      <c r="D7" s="607" t="inlineStr">
        <is>
          <t>Balance Sheet Summary</t>
        </is>
      </c>
      <c r="E7" s="643" t="n"/>
      <c r="F7" s="643" t="inlineStr">
        <is>
          <t>Year Ended December 31,</t>
        </is>
      </c>
      <c r="G7" s="644" t="n"/>
      <c r="H7" s="644" t="n"/>
      <c r="I7" s="644" t="n"/>
      <c r="J7" s="643" t="inlineStr">
        <is>
          <t>Quarter Ended</t>
        </is>
      </c>
      <c r="K7" s="644" t="n"/>
    </row>
    <row r="8" ht="3" customHeight="1" s="223">
      <c r="A8" s="600" t="n"/>
      <c r="B8" s="600" t="n"/>
      <c r="C8" s="600" t="n"/>
      <c r="D8" s="600" t="n"/>
      <c r="E8" s="600" t="n"/>
      <c r="F8" s="600" t="n"/>
      <c r="G8" s="600" t="n"/>
      <c r="H8" s="600" t="n"/>
      <c r="I8" s="600" t="n"/>
      <c r="J8" s="645" t="n"/>
      <c r="K8" s="646" t="n"/>
    </row>
    <row r="9" ht="15" customHeight="1" s="223">
      <c r="A9" s="600" t="n"/>
      <c r="B9" s="600" t="n"/>
      <c r="C9" s="600" t="n"/>
      <c r="D9" s="601" t="n"/>
      <c r="E9" s="613" t="n">
        <v>2021</v>
      </c>
      <c r="F9" s="613" t="n">
        <v>2022</v>
      </c>
      <c r="G9" s="613" t="n">
        <v>2023</v>
      </c>
      <c r="H9" s="613" t="n">
        <v>2024</v>
      </c>
      <c r="I9" s="613" t="n">
        <v>2025</v>
      </c>
      <c r="J9" s="613" t="inlineStr">
        <is>
          <t>2Q'25</t>
        </is>
      </c>
      <c r="K9" s="613" t="inlineStr">
        <is>
          <t>2Q'26</t>
        </is>
      </c>
    </row>
    <row r="10" ht="4.5" customHeight="1" s="223">
      <c r="E10" s="674" t="n"/>
      <c r="F10" s="674" t="n"/>
      <c r="G10" s="674" t="n"/>
      <c r="H10" s="674" t="n"/>
      <c r="I10" s="674" t="n"/>
      <c r="J10" s="723" t="n"/>
      <c r="K10" s="724" t="n"/>
    </row>
    <row r="11" ht="12" customHeight="1" s="223">
      <c r="D11" s="695" t="inlineStr">
        <is>
          <t>Cash and cash equivalents</t>
        </is>
      </c>
      <c r="E11" s="676">
        <f>SUMIFS(BS!$F$13:$AG$13,BS!$F$10:$AG$10,E$9)</f>
        <v/>
      </c>
      <c r="F11" s="676">
        <f>SUMIFS(BS!$F$13:$AG$13,BS!$F$10:$AG$10,F$9)</f>
        <v/>
      </c>
      <c r="G11" s="676">
        <f>SUMIFS(BS!$F$13:$AG$13,BS!$F$10:$AG$10,G$9)</f>
        <v/>
      </c>
      <c r="H11" s="676">
        <f>SUMIFS(BS!$F$13:$AG$13,BS!$F$10:$AG$10,H$9)</f>
        <v/>
      </c>
      <c r="I11" s="676">
        <f>SUMIFS(BS!$F$13:$AG$13,BS!$F$10:$AG$10,I$9)</f>
        <v/>
      </c>
      <c r="J11" s="725">
        <f>SUMIFS(BS!$F$13:$AG$13,BS!$F$10:$AG$10,J$9)</f>
        <v/>
      </c>
      <c r="K11" s="726">
        <f>SUMIFS(BS!$F$13:$AG$13,BS!$F$10:$AG$10,K$9)</f>
        <v/>
      </c>
    </row>
    <row r="12" ht="12" customHeight="1" s="223">
      <c r="D12" s="695" t="inlineStr">
        <is>
          <t>Accounts receivable, net</t>
        </is>
      </c>
      <c r="E12" s="679">
        <f>SUMIFS(BS!$F$14:$AG$14,BS!$F$10:$AG$10,E$9)</f>
        <v/>
      </c>
      <c r="F12" s="679">
        <f>SUMIFS(BS!$F$14:$AG$14,BS!$F$10:$AG$10,F$9)</f>
        <v/>
      </c>
      <c r="G12" s="679">
        <f>SUMIFS(BS!$F$14:$AG$14,BS!$F$10:$AG$10,G$9)</f>
        <v/>
      </c>
      <c r="H12" s="679">
        <f>SUMIFS(BS!$F$14:$AG$14,BS!$F$10:$AG$10,H$9)</f>
        <v/>
      </c>
      <c r="I12" s="679">
        <f>SUMIFS(BS!$F$14:$AG$14,BS!$F$10:$AG$10,I$9)</f>
        <v/>
      </c>
      <c r="J12" s="727">
        <f>SUMIFS(BS!$F$14:$AG$14,BS!$F$10:$AG$10,J$9)</f>
        <v/>
      </c>
      <c r="K12" s="728">
        <f>SUMIFS(BS!$F$14:$AG$14,BS!$F$10:$AG$10,K$9)</f>
        <v/>
      </c>
    </row>
    <row r="13" ht="12" customHeight="1" s="223">
      <c r="D13" s="695" t="inlineStr">
        <is>
          <t>Billed portion of finance receivables, net</t>
        </is>
      </c>
      <c r="E13" s="679">
        <f>SUMIFS(BS!$F$15:$AG$15,BS!$F$10:$AG$10,E$9)</f>
        <v/>
      </c>
      <c r="F13" s="679">
        <f>SUMIFS(BS!$F$15:$AG$15,BS!$F$10:$AG$10,F$9)</f>
        <v/>
      </c>
      <c r="G13" s="679">
        <f>SUMIFS(BS!$F$15:$AG$15,BS!$F$10:$AG$10,G$9)</f>
        <v/>
      </c>
      <c r="H13" s="679">
        <f>SUMIFS(BS!$F$15:$AG$15,BS!$F$10:$AG$10,H$9)</f>
        <v/>
      </c>
      <c r="I13" s="679">
        <f>SUMIFS(BS!$F$15:$AG$15,BS!$F$10:$AG$10,I$9)</f>
        <v/>
      </c>
      <c r="J13" s="727">
        <f>SUMIFS(BS!$F$15:$AG$15,BS!$F$10:$AG$10,J$9)</f>
        <v/>
      </c>
      <c r="K13" s="728">
        <f>SUMIFS(BS!$F$15:$AG$15,BS!$F$10:$AG$10,K$9)</f>
        <v/>
      </c>
    </row>
    <row r="14" ht="12" customHeight="1" s="223">
      <c r="D14" s="695" t="inlineStr">
        <is>
          <t>Finance receivables, net</t>
        </is>
      </c>
      <c r="E14" s="679">
        <f>SUMIFS(BS!$F$16:$AG$16,BS!$F$10:$AG$10,E$9)</f>
        <v/>
      </c>
      <c r="F14" s="679">
        <f>SUMIFS(BS!$F$16:$AG$16,BS!$F$10:$AG$10,F$9)</f>
        <v/>
      </c>
      <c r="G14" s="679">
        <f>SUMIFS(BS!$F$16:$AG$16,BS!$F$10:$AG$10,G$9)</f>
        <v/>
      </c>
      <c r="H14" s="679">
        <f>SUMIFS(BS!$F$16:$AG$16,BS!$F$10:$AG$10,H$9)</f>
        <v/>
      </c>
      <c r="I14" s="679">
        <f>SUMIFS(BS!$F$16:$AG$16,BS!$F$10:$AG$10,I$9)</f>
        <v/>
      </c>
      <c r="J14" s="727">
        <f>SUMIFS(BS!$F$16:$AG$16,BS!$F$10:$AG$10,J$9)</f>
        <v/>
      </c>
      <c r="K14" s="728">
        <f>SUMIFS(BS!$F$16:$AG$16,BS!$F$10:$AG$10,K$9)</f>
        <v/>
      </c>
    </row>
    <row r="15" ht="12" customHeight="1" s="223">
      <c r="D15" s="695" t="inlineStr">
        <is>
          <t>Inventories</t>
        </is>
      </c>
      <c r="E15" s="679">
        <f>SUMIFS(BS!$F$17:$AG$17,BS!$F$10:$AG$10,E$9)</f>
        <v/>
      </c>
      <c r="F15" s="679">
        <f>SUMIFS(BS!$F$17:$AG$17,BS!$F$10:$AG$10,F$9)</f>
        <v/>
      </c>
      <c r="G15" s="679">
        <f>SUMIFS(BS!$F$17:$AG$17,BS!$F$10:$AG$10,G$9)</f>
        <v/>
      </c>
      <c r="H15" s="679">
        <f>SUMIFS(BS!$F$17:$AG$17,BS!$F$10:$AG$10,H$9)</f>
        <v/>
      </c>
      <c r="I15" s="679">
        <f>SUMIFS(BS!$F$17:$AG$17,BS!$F$10:$AG$10,I$9)</f>
        <v/>
      </c>
      <c r="J15" s="727">
        <f>SUMIFS(BS!$F$17:$AG$17,BS!$F$10:$AG$10,J$9)</f>
        <v/>
      </c>
      <c r="K15" s="728">
        <f>SUMIFS(BS!$F$17:$AG$17,BS!$F$10:$AG$10,K$9)</f>
        <v/>
      </c>
    </row>
    <row r="16" ht="12" customHeight="1" s="223">
      <c r="D16" s="695" t="inlineStr">
        <is>
          <t>Other current assets</t>
        </is>
      </c>
      <c r="E16" s="679">
        <f>SUMIFS(BS!$F$18:$AG$18,BS!$F$10:$AG$10,E$9)</f>
        <v/>
      </c>
      <c r="F16" s="679">
        <f>SUMIFS(BS!$F$18:$AG$18,BS!$F$10:$AG$10,F$9)</f>
        <v/>
      </c>
      <c r="G16" s="679">
        <f>SUMIFS(BS!$F$18:$AG$18,BS!$F$10:$AG$10,G$9)</f>
        <v/>
      </c>
      <c r="H16" s="679">
        <f>SUMIFS(BS!$F$18:$AG$18,BS!$F$10:$AG$10,H$9)</f>
        <v/>
      </c>
      <c r="I16" s="679">
        <f>SUMIFS(BS!$F$18:$AG$18,BS!$F$10:$AG$10,I$9)</f>
        <v/>
      </c>
      <c r="J16" s="727">
        <f>SUMIFS(BS!$F$18:$AG$18,BS!$F$10:$AG$10,J$9)</f>
        <v/>
      </c>
      <c r="K16" s="728">
        <f>SUMIFS(BS!$F$18:$AG$18,BS!$F$10:$AG$10,K$9)</f>
        <v/>
      </c>
    </row>
    <row r="17" ht="12" customHeight="1" s="223">
      <c r="D17" s="681" t="inlineStr">
        <is>
          <t>Total current assets</t>
        </is>
      </c>
      <c r="E17" s="716">
        <f>SUM(E11:E16)</f>
        <v/>
      </c>
      <c r="F17" s="716">
        <f>SUM(F11:F16)</f>
        <v/>
      </c>
      <c r="G17" s="716">
        <f>SUM(G11:G16)</f>
        <v/>
      </c>
      <c r="H17" s="716">
        <f>SUM(H11:H16)</f>
        <v/>
      </c>
      <c r="I17" s="717">
        <f>SUM(I11:I16)</f>
        <v/>
      </c>
      <c r="J17" s="718">
        <f>SUM(J11:J16)</f>
        <v/>
      </c>
      <c r="K17" s="717">
        <f>SUM(K11:K16)</f>
        <v/>
      </c>
    </row>
    <row r="18" ht="12" customHeight="1" s="223">
      <c r="D18" s="695" t="inlineStr">
        <is>
          <t>Finance receivables due after one year, net</t>
        </is>
      </c>
      <c r="E18" s="679">
        <f>SUMIFS(BS!$F$22:$AG$22,BS!$F$10:$AG$10,E$9)</f>
        <v/>
      </c>
      <c r="F18" s="679">
        <f>SUMIFS(BS!$F$22:$AG$22,BS!$F$10:$AG$10,F$9)</f>
        <v/>
      </c>
      <c r="G18" s="679">
        <f>SUMIFS(BS!$F$22:$AG$22,BS!$F$10:$AG$10,G$9)</f>
        <v/>
      </c>
      <c r="H18" s="679">
        <f>SUMIFS(BS!$F$22:$AG$22,BS!$F$10:$AG$10,H$9)</f>
        <v/>
      </c>
      <c r="I18" s="679">
        <f>SUMIFS(BS!$F$22:$AG$22,BS!$F$10:$AG$10,I$9)</f>
        <v/>
      </c>
      <c r="J18" s="727">
        <f>SUMIFS(BS!$F$22:$AG$22,BS!$F$10:$AG$10,J$9)</f>
        <v/>
      </c>
      <c r="K18" s="728">
        <f>SUMIFS(BS!$F$22:$AG$22,BS!$F$10:$AG$10,K$9)</f>
        <v/>
      </c>
    </row>
    <row r="19" ht="12" customHeight="1" s="223">
      <c r="D19" s="695" t="inlineStr">
        <is>
          <t>Equipment on operating leases, net</t>
        </is>
      </c>
      <c r="E19" s="679">
        <f>SUMIFS(BS!$F$23:$AG$23,BS!$F$10:$AG$10,E$9)</f>
        <v/>
      </c>
      <c r="F19" s="679">
        <f>SUMIFS(BS!$F$23:$AG$23,BS!$F$10:$AG$10,F$9)</f>
        <v/>
      </c>
      <c r="G19" s="679">
        <f>SUMIFS(BS!$F$23:$AG$23,BS!$F$10:$AG$10,G$9)</f>
        <v/>
      </c>
      <c r="H19" s="679">
        <f>SUMIFS(BS!$F$23:$AG$23,BS!$F$10:$AG$10,H$9)</f>
        <v/>
      </c>
      <c r="I19" s="679">
        <f>SUMIFS(BS!$F$23:$AG$23,BS!$F$10:$AG$10,I$9)</f>
        <v/>
      </c>
      <c r="J19" s="727">
        <f>SUMIFS(BS!$F$23:$AG$23,BS!$F$10:$AG$10,J$9)</f>
        <v/>
      </c>
      <c r="K19" s="728">
        <f>SUMIFS(BS!$F$23:$AG$23,BS!$F$10:$AG$10,K$9)</f>
        <v/>
      </c>
    </row>
    <row r="20" ht="12" customHeight="1" s="223">
      <c r="D20" s="695" t="inlineStr">
        <is>
          <t>Land, buildings and equipment, net</t>
        </is>
      </c>
      <c r="E20" s="679">
        <f>SUMIFS(BS!$F$24:$AG$24,BS!$F$10:$AG$10,E$9)</f>
        <v/>
      </c>
      <c r="F20" s="679">
        <f>SUMIFS(BS!$F$24:$AG$24,BS!$F$10:$AG$10,F$9)</f>
        <v/>
      </c>
      <c r="G20" s="679">
        <f>SUMIFS(BS!$F$24:$AG$24,BS!$F$10:$AG$10,G$9)</f>
        <v/>
      </c>
      <c r="H20" s="679">
        <f>SUMIFS(BS!$F$24:$AG$24,BS!$F$10:$AG$10,H$9)</f>
        <v/>
      </c>
      <c r="I20" s="679">
        <f>SUMIFS(BS!$F$24:$AG$24,BS!$F$10:$AG$10,I$9)</f>
        <v/>
      </c>
      <c r="J20" s="727">
        <f>SUMIFS(BS!$F$24:$AG$24,BS!$F$10:$AG$10,J$9)</f>
        <v/>
      </c>
      <c r="K20" s="728">
        <f>SUMIFS(BS!$F$24:$AG$24,BS!$F$10:$AG$10,K$9)</f>
        <v/>
      </c>
    </row>
    <row r="21" ht="12" customHeight="1" s="223">
      <c r="D21" s="695" t="inlineStr">
        <is>
          <t>Intangible assets, net</t>
        </is>
      </c>
      <c r="E21" s="679">
        <f>SUMIFS(BS!$F$25:$AG$25,BS!$F$10:$AG$10,E$9)</f>
        <v/>
      </c>
      <c r="F21" s="679">
        <f>SUMIFS(BS!$F$25:$AG$25,BS!$F$10:$AG$10,F$9)</f>
        <v/>
      </c>
      <c r="G21" s="679">
        <f>SUMIFS(BS!$F$25:$AG$25,BS!$F$10:$AG$10,G$9)</f>
        <v/>
      </c>
      <c r="H21" s="679">
        <f>SUMIFS(BS!$F$25:$AG$25,BS!$F$10:$AG$10,H$9)</f>
        <v/>
      </c>
      <c r="I21" s="679">
        <f>SUMIFS(BS!$F$25:$AG$25,BS!$F$10:$AG$10,I$9)</f>
        <v/>
      </c>
      <c r="J21" s="727">
        <f>SUMIFS(BS!$F$25:$AG$25,BS!$F$10:$AG$10,J$9)</f>
        <v/>
      </c>
      <c r="K21" s="728">
        <f>SUMIFS(BS!$F$25:$AG$25,BS!$F$10:$AG$10,K$9)</f>
        <v/>
      </c>
    </row>
    <row r="22" ht="12" customHeight="1" s="223">
      <c r="D22" s="695" t="inlineStr">
        <is>
          <t>Goodwill, net</t>
        </is>
      </c>
      <c r="E22" s="679">
        <f>SUMIFS(BS!$F$26:$AG$26,BS!$F$10:$AG$10,E$9)</f>
        <v/>
      </c>
      <c r="F22" s="679">
        <f>SUMIFS(BS!$F$26:$AG$26,BS!$F$10:$AG$10,F$9)</f>
        <v/>
      </c>
      <c r="G22" s="679">
        <f>SUMIFS(BS!$F$26:$AG$26,BS!$F$10:$AG$10,G$9)</f>
        <v/>
      </c>
      <c r="H22" s="679">
        <f>SUMIFS(BS!$F$26:$AG$26,BS!$F$10:$AG$10,H$9)</f>
        <v/>
      </c>
      <c r="I22" s="679">
        <f>SUMIFS(BS!$F$26:$AG$26,BS!$F$10:$AG$10,I$9)</f>
        <v/>
      </c>
      <c r="J22" s="727">
        <f>SUMIFS(BS!$F$26:$AG$26,BS!$F$10:$AG$10,J$9)</f>
        <v/>
      </c>
      <c r="K22" s="728">
        <f>SUMIFS(BS!$F$26:$AG$26,BS!$F$10:$AG$10,K$9)</f>
        <v/>
      </c>
    </row>
    <row r="23" ht="12" customHeight="1" s="223">
      <c r="D23" s="695" t="inlineStr">
        <is>
          <t>Deferred tax assets</t>
        </is>
      </c>
      <c r="E23" s="679">
        <f>SUMIFS(BS!$F$27:$AG$27,BS!$F$10:$AG$10,E$9)</f>
        <v/>
      </c>
      <c r="F23" s="679">
        <f>SUMIFS(BS!$F$27:$AG$27,BS!$F$10:$AG$10,F$9)</f>
        <v/>
      </c>
      <c r="G23" s="679">
        <f>SUMIFS(BS!$F$27:$AG$27,BS!$F$10:$AG$10,G$9)</f>
        <v/>
      </c>
      <c r="H23" s="679">
        <f>SUMIFS(BS!$F$27:$AG$27,BS!$F$10:$AG$10,H$9)</f>
        <v/>
      </c>
      <c r="I23" s="679">
        <f>SUMIFS(BS!$F$27:$AG$27,BS!$F$10:$AG$10,I$9)</f>
        <v/>
      </c>
      <c r="J23" s="727">
        <f>SUMIFS(BS!$F$27:$AG$27,BS!$F$10:$AG$10,J$9)</f>
        <v/>
      </c>
      <c r="K23" s="728">
        <f>SUMIFS(BS!$F$27:$AG$27,BS!$F$10:$AG$10,K$9)</f>
        <v/>
      </c>
    </row>
    <row r="24" ht="12" customHeight="1" s="223">
      <c r="D24" s="695" t="inlineStr">
        <is>
          <t>Other long-term assets</t>
        </is>
      </c>
      <c r="E24" s="679">
        <f>SUMIFS(BS!$F$28:$AG$28,BS!$F$10:$AG$10,E$9)</f>
        <v/>
      </c>
      <c r="F24" s="679">
        <f>SUMIFS(BS!$F$28:$AG$28,BS!$F$10:$AG$10,F$9)</f>
        <v/>
      </c>
      <c r="G24" s="679">
        <f>SUMIFS(BS!$F$28:$AG$28,BS!$F$10:$AG$10,G$9)</f>
        <v/>
      </c>
      <c r="H24" s="679">
        <f>SUMIFS(BS!$F$28:$AG$28,BS!$F$10:$AG$10,H$9)</f>
        <v/>
      </c>
      <c r="I24" s="679">
        <f>SUMIFS(BS!$F$28:$AG$28,BS!$F$10:$AG$10,I$9)</f>
        <v/>
      </c>
      <c r="J24" s="727">
        <f>SUMIFS(BS!$F$28:$AG$28,BS!$F$10:$AG$10,J$9)</f>
        <v/>
      </c>
      <c r="K24" s="728">
        <f>SUMIFS(BS!$F$28:$AG$28,BS!$F$10:$AG$10,K$9)</f>
        <v/>
      </c>
    </row>
    <row r="25" ht="12" customHeight="1" s="223">
      <c r="D25" s="681" t="inlineStr">
        <is>
          <t>Total assets</t>
        </is>
      </c>
      <c r="E25" s="716">
        <f>E17+SUM(E18:E24)</f>
        <v/>
      </c>
      <c r="F25" s="716">
        <f>F17+SUM(F18:F24)</f>
        <v/>
      </c>
      <c r="G25" s="716">
        <f>G17+SUM(G18:G24)</f>
        <v/>
      </c>
      <c r="H25" s="716">
        <f>H17+SUM(H18:H24)</f>
        <v/>
      </c>
      <c r="I25" s="717">
        <f>I17+SUM(I18:I24)</f>
        <v/>
      </c>
      <c r="J25" s="718">
        <f>J17+SUM(J18:J24)</f>
        <v/>
      </c>
      <c r="K25" s="717">
        <f>K17+SUM(K18:K24)</f>
        <v/>
      </c>
    </row>
    <row r="26" ht="4.5" customHeight="1" s="223">
      <c r="J26" s="723" t="n"/>
      <c r="K26" s="724" t="n"/>
    </row>
    <row r="27" ht="12" customHeight="1" s="223">
      <c r="D27" s="695" t="inlineStr">
        <is>
          <t>Short-term debt and current portion of long-term debt</t>
        </is>
      </c>
      <c r="E27" s="679">
        <f>SUMIFS(BS!$F$35:$AG$35,BS!$F$10:$AG$10,E$9)</f>
        <v/>
      </c>
      <c r="F27" s="679">
        <f>SUMIFS(BS!$F$35:$AG$35,BS!$F$10:$AG$10,F$9)</f>
        <v/>
      </c>
      <c r="G27" s="679">
        <f>SUMIFS(BS!$F$35:$AG$35,BS!$F$10:$AG$10,G$9)</f>
        <v/>
      </c>
      <c r="H27" s="679">
        <f>SUMIFS(BS!$F$35:$AG$35,BS!$F$10:$AG$10,H$9)</f>
        <v/>
      </c>
      <c r="I27" s="679">
        <f>SUMIFS(BS!$F$35:$AG$35,BS!$F$10:$AG$10,I$9)</f>
        <v/>
      </c>
      <c r="J27" s="727">
        <f>SUMIFS(BS!$F$35:$AG$35,BS!$F$10:$AG$10,J$9)</f>
        <v/>
      </c>
      <c r="K27" s="728">
        <f>SUMIFS(BS!$F$35:$AG$35,BS!$F$10:$AG$10,K$9)</f>
        <v/>
      </c>
    </row>
    <row r="28" ht="12" customHeight="1" s="223">
      <c r="D28" s="695" t="inlineStr">
        <is>
          <t>Financing liability, tariff receivables monetization</t>
        </is>
      </c>
      <c r="E28" s="679">
        <f>SUMIFS(BS!$F$36:$AG$36,BS!$F$10:$AG$10,E$9)</f>
        <v/>
      </c>
      <c r="F28" s="679">
        <f>SUMIFS(BS!$F$36:$AG$36,BS!$F$10:$AG$10,F$9)</f>
        <v/>
      </c>
      <c r="G28" s="679">
        <f>SUMIFS(BS!$F$36:$AG$36,BS!$F$10:$AG$10,G$9)</f>
        <v/>
      </c>
      <c r="H28" s="679">
        <f>SUMIFS(BS!$F$36:$AG$36,BS!$F$10:$AG$10,H$9)</f>
        <v/>
      </c>
      <c r="I28" s="679">
        <f>SUMIFS(BS!$F$36:$AG$36,BS!$F$10:$AG$10,I$9)</f>
        <v/>
      </c>
      <c r="J28" s="727">
        <f>SUMIFS(BS!$F$36:$AG$36,BS!$F$10:$AG$10,J$9)</f>
        <v/>
      </c>
      <c r="K28" s="728">
        <f>SUMIFS(BS!$F$36:$AG$36,BS!$F$10:$AG$10,K$9)</f>
        <v/>
      </c>
    </row>
    <row r="29" ht="12" customHeight="1" s="223">
      <c r="D29" s="695" t="inlineStr">
        <is>
          <t>Accounts payable</t>
        </is>
      </c>
      <c r="E29" s="679">
        <f>SUMIFS(BS!$F$37:$AG$37,BS!$F$10:$AG$10,E$9)</f>
        <v/>
      </c>
      <c r="F29" s="679">
        <f>SUMIFS(BS!$F$37:$AG$37,BS!$F$10:$AG$10,F$9)</f>
        <v/>
      </c>
      <c r="G29" s="679">
        <f>SUMIFS(BS!$F$37:$AG$37,BS!$F$10:$AG$10,G$9)</f>
        <v/>
      </c>
      <c r="H29" s="679">
        <f>SUMIFS(BS!$F$37:$AG$37,BS!$F$10:$AG$10,H$9)</f>
        <v/>
      </c>
      <c r="I29" s="679">
        <f>SUMIFS(BS!$F$37:$AG$37,BS!$F$10:$AG$10,I$9)</f>
        <v/>
      </c>
      <c r="J29" s="727">
        <f>SUMIFS(BS!$F$37:$AG$37,BS!$F$10:$AG$10,J$9)</f>
        <v/>
      </c>
      <c r="K29" s="728">
        <f>SUMIFS(BS!$F$37:$AG$37,BS!$F$10:$AG$10,K$9)</f>
        <v/>
      </c>
    </row>
    <row r="30" ht="12" customHeight="1" s="223">
      <c r="D30" s="695" t="inlineStr">
        <is>
          <t>Accrued compensation and benefits costs</t>
        </is>
      </c>
      <c r="E30" s="679">
        <f>SUMIFS(BS!$F$38:$AG$38,BS!$F$10:$AG$10,E$9)</f>
        <v/>
      </c>
      <c r="F30" s="679">
        <f>SUMIFS(BS!$F$38:$AG$38,BS!$F$10:$AG$10,F$9)</f>
        <v/>
      </c>
      <c r="G30" s="679">
        <f>SUMIFS(BS!$F$38:$AG$38,BS!$F$10:$AG$10,G$9)</f>
        <v/>
      </c>
      <c r="H30" s="679">
        <f>SUMIFS(BS!$F$38:$AG$38,BS!$F$10:$AG$10,H$9)</f>
        <v/>
      </c>
      <c r="I30" s="679">
        <f>SUMIFS(BS!$F$38:$AG$38,BS!$F$10:$AG$10,I$9)</f>
        <v/>
      </c>
      <c r="J30" s="727">
        <f>SUMIFS(BS!$F$38:$AG$38,BS!$F$10:$AG$10,J$9)</f>
        <v/>
      </c>
      <c r="K30" s="728">
        <f>SUMIFS(BS!$F$38:$AG$38,BS!$F$10:$AG$10,K$9)</f>
        <v/>
      </c>
    </row>
    <row r="31" ht="12" customHeight="1" s="223">
      <c r="D31" s="695" t="inlineStr">
        <is>
          <t>Accrued expenses and other current liabilities</t>
        </is>
      </c>
      <c r="E31" s="679">
        <f>SUMIFS(BS!$F$39:$AG$39,BS!$F$10:$AG$10,E$9)</f>
        <v/>
      </c>
      <c r="F31" s="679">
        <f>SUMIFS(BS!$F$39:$AG$39,BS!$F$10:$AG$10,F$9)</f>
        <v/>
      </c>
      <c r="G31" s="679">
        <f>SUMIFS(BS!$F$39:$AG$39,BS!$F$10:$AG$10,G$9)</f>
        <v/>
      </c>
      <c r="H31" s="679">
        <f>SUMIFS(BS!$F$39:$AG$39,BS!$F$10:$AG$10,H$9)</f>
        <v/>
      </c>
      <c r="I31" s="679">
        <f>SUMIFS(BS!$F$39:$AG$39,BS!$F$10:$AG$10,I$9)</f>
        <v/>
      </c>
      <c r="J31" s="727">
        <f>SUMIFS(BS!$F$39:$AG$39,BS!$F$10:$AG$10,J$9)</f>
        <v/>
      </c>
      <c r="K31" s="728">
        <f>SUMIFS(BS!$F$39:$AG$39,BS!$F$10:$AG$10,K$9)</f>
        <v/>
      </c>
    </row>
    <row r="32" ht="12" customHeight="1" s="223">
      <c r="D32" s="681" t="inlineStr">
        <is>
          <t>Total current liabilities</t>
        </is>
      </c>
      <c r="E32" s="716">
        <f>SUM(E27:E31)</f>
        <v/>
      </c>
      <c r="F32" s="716">
        <f>SUM(F27:F31)</f>
        <v/>
      </c>
      <c r="G32" s="716">
        <f>SUM(G27:G31)</f>
        <v/>
      </c>
      <c r="H32" s="716">
        <f>SUM(H27:H31)</f>
        <v/>
      </c>
      <c r="I32" s="717">
        <f>SUM(I27:I31)</f>
        <v/>
      </c>
      <c r="J32" s="718">
        <f>SUM(J27:J31)</f>
        <v/>
      </c>
      <c r="K32" s="717">
        <f>SUM(K27:K31)</f>
        <v/>
      </c>
    </row>
    <row r="33" ht="12" customHeight="1" s="223">
      <c r="D33" s="695" t="inlineStr">
        <is>
          <t>Long-term debt</t>
        </is>
      </c>
      <c r="E33" s="679">
        <f>SUMIFS(BS!$F$43:$AG$43,BS!$F$10:$AG$10,E$9)</f>
        <v/>
      </c>
      <c r="F33" s="679">
        <f>SUMIFS(BS!$F$43:$AG$43,BS!$F$10:$AG$10,F$9)</f>
        <v/>
      </c>
      <c r="G33" s="679">
        <f>SUMIFS(BS!$F$43:$AG$43,BS!$F$10:$AG$10,G$9)</f>
        <v/>
      </c>
      <c r="H33" s="679">
        <f>SUMIFS(BS!$F$43:$AG$43,BS!$F$10:$AG$10,H$9)</f>
        <v/>
      </c>
      <c r="I33" s="679">
        <f>SUMIFS(BS!$F$43:$AG$43,BS!$F$10:$AG$10,I$9)</f>
        <v/>
      </c>
      <c r="J33" s="727">
        <f>SUMIFS(BS!$F$43:$AG$43,BS!$F$10:$AG$10,J$9)</f>
        <v/>
      </c>
      <c r="K33" s="728">
        <f>SUMIFS(BS!$F$43:$AG$43,BS!$F$10:$AG$10,K$9)</f>
        <v/>
      </c>
    </row>
    <row r="34" ht="12" customHeight="1" s="223">
      <c r="D34" s="695" t="inlineStr">
        <is>
          <t>Pension and other benefit liabilities</t>
        </is>
      </c>
      <c r="E34" s="679">
        <f>SUMIFS(BS!$F$44:$AG$44,BS!$F$10:$AG$10,E$9)</f>
        <v/>
      </c>
      <c r="F34" s="679">
        <f>SUMIFS(BS!$F$44:$AG$44,BS!$F$10:$AG$10,F$9)</f>
        <v/>
      </c>
      <c r="G34" s="679">
        <f>SUMIFS(BS!$F$44:$AG$44,BS!$F$10:$AG$10,G$9)</f>
        <v/>
      </c>
      <c r="H34" s="679">
        <f>SUMIFS(BS!$F$44:$AG$44,BS!$F$10:$AG$10,H$9)</f>
        <v/>
      </c>
      <c r="I34" s="679">
        <f>SUMIFS(BS!$F$44:$AG$44,BS!$F$10:$AG$10,I$9)</f>
        <v/>
      </c>
      <c r="J34" s="727">
        <f>SUMIFS(BS!$F$44:$AG$44,BS!$F$10:$AG$10,J$9)</f>
        <v/>
      </c>
      <c r="K34" s="728">
        <f>SUMIFS(BS!$F$44:$AG$44,BS!$F$10:$AG$10,K$9)</f>
        <v/>
      </c>
    </row>
    <row r="35" ht="12" customHeight="1" s="223">
      <c r="D35" s="695" t="inlineStr">
        <is>
          <t>Post-retirement medical benefits</t>
        </is>
      </c>
      <c r="E35" s="679">
        <f>SUMIFS(BS!$F$45:$AG$45,BS!$F$10:$AG$10,E$9)</f>
        <v/>
      </c>
      <c r="F35" s="679">
        <f>SUMIFS(BS!$F$45:$AG$45,BS!$F$10:$AG$10,F$9)</f>
        <v/>
      </c>
      <c r="G35" s="679">
        <f>SUMIFS(BS!$F$45:$AG$45,BS!$F$10:$AG$10,G$9)</f>
        <v/>
      </c>
      <c r="H35" s="679">
        <f>SUMIFS(BS!$F$45:$AG$45,BS!$F$10:$AG$10,H$9)</f>
        <v/>
      </c>
      <c r="I35" s="679">
        <f>SUMIFS(BS!$F$45:$AG$45,BS!$F$10:$AG$10,I$9)</f>
        <v/>
      </c>
      <c r="J35" s="727">
        <f>SUMIFS(BS!$F$45:$AG$45,BS!$F$10:$AG$10,J$9)</f>
        <v/>
      </c>
      <c r="K35" s="728">
        <f>SUMIFS(BS!$F$45:$AG$45,BS!$F$10:$AG$10,K$9)</f>
        <v/>
      </c>
    </row>
    <row r="36" ht="12" customHeight="1" s="223">
      <c r="D36" s="695" t="inlineStr">
        <is>
          <t>Other long-term liabilities</t>
        </is>
      </c>
      <c r="E36" s="679">
        <f>SUMIFS(BS!$F$46:$AG$46,BS!$F$10:$AG$10,E$9)</f>
        <v/>
      </c>
      <c r="F36" s="679">
        <f>SUMIFS(BS!$F$46:$AG$46,BS!$F$10:$AG$10,F$9)</f>
        <v/>
      </c>
      <c r="G36" s="679">
        <f>SUMIFS(BS!$F$46:$AG$46,BS!$F$10:$AG$10,G$9)</f>
        <v/>
      </c>
      <c r="H36" s="679">
        <f>SUMIFS(BS!$F$46:$AG$46,BS!$F$10:$AG$10,H$9)</f>
        <v/>
      </c>
      <c r="I36" s="679">
        <f>SUMIFS(BS!$F$46:$AG$46,BS!$F$10:$AG$10,I$9)</f>
        <v/>
      </c>
      <c r="J36" s="727">
        <f>SUMIFS(BS!$F$46:$AG$46,BS!$F$10:$AG$10,J$9)</f>
        <v/>
      </c>
      <c r="K36" s="728">
        <f>SUMIFS(BS!$F$46:$AG$46,BS!$F$10:$AG$10,K$9)</f>
        <v/>
      </c>
    </row>
    <row r="37" ht="12" customHeight="1" s="223">
      <c r="D37" s="681" t="inlineStr">
        <is>
          <t>Total liabilities</t>
        </is>
      </c>
      <c r="E37" s="716">
        <f>E32+SUM(E33:E36)</f>
        <v/>
      </c>
      <c r="F37" s="716">
        <f>F32+SUM(F33:F36)</f>
        <v/>
      </c>
      <c r="G37" s="716">
        <f>G32+SUM(G33:G36)</f>
        <v/>
      </c>
      <c r="H37" s="716">
        <f>H32+SUM(H33:H36)</f>
        <v/>
      </c>
      <c r="I37" s="717">
        <f>I32+SUM(I33:I36)</f>
        <v/>
      </c>
      <c r="J37" s="718">
        <f>J32+SUM(J33:J36)</f>
        <v/>
      </c>
      <c r="K37" s="717">
        <f>K32+SUM(K33:K36)</f>
        <v/>
      </c>
    </row>
    <row r="38" ht="4.5" customHeight="1" s="223">
      <c r="J38" s="723" t="n"/>
      <c r="K38" s="724" t="n"/>
    </row>
    <row r="39" ht="12" customHeight="1" s="223">
      <c r="D39" s="695" t="inlineStr">
        <is>
          <t>Noncontrolling interests (temporary equity)</t>
        </is>
      </c>
      <c r="E39" s="679">
        <f>SUMIFS(BS!$F$52:$AG$52,BS!$F$10:$AG$10,E$9)</f>
        <v/>
      </c>
      <c r="F39" s="679">
        <f>SUMIFS(BS!$F$52:$AG$52,BS!$F$10:$AG$10,F$9)</f>
        <v/>
      </c>
      <c r="G39" s="679">
        <f>SUMIFS(BS!$F$52:$AG$52,BS!$F$10:$AG$10,G$9)</f>
        <v/>
      </c>
      <c r="H39" s="679">
        <f>SUMIFS(BS!$F$52:$AG$52,BS!$F$10:$AG$10,H$9)</f>
        <v/>
      </c>
      <c r="I39" s="679">
        <f>SUMIFS(BS!$F$52:$AG$52,BS!$F$10:$AG$10,I$9)</f>
        <v/>
      </c>
      <c r="J39" s="727">
        <f>SUMIFS(BS!$F$52:$AG$52,BS!$F$10:$AG$10,J$9)</f>
        <v/>
      </c>
      <c r="K39" s="728">
        <f>SUMIFS(BS!$F$52:$AG$52,BS!$F$10:$AG$10,K$9)</f>
        <v/>
      </c>
    </row>
    <row r="40" ht="12" customHeight="1" s="223">
      <c r="D40" s="695" t="inlineStr">
        <is>
          <t>Convertible preferred stock</t>
        </is>
      </c>
      <c r="E40" s="679">
        <f>SUMIFS(BS!$F$53:$AG$53,BS!$F$10:$AG$10,E$9)</f>
        <v/>
      </c>
      <c r="F40" s="679">
        <f>SUMIFS(BS!$F$53:$AG$53,BS!$F$10:$AG$10,F$9)</f>
        <v/>
      </c>
      <c r="G40" s="679">
        <f>SUMIFS(BS!$F$53:$AG$53,BS!$F$10:$AG$10,G$9)</f>
        <v/>
      </c>
      <c r="H40" s="679">
        <f>SUMIFS(BS!$F$53:$AG$53,BS!$F$10:$AG$10,H$9)</f>
        <v/>
      </c>
      <c r="I40" s="679">
        <f>SUMIFS(BS!$F$53:$AG$53,BS!$F$10:$AG$10,I$9)</f>
        <v/>
      </c>
      <c r="J40" s="727">
        <f>SUMIFS(BS!$F$53:$AG$53,BS!$F$10:$AG$10,J$9)</f>
        <v/>
      </c>
      <c r="K40" s="728">
        <f>SUMIFS(BS!$F$53:$AG$53,BS!$F$10:$AG$10,K$9)</f>
        <v/>
      </c>
    </row>
    <row r="41" ht="12" customHeight="1" s="223">
      <c r="D41" s="695" t="inlineStr">
        <is>
          <t>Common stock</t>
        </is>
      </c>
      <c r="E41" s="679">
        <f>SUMIFS(BS!$F$55:$AG$55,BS!$F$10:$AG$10,E$9)</f>
        <v/>
      </c>
      <c r="F41" s="679">
        <f>SUMIFS(BS!$F$55:$AG$55,BS!$F$10:$AG$10,F$9)</f>
        <v/>
      </c>
      <c r="G41" s="679">
        <f>SUMIFS(BS!$F$55:$AG$55,BS!$F$10:$AG$10,G$9)</f>
        <v/>
      </c>
      <c r="H41" s="679">
        <f>SUMIFS(BS!$F$55:$AG$55,BS!$F$10:$AG$10,H$9)</f>
        <v/>
      </c>
      <c r="I41" s="679">
        <f>SUMIFS(BS!$F$55:$AG$55,BS!$F$10:$AG$10,I$9)</f>
        <v/>
      </c>
      <c r="J41" s="727">
        <f>SUMIFS(BS!$F$55:$AG$55,BS!$F$10:$AG$10,J$9)</f>
        <v/>
      </c>
      <c r="K41" s="728">
        <f>SUMIFS(BS!$F$55:$AG$55,BS!$F$10:$AG$10,K$9)</f>
        <v/>
      </c>
    </row>
    <row r="42" ht="12" customHeight="1" s="223">
      <c r="D42" s="695" t="inlineStr">
        <is>
          <t>Additional paid-in capital</t>
        </is>
      </c>
      <c r="E42" s="679">
        <f>SUMIFS(BS!$F$56:$AG$56,BS!$F$10:$AG$10,E$9)</f>
        <v/>
      </c>
      <c r="F42" s="679">
        <f>SUMIFS(BS!$F$56:$AG$56,BS!$F$10:$AG$10,F$9)</f>
        <v/>
      </c>
      <c r="G42" s="679">
        <f>SUMIFS(BS!$F$56:$AG$56,BS!$F$10:$AG$10,G$9)</f>
        <v/>
      </c>
      <c r="H42" s="679">
        <f>SUMIFS(BS!$F$56:$AG$56,BS!$F$10:$AG$10,H$9)</f>
        <v/>
      </c>
      <c r="I42" s="679">
        <f>SUMIFS(BS!$F$56:$AG$56,BS!$F$10:$AG$10,I$9)</f>
        <v/>
      </c>
      <c r="J42" s="727">
        <f>SUMIFS(BS!$F$56:$AG$56,BS!$F$10:$AG$10,J$9)</f>
        <v/>
      </c>
      <c r="K42" s="728">
        <f>SUMIFS(BS!$F$56:$AG$56,BS!$F$10:$AG$10,K$9)</f>
        <v/>
      </c>
    </row>
    <row r="43" ht="12" customHeight="1" s="223">
      <c r="D43" s="695" t="inlineStr">
        <is>
          <t>Treasury stock, at cost</t>
        </is>
      </c>
      <c r="E43" s="679">
        <f>SUMIFS(BS!$F$57:$AG$57,BS!$F$10:$AG$10,E$9)</f>
        <v/>
      </c>
      <c r="F43" s="679">
        <f>SUMIFS(BS!$F$57:$AG$57,BS!$F$10:$AG$10,F$9)</f>
        <v/>
      </c>
      <c r="G43" s="679">
        <f>SUMIFS(BS!$F$57:$AG$57,BS!$F$10:$AG$10,G$9)</f>
        <v/>
      </c>
      <c r="H43" s="679">
        <f>SUMIFS(BS!$F$57:$AG$57,BS!$F$10:$AG$10,H$9)</f>
        <v/>
      </c>
      <c r="I43" s="679">
        <f>SUMIFS(BS!$F$57:$AG$57,BS!$F$10:$AG$10,I$9)</f>
        <v/>
      </c>
      <c r="J43" s="727">
        <f>SUMIFS(BS!$F$57:$AG$57,BS!$F$10:$AG$10,J$9)</f>
        <v/>
      </c>
      <c r="K43" s="728">
        <f>SUMIFS(BS!$F$57:$AG$57,BS!$F$10:$AG$10,K$9)</f>
        <v/>
      </c>
    </row>
    <row r="44" ht="12" customHeight="1" s="223">
      <c r="D44" s="695" t="inlineStr">
        <is>
          <t>Retained earnings</t>
        </is>
      </c>
      <c r="E44" s="679">
        <f>SUMIFS(BS!$F$58:$AG$58,BS!$F$10:$AG$10,E$9)</f>
        <v/>
      </c>
      <c r="F44" s="679">
        <f>SUMIFS(BS!$F$58:$AG$58,BS!$F$10:$AG$10,F$9)</f>
        <v/>
      </c>
      <c r="G44" s="679">
        <f>SUMIFS(BS!$F$58:$AG$58,BS!$F$10:$AG$10,G$9)</f>
        <v/>
      </c>
      <c r="H44" s="679">
        <f>SUMIFS(BS!$F$58:$AG$58,BS!$F$10:$AG$10,H$9)</f>
        <v/>
      </c>
      <c r="I44" s="679">
        <f>SUMIFS(BS!$F$58:$AG$58,BS!$F$10:$AG$10,I$9)</f>
        <v/>
      </c>
      <c r="J44" s="727">
        <f>SUMIFS(BS!$F$58:$AG$58,BS!$F$10:$AG$10,J$9)</f>
        <v/>
      </c>
      <c r="K44" s="728">
        <f>SUMIFS(BS!$F$58:$AG$58,BS!$F$10:$AG$10,K$9)</f>
        <v/>
      </c>
    </row>
    <row r="45" ht="12" customHeight="1" s="223">
      <c r="D45" s="695" t="inlineStr">
        <is>
          <t>Accumulated other comprehensive loss</t>
        </is>
      </c>
      <c r="E45" s="679">
        <f>SUMIFS(BS!$F$59:$AG$59,BS!$F$10:$AG$10,E$9)</f>
        <v/>
      </c>
      <c r="F45" s="679">
        <f>SUMIFS(BS!$F$59:$AG$59,BS!$F$10:$AG$10,F$9)</f>
        <v/>
      </c>
      <c r="G45" s="679">
        <f>SUMIFS(BS!$F$59:$AG$59,BS!$F$10:$AG$10,G$9)</f>
        <v/>
      </c>
      <c r="H45" s="679">
        <f>SUMIFS(BS!$F$59:$AG$59,BS!$F$10:$AG$10,H$9)</f>
        <v/>
      </c>
      <c r="I45" s="679">
        <f>SUMIFS(BS!$F$59:$AG$59,BS!$F$10:$AG$10,I$9)</f>
        <v/>
      </c>
      <c r="J45" s="727">
        <f>SUMIFS(BS!$F$59:$AG$59,BS!$F$10:$AG$10,J$9)</f>
        <v/>
      </c>
      <c r="K45" s="728">
        <f>SUMIFS(BS!$F$59:$AG$59,BS!$F$10:$AG$10,K$9)</f>
        <v/>
      </c>
    </row>
    <row r="46" ht="12" customHeight="1" s="223">
      <c r="D46" s="681" t="inlineStr">
        <is>
          <t>Xerox Holdings shareholders' equity</t>
        </is>
      </c>
      <c r="E46" s="716">
        <f>SUM(E41:E45)</f>
        <v/>
      </c>
      <c r="F46" s="716">
        <f>SUM(F41:F45)</f>
        <v/>
      </c>
      <c r="G46" s="716">
        <f>SUM(G41:G45)</f>
        <v/>
      </c>
      <c r="H46" s="716">
        <f>SUM(H41:H45)</f>
        <v/>
      </c>
      <c r="I46" s="717">
        <f>SUM(I41:I45)</f>
        <v/>
      </c>
      <c r="J46" s="718">
        <f>SUM(J41:J45)</f>
        <v/>
      </c>
      <c r="K46" s="717">
        <f>SUM(K41:K45)</f>
        <v/>
      </c>
    </row>
    <row r="47" ht="12" customHeight="1" s="223">
      <c r="D47" s="695" t="inlineStr">
        <is>
          <t>Noncontrolling interests</t>
        </is>
      </c>
      <c r="E47" s="679">
        <f>SUMIFS(BS!$F$63:$AG$63,BS!$F$10:$AG$10,E$9)</f>
        <v/>
      </c>
      <c r="F47" s="679">
        <f>SUMIFS(BS!$F$63:$AG$63,BS!$F$10:$AG$10,F$9)</f>
        <v/>
      </c>
      <c r="G47" s="679">
        <f>SUMIFS(BS!$F$63:$AG$63,BS!$F$10:$AG$10,G$9)</f>
        <v/>
      </c>
      <c r="H47" s="679">
        <f>SUMIFS(BS!$F$63:$AG$63,BS!$F$10:$AG$10,H$9)</f>
        <v/>
      </c>
      <c r="I47" s="679">
        <f>SUMIFS(BS!$F$63:$AG$63,BS!$F$10:$AG$10,I$9)</f>
        <v/>
      </c>
      <c r="J47" s="727">
        <f>SUMIFS(BS!$F$63:$AG$63,BS!$F$10:$AG$10,J$9)</f>
        <v/>
      </c>
      <c r="K47" s="728">
        <f>SUMIFS(BS!$F$63:$AG$63,BS!$F$10:$AG$10,K$9)</f>
        <v/>
      </c>
    </row>
    <row r="48" ht="12" customHeight="1" s="223">
      <c r="D48" s="681" t="inlineStr">
        <is>
          <t>Total equity</t>
        </is>
      </c>
      <c r="E48" s="716">
        <f>E46+E47</f>
        <v/>
      </c>
      <c r="F48" s="716">
        <f>F46+F47</f>
        <v/>
      </c>
      <c r="G48" s="716">
        <f>G46+G47</f>
        <v/>
      </c>
      <c r="H48" s="716">
        <f>H46+H47</f>
        <v/>
      </c>
      <c r="I48" s="717">
        <f>I46+I47</f>
        <v/>
      </c>
      <c r="J48" s="718">
        <f>J46+J47</f>
        <v/>
      </c>
      <c r="K48" s="717">
        <f>K46+K47</f>
        <v/>
      </c>
    </row>
    <row r="49" ht="3" customHeight="1" s="223">
      <c r="J49" s="723" t="n"/>
      <c r="K49" s="724" t="n"/>
    </row>
    <row r="50" ht="12" customHeight="1" s="223">
      <c r="D50" s="681" t="inlineStr">
        <is>
          <t>Total liabilities and equity</t>
        </is>
      </c>
      <c r="E50" s="716">
        <f>E37+E39+E40+E48</f>
        <v/>
      </c>
      <c r="F50" s="716">
        <f>F37+F39+F40+F48</f>
        <v/>
      </c>
      <c r="G50" s="716">
        <f>G37+G39+G40+G48</f>
        <v/>
      </c>
      <c r="H50" s="716">
        <f>H37+H39+H40+H48</f>
        <v/>
      </c>
      <c r="I50" s="717">
        <f>I37+I39+I40+I48</f>
        <v/>
      </c>
      <c r="J50" s="718">
        <f>J37+J39+J40+J48</f>
        <v/>
      </c>
      <c r="K50" s="717">
        <f>K37+K39+K40+K48</f>
        <v/>
      </c>
    </row>
    <row r="51" ht="12" customHeight="1" s="223">
      <c r="D51" s="687" t="inlineStr">
        <is>
          <t>Check</t>
        </is>
      </c>
      <c r="E51" s="690">
        <f>E50-E25</f>
        <v/>
      </c>
      <c r="F51" s="690">
        <f>F50-F25</f>
        <v/>
      </c>
      <c r="G51" s="690">
        <f>G50-G25</f>
        <v/>
      </c>
      <c r="H51" s="690">
        <f>H50-H25</f>
        <v/>
      </c>
      <c r="I51" s="690">
        <f>I50-I25</f>
        <v/>
      </c>
      <c r="J51" s="729">
        <f>J50-J25</f>
        <v/>
      </c>
      <c r="K51" s="730">
        <f>K50-K25</f>
        <v/>
      </c>
    </row>
    <row r="52" ht="3" customHeight="1" s="223">
      <c r="J52" s="723" t="n"/>
      <c r="K52" s="724" t="n"/>
    </row>
    <row r="53" ht="12" customHeight="1" s="223">
      <c r="D53" s="731" t="inlineStr">
        <is>
          <t>Memo: Leverage</t>
        </is>
      </c>
      <c r="E53" s="732" t="n"/>
      <c r="F53" s="732" t="n"/>
      <c r="G53" s="732" t="n"/>
      <c r="H53" s="732" t="n"/>
      <c r="I53" s="732" t="n"/>
      <c r="J53" s="733" t="n"/>
      <c r="K53" s="734" t="n"/>
    </row>
    <row r="54" ht="12" customHeight="1" s="223">
      <c r="D54" s="735" t="inlineStr">
        <is>
          <t>Adj. EBITDA (LTM)</t>
        </is>
      </c>
      <c r="E54" s="675">
        <f>IS!AB63</f>
        <v/>
      </c>
      <c r="F54" s="675">
        <f>IS!AC63</f>
        <v/>
      </c>
      <c r="G54" s="675">
        <f>IS!AD63</f>
        <v/>
      </c>
      <c r="H54" s="675">
        <f>IS!AE63</f>
        <v/>
      </c>
      <c r="I54" s="675">
        <f>IS!AF63</f>
        <v/>
      </c>
      <c r="J54" s="736">
        <f>IS!AH63</f>
        <v/>
      </c>
      <c r="K54" s="737">
        <f>IS!AI63</f>
        <v/>
      </c>
    </row>
    <row r="55" ht="12" customHeight="1" s="223">
      <c r="D55" s="735" t="inlineStr">
        <is>
          <t>Adj. EBITDA excl. IEEPA tariff benefit (LTM)</t>
        </is>
      </c>
      <c r="E55" s="675">
        <f>IS!AB68</f>
        <v/>
      </c>
      <c r="F55" s="675">
        <f>IS!AC68</f>
        <v/>
      </c>
      <c r="G55" s="675">
        <f>IS!AD68</f>
        <v/>
      </c>
      <c r="H55" s="675">
        <f>IS!AE68</f>
        <v/>
      </c>
      <c r="I55" s="675">
        <f>IS!AF68</f>
        <v/>
      </c>
      <c r="J55" s="736">
        <f>IS!AH68</f>
        <v/>
      </c>
      <c r="K55" s="737">
        <f>IS!AI68</f>
        <v/>
      </c>
    </row>
    <row r="56" ht="12" customHeight="1" s="223">
      <c r="D56" s="735" t="inlineStr">
        <is>
          <t>Gross leverage</t>
        </is>
      </c>
      <c r="E56" s="738">
        <f>IFERROR((E27+E33)/E54,"n/a")</f>
        <v/>
      </c>
      <c r="F56" s="738">
        <f>IFERROR((F27+F33)/F54,"n/a")</f>
        <v/>
      </c>
      <c r="G56" s="738">
        <f>IFERROR((G27+G33)/G54,"n/a")</f>
        <v/>
      </c>
      <c r="H56" s="738">
        <f>IFERROR((H27+H33)/H54,"n/a")</f>
        <v/>
      </c>
      <c r="I56" s="738">
        <f>IFERROR((I27+I33)/I54,"n/a")</f>
        <v/>
      </c>
      <c r="J56" s="739">
        <f>IFERROR((J27+J33)/J54,"n/a")</f>
        <v/>
      </c>
      <c r="K56" s="740">
        <f>IFERROR((K27+K33)/K54,"n/a")</f>
        <v/>
      </c>
    </row>
    <row r="57" ht="12" customHeight="1" s="223">
      <c r="D57" s="735" t="inlineStr">
        <is>
          <t>Net leverage</t>
        </is>
      </c>
      <c r="E57" s="738">
        <f>IFERROR(((E27+E33)-E11)/E54,"n/a")</f>
        <v/>
      </c>
      <c r="F57" s="738">
        <f>IFERROR(((F27+F33)-F11)/F54,"n/a")</f>
        <v/>
      </c>
      <c r="G57" s="738">
        <f>IFERROR(((G27+G33)-G11)/G54,"n/a")</f>
        <v/>
      </c>
      <c r="H57" s="738">
        <f>IFERROR(((H27+H33)-H11)/H54,"n/a")</f>
        <v/>
      </c>
      <c r="I57" s="738">
        <f>IFERROR(((I27+I33)-I11)/I54,"n/a")</f>
        <v/>
      </c>
      <c r="J57" s="739">
        <f>IFERROR(((J27+J33)-J11)/J54,"n/a")</f>
        <v/>
      </c>
      <c r="K57" s="740">
        <f>IFERROR(((K27+K33)-K11)/K54,"n/a")</f>
        <v/>
      </c>
    </row>
    <row r="58" ht="12" customHeight="1" s="223">
      <c r="D58" s="735" t="inlineStr">
        <is>
          <t>Gross leverage excl. IEEPA</t>
        </is>
      </c>
      <c r="E58" s="738">
        <f>IFERROR((E27+E33)/E55,"n/a")</f>
        <v/>
      </c>
      <c r="F58" s="738">
        <f>IFERROR((F27+F33)/F55,"n/a")</f>
        <v/>
      </c>
      <c r="G58" s="738">
        <f>IFERROR((G27+G33)/G55,"n/a")</f>
        <v/>
      </c>
      <c r="H58" s="738">
        <f>IFERROR((H27+H33)/H55,"n/a")</f>
        <v/>
      </c>
      <c r="I58" s="738">
        <f>IFERROR((I27+I33)/I55,"n/a")</f>
        <v/>
      </c>
      <c r="J58" s="739">
        <f>IFERROR((J27+J33)/J55,"n/a")</f>
        <v/>
      </c>
      <c r="K58" s="740">
        <f>IFERROR((K27+K33)/K55,"n/a")</f>
        <v/>
      </c>
    </row>
    <row r="59" ht="12" customHeight="1" s="223">
      <c r="D59" s="741" t="inlineStr">
        <is>
          <t>Net leverage excl. IEEPA</t>
        </is>
      </c>
      <c r="E59" s="742">
        <f>IFERROR(((E27+E33)-E11)/E55,"n/a")</f>
        <v/>
      </c>
      <c r="F59" s="742">
        <f>IFERROR(((F27+F33)-F11)/F55,"n/a")</f>
        <v/>
      </c>
      <c r="G59" s="742">
        <f>IFERROR(((G27+G33)-G11)/G55,"n/a")</f>
        <v/>
      </c>
      <c r="H59" s="742">
        <f>IFERROR(((H27+H33)-H11)/H55,"n/a")</f>
        <v/>
      </c>
      <c r="I59" s="742">
        <f>IFERROR(((I27+I33)-I11)/I55,"n/a")</f>
        <v/>
      </c>
      <c r="J59" s="743">
        <f>IFERROR(((J27+J33)-J11)/J55,"n/a")</f>
        <v/>
      </c>
      <c r="K59" s="744">
        <f>IFERROR(((K27+K33)-K11)/K55,"n/a")</f>
        <v/>
      </c>
    </row>
    <row r="60" ht="12" customHeight="1" s="223"/>
    <row r="61" ht="12" customHeight="1" s="223">
      <c r="D61" s="710" t="inlineStr">
        <is>
          <t>Note: Lexmark acquired July 1, 2025. Leverage uses balance sheet debt (excludes the tariff monetization financing liability).</t>
        </is>
      </c>
    </row>
    <row r="62" ht="12" customHeight="1" s="223"/>
  </sheetData>
  <mergeCells count="2">
    <mergeCell ref="F7:I7"/>
    <mergeCell ref="J7:K7"/>
  </mergeCells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02060"/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24" customWidth="1" style="223" min="1" max="1"/>
  </cols>
  <sheetData>
    <row r="1">
      <c r="A1" s="596" t="inlineStr">
        <is>
          <t>Credit Analysis &gt;</t>
        </is>
      </c>
      <c r="B1" s="597">
        <f>'Cover Page'!A1</f>
        <v/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0" zoomScale="100" workbookViewId="0">
      <selection activeCell="A1" sqref="A1"/>
    </sheetView>
  </sheetViews>
  <sheetFormatPr baseColWidth="8" defaultRowHeight="15"/>
  <cols>
    <col width="1.7" customWidth="1" style="223" min="1" max="1"/>
    <col width="20" customWidth="1" style="223" min="3" max="3"/>
    <col width="10.5" customWidth="1" style="223" min="4" max="4"/>
    <col width="10.5" customWidth="1" style="223" min="5" max="5"/>
    <col width="10.3" customWidth="1" style="223" min="6" max="6"/>
    <col width="10.3" customWidth="1" style="223" min="7" max="7"/>
    <col width="10.3" customWidth="1" style="223" min="8" max="8"/>
    <col width="10.3" customWidth="1" style="223" min="9" max="9"/>
    <col width="10.3" customWidth="1" style="223" min="10" max="10"/>
    <col width="10.3" customWidth="1" style="223" min="11" max="11"/>
    <col width="10.3" customWidth="1" style="223" min="12" max="12"/>
    <col width="3.6" customWidth="1" style="223" min="13" max="13"/>
    <col width="20" customWidth="1" style="223" min="14" max="14"/>
    <col width="10.5" customWidth="1" style="223" min="15" max="15"/>
    <col width="10.5" customWidth="1" style="223" min="16" max="16"/>
    <col width="10.3" customWidth="1" style="223" min="17" max="17"/>
    <col width="10.3" customWidth="1" style="223" min="18" max="18"/>
    <col width="10.3" customWidth="1" style="223" min="19" max="19"/>
    <col width="10.3" customWidth="1" style="223" min="20" max="20"/>
    <col width="10.3" customWidth="1" style="223" min="21" max="21"/>
  </cols>
  <sheetData>
    <row r="1">
      <c r="A1" s="671">
        <f>C3</f>
        <v/>
      </c>
      <c r="B1" s="597">
        <f>'Cover Page'!A1</f>
        <v/>
      </c>
    </row>
    <row r="2"/>
    <row r="3">
      <c r="C3" s="745" t="inlineStr">
        <is>
          <t>Net Working Capital Analysis</t>
        </is>
      </c>
      <c r="D3" s="746" t="n"/>
      <c r="E3" s="746" t="n"/>
      <c r="F3" s="746" t="n"/>
      <c r="G3" s="746" t="n"/>
      <c r="H3" s="746" t="n"/>
      <c r="I3" s="746" t="n"/>
      <c r="J3" s="746" t="n"/>
      <c r="K3" s="746" t="n"/>
      <c r="L3" s="746" t="n"/>
      <c r="M3" s="746" t="n"/>
      <c r="N3" s="746" t="n"/>
      <c r="O3" s="746" t="n"/>
      <c r="P3" s="746" t="n"/>
      <c r="Q3" s="746" t="n"/>
      <c r="R3" s="746" t="n"/>
      <c r="S3" s="746" t="n"/>
      <c r="T3" s="746" t="n"/>
      <c r="U3" s="747" t="n"/>
    </row>
    <row r="4">
      <c r="C4" s="748" t="inlineStr">
        <is>
          <t>Xerox Holdings Corporation – All values in $ millions (USD), except per-share values. Data as of June 30, 2026 (2Q'26).</t>
        </is>
      </c>
      <c r="D4" s="749" t="n"/>
      <c r="E4" s="749" t="n"/>
      <c r="F4" s="749" t="n"/>
      <c r="G4" s="749" t="n"/>
      <c r="H4" s="749" t="n"/>
      <c r="I4" s="750" t="inlineStr">
        <is>
          <t>Print Toggle</t>
        </is>
      </c>
      <c r="J4" s="749" t="n"/>
      <c r="K4" s="751" t="n">
        <v>1</v>
      </c>
      <c r="L4" s="749" t="n"/>
      <c r="M4" s="749" t="n"/>
      <c r="N4" s="749" t="n"/>
      <c r="O4" s="749" t="n"/>
      <c r="P4" s="749" t="n"/>
      <c r="Q4" s="749" t="n"/>
      <c r="R4" s="749" t="n"/>
      <c r="S4" s="749" t="n"/>
      <c r="T4" s="749" t="n"/>
      <c r="U4" s="752" t="n"/>
    </row>
    <row r="5">
      <c r="C5" s="753" t="n"/>
    </row>
    <row r="6">
      <c r="C6" s="748" t="n"/>
    </row>
    <row r="7"/>
    <row r="8" ht="16.9" customHeight="1" s="223">
      <c r="A8" s="582" t="inlineStr">
        <is>
          <t>x</t>
        </is>
      </c>
      <c r="C8" s="607" t="inlineStr">
        <is>
          <t>Net Working Capital</t>
        </is>
      </c>
      <c r="D8" s="644" t="n"/>
      <c r="E8" s="644" t="n"/>
      <c r="F8" s="608" t="n"/>
      <c r="G8" s="608" t="inlineStr">
        <is>
          <t>Year Ended</t>
        </is>
      </c>
      <c r="H8" s="608" t="n"/>
      <c r="I8" s="608" t="n"/>
      <c r="J8" s="608" t="n"/>
      <c r="K8" s="644" t="n"/>
      <c r="L8" s="644" t="n"/>
      <c r="M8" s="644" t="n"/>
      <c r="N8" s="754" t="inlineStr">
        <is>
          <t>Change in NWC</t>
        </is>
      </c>
      <c r="O8" s="644" t="n"/>
      <c r="P8" s="644" t="n"/>
      <c r="Q8" s="608" t="n"/>
      <c r="R8" s="608" t="inlineStr">
        <is>
          <t>Year Ended</t>
        </is>
      </c>
      <c r="S8" s="608" t="n"/>
      <c r="T8" s="608" t="n"/>
      <c r="U8" s="608" t="n"/>
    </row>
    <row r="9" ht="4" customHeight="1" s="223"/>
    <row r="10" ht="16.9" customHeight="1" s="223">
      <c r="C10" s="745" t="n"/>
      <c r="D10" s="745" t="n"/>
      <c r="E10" s="745" t="n"/>
      <c r="F10" s="613" t="n">
        <v>2021</v>
      </c>
      <c r="G10" s="613">
        <f>F10+1</f>
        <v/>
      </c>
      <c r="H10" s="613">
        <f>G10+1</f>
        <v/>
      </c>
      <c r="I10" s="613">
        <f>H10+1</f>
        <v/>
      </c>
      <c r="J10" s="613">
        <f>I10+1</f>
        <v/>
      </c>
      <c r="K10" s="613" t="inlineStr">
        <is>
          <t>1Q'26</t>
        </is>
      </c>
      <c r="L10" s="613" t="inlineStr">
        <is>
          <t>2Q'26</t>
        </is>
      </c>
      <c r="M10" s="745" t="n"/>
      <c r="N10" s="745" t="n"/>
      <c r="O10" s="745" t="n"/>
      <c r="P10" s="745" t="n"/>
      <c r="Q10" s="613" t="n">
        <v>2021</v>
      </c>
      <c r="R10" s="613">
        <f>Q10+1</f>
        <v/>
      </c>
      <c r="S10" s="613">
        <f>R10+1</f>
        <v/>
      </c>
      <c r="T10" s="613">
        <f>S10+1</f>
        <v/>
      </c>
      <c r="U10" s="613">
        <f>T10+1</f>
        <v/>
      </c>
    </row>
    <row r="11" ht="16.9" customHeight="1" s="223">
      <c r="C11" s="755" t="inlineStr">
        <is>
          <t>Accounts receivable, net</t>
        </is>
      </c>
      <c r="F11" s="756">
        <f>SUMIFS(BS!14:14,BS!$10:$10,NWC!F$10)</f>
        <v/>
      </c>
      <c r="G11" s="756">
        <f>SUMIFS(BS!14:14,BS!$10:$10,NWC!G$10)</f>
        <v/>
      </c>
      <c r="H11" s="756">
        <f>SUMIFS(BS!14:14,BS!$10:$10,NWC!H$10)</f>
        <v/>
      </c>
      <c r="I11" s="756">
        <f>SUMIFS(BS!14:14,BS!$10:$10,NWC!I$10)</f>
        <v/>
      </c>
      <c r="J11" s="756">
        <f>SUMIFS(BS!14:14,BS!$10:$10,NWC!J$10)</f>
        <v/>
      </c>
      <c r="K11" s="757">
        <f>SUMIFS(BS!14:14,BS!$10:$10,NWC!K$10)</f>
        <v/>
      </c>
      <c r="L11" s="758">
        <f>SUMIFS(BS!14:14,BS!$10:$10,NWC!L$10)</f>
        <v/>
      </c>
      <c r="N11" s="755">
        <f>C11</f>
        <v/>
      </c>
      <c r="Q11" s="759" t="n"/>
      <c r="R11" s="759">
        <f>G11-F11</f>
        <v/>
      </c>
      <c r="S11" s="759">
        <f>H11-G11</f>
        <v/>
      </c>
      <c r="T11" s="759">
        <f>I11-H11</f>
        <v/>
      </c>
      <c r="U11" s="759">
        <f>J11-I11</f>
        <v/>
      </c>
    </row>
    <row r="12" ht="16.9" customHeight="1" s="223">
      <c r="C12" s="755" t="inlineStr">
        <is>
          <t>Billed finance receivables</t>
        </is>
      </c>
      <c r="F12" s="760">
        <f>SUMIFS(BS!15:15,BS!$10:$10,NWC!F$10)</f>
        <v/>
      </c>
      <c r="G12" s="760">
        <f>SUMIFS(BS!15:15,BS!$10:$10,NWC!G$10)</f>
        <v/>
      </c>
      <c r="H12" s="760">
        <f>SUMIFS(BS!15:15,BS!$10:$10,NWC!H$10)</f>
        <v/>
      </c>
      <c r="I12" s="760">
        <f>SUMIFS(BS!15:15,BS!$10:$10,NWC!I$10)</f>
        <v/>
      </c>
      <c r="J12" s="760">
        <f>SUMIFS(BS!15:15,BS!$10:$10,NWC!J$10)</f>
        <v/>
      </c>
      <c r="K12" s="761">
        <f>SUMIFS(BS!15:15,BS!$10:$10,NWC!K$10)</f>
        <v/>
      </c>
      <c r="L12" s="762">
        <f>SUMIFS(BS!15:15,BS!$10:$10,NWC!L$10)</f>
        <v/>
      </c>
      <c r="N12" s="755">
        <f>C12</f>
        <v/>
      </c>
      <c r="Q12" s="763" t="n"/>
      <c r="R12" s="763">
        <f>G12-F12</f>
        <v/>
      </c>
      <c r="S12" s="763">
        <f>H12-G12</f>
        <v/>
      </c>
      <c r="T12" s="763">
        <f>I12-H12</f>
        <v/>
      </c>
      <c r="U12" s="763">
        <f>J12-I12</f>
        <v/>
      </c>
    </row>
    <row r="13" ht="16.9" customHeight="1" s="223">
      <c r="C13" s="755" t="inlineStr">
        <is>
          <t>Inventories</t>
        </is>
      </c>
      <c r="F13" s="760">
        <f>SUMIFS(BS!17:17,BS!$10:$10,NWC!F$10)</f>
        <v/>
      </c>
      <c r="G13" s="760">
        <f>SUMIFS(BS!17:17,BS!$10:$10,NWC!G$10)</f>
        <v/>
      </c>
      <c r="H13" s="760">
        <f>SUMIFS(BS!17:17,BS!$10:$10,NWC!H$10)</f>
        <v/>
      </c>
      <c r="I13" s="760">
        <f>SUMIFS(BS!17:17,BS!$10:$10,NWC!I$10)</f>
        <v/>
      </c>
      <c r="J13" s="760">
        <f>SUMIFS(BS!17:17,BS!$10:$10,NWC!J$10)</f>
        <v/>
      </c>
      <c r="K13" s="761">
        <f>SUMIFS(BS!17:17,BS!$10:$10,NWC!K$10)</f>
        <v/>
      </c>
      <c r="L13" s="762">
        <f>SUMIFS(BS!17:17,BS!$10:$10,NWC!L$10)</f>
        <v/>
      </c>
      <c r="N13" s="755">
        <f>C13</f>
        <v/>
      </c>
      <c r="Q13" s="763" t="n"/>
      <c r="R13" s="763">
        <f>G13-F13</f>
        <v/>
      </c>
      <c r="S13" s="763">
        <f>H13-G13</f>
        <v/>
      </c>
      <c r="T13" s="763">
        <f>I13-H13</f>
        <v/>
      </c>
      <c r="U13" s="763">
        <f>J13-I13</f>
        <v/>
      </c>
    </row>
    <row r="14" ht="16.9" customHeight="1" s="223">
      <c r="C14" s="755" t="inlineStr">
        <is>
          <t>Other current assets</t>
        </is>
      </c>
      <c r="F14" s="760">
        <f>SUMIFS(BS!18:18,BS!$10:$10,NWC!F$10)</f>
        <v/>
      </c>
      <c r="G14" s="760">
        <f>SUMIFS(BS!18:18,BS!$10:$10,NWC!G$10)</f>
        <v/>
      </c>
      <c r="H14" s="760">
        <f>SUMIFS(BS!18:18,BS!$10:$10,NWC!H$10)</f>
        <v/>
      </c>
      <c r="I14" s="760">
        <f>SUMIFS(BS!18:18,BS!$10:$10,NWC!I$10)</f>
        <v/>
      </c>
      <c r="J14" s="760">
        <f>SUMIFS(BS!18:18,BS!$10:$10,NWC!J$10)</f>
        <v/>
      </c>
      <c r="K14" s="761">
        <f>SUMIFS(BS!18:18,BS!$10:$10,NWC!K$10)</f>
        <v/>
      </c>
      <c r="L14" s="762">
        <f>SUMIFS(BS!18:18,BS!$10:$10,NWC!L$10)</f>
        <v/>
      </c>
      <c r="N14" s="755">
        <f>C14</f>
        <v/>
      </c>
      <c r="Q14" s="763" t="n"/>
      <c r="R14" s="763">
        <f>G14-F14</f>
        <v/>
      </c>
      <c r="S14" s="763">
        <f>H14-G14</f>
        <v/>
      </c>
      <c r="T14" s="763">
        <f>I14-H14</f>
        <v/>
      </c>
      <c r="U14" s="763">
        <f>J14-I14</f>
        <v/>
      </c>
    </row>
    <row r="15" ht="16.9" customHeight="1" s="223">
      <c r="C15" s="755" t="inlineStr">
        <is>
          <t>Accounts payable</t>
        </is>
      </c>
      <c r="F15" s="760">
        <f>-SUMIFS(BS!37:37,BS!$10:$10,NWC!F$10)</f>
        <v/>
      </c>
      <c r="G15" s="760">
        <f>-SUMIFS(BS!37:37,BS!$10:$10,NWC!G$10)</f>
        <v/>
      </c>
      <c r="H15" s="760">
        <f>-SUMIFS(BS!37:37,BS!$10:$10,NWC!H$10)</f>
        <v/>
      </c>
      <c r="I15" s="760">
        <f>-SUMIFS(BS!37:37,BS!$10:$10,NWC!I$10)</f>
        <v/>
      </c>
      <c r="J15" s="760">
        <f>-SUMIFS(BS!37:37,BS!$10:$10,NWC!J$10)</f>
        <v/>
      </c>
      <c r="K15" s="761">
        <f>-SUMIFS(BS!37:37,BS!$10:$10,NWC!K$10)</f>
        <v/>
      </c>
      <c r="L15" s="762">
        <f>-SUMIFS(BS!37:37,BS!$10:$10,NWC!L$10)</f>
        <v/>
      </c>
      <c r="N15" s="755">
        <f>C15</f>
        <v/>
      </c>
      <c r="Q15" s="763" t="n"/>
      <c r="R15" s="763">
        <f>G15-F15</f>
        <v/>
      </c>
      <c r="S15" s="763">
        <f>H15-G15</f>
        <v/>
      </c>
      <c r="T15" s="763">
        <f>I15-H15</f>
        <v/>
      </c>
      <c r="U15" s="763">
        <f>J15-I15</f>
        <v/>
      </c>
    </row>
    <row r="16" ht="16.9" customHeight="1" s="223">
      <c r="C16" s="755" t="inlineStr">
        <is>
          <t>Accrued compensation &amp; benefits</t>
        </is>
      </c>
      <c r="F16" s="760">
        <f>-SUMIFS(BS!38:38,BS!$10:$10,NWC!F$10)</f>
        <v/>
      </c>
      <c r="G16" s="760">
        <f>-SUMIFS(BS!38:38,BS!$10:$10,NWC!G$10)</f>
        <v/>
      </c>
      <c r="H16" s="760">
        <f>-SUMIFS(BS!38:38,BS!$10:$10,NWC!H$10)</f>
        <v/>
      </c>
      <c r="I16" s="760">
        <f>-SUMIFS(BS!38:38,BS!$10:$10,NWC!I$10)</f>
        <v/>
      </c>
      <c r="J16" s="760">
        <f>-SUMIFS(BS!38:38,BS!$10:$10,NWC!J$10)</f>
        <v/>
      </c>
      <c r="K16" s="761">
        <f>-SUMIFS(BS!38:38,BS!$10:$10,NWC!K$10)</f>
        <v/>
      </c>
      <c r="L16" s="762">
        <f>-SUMIFS(BS!38:38,BS!$10:$10,NWC!L$10)</f>
        <v/>
      </c>
      <c r="N16" s="755">
        <f>C16</f>
        <v/>
      </c>
      <c r="Q16" s="763" t="n"/>
      <c r="R16" s="763">
        <f>G16-F16</f>
        <v/>
      </c>
      <c r="S16" s="763">
        <f>H16-G16</f>
        <v/>
      </c>
      <c r="T16" s="763">
        <f>I16-H16</f>
        <v/>
      </c>
      <c r="U16" s="763">
        <f>J16-I16</f>
        <v/>
      </c>
    </row>
    <row r="17" ht="16.9" customHeight="1" s="223">
      <c r="C17" s="755" t="inlineStr">
        <is>
          <t>Accrued exp. &amp; other CL</t>
        </is>
      </c>
      <c r="F17" s="760">
        <f>-SUMIFS(BS!39:39,BS!$10:$10,NWC!F$10)</f>
        <v/>
      </c>
      <c r="G17" s="760">
        <f>-SUMIFS(BS!39:39,BS!$10:$10,NWC!G$10)</f>
        <v/>
      </c>
      <c r="H17" s="760">
        <f>-SUMIFS(BS!39:39,BS!$10:$10,NWC!H$10)</f>
        <v/>
      </c>
      <c r="I17" s="760">
        <f>-SUMIFS(BS!39:39,BS!$10:$10,NWC!I$10)</f>
        <v/>
      </c>
      <c r="J17" s="760">
        <f>-SUMIFS(BS!39:39,BS!$10:$10,NWC!J$10)</f>
        <v/>
      </c>
      <c r="K17" s="761">
        <f>-SUMIFS(BS!39:39,BS!$10:$10,NWC!K$10)</f>
        <v/>
      </c>
      <c r="L17" s="762">
        <f>-SUMIFS(BS!39:39,BS!$10:$10,NWC!L$10)</f>
        <v/>
      </c>
      <c r="N17" s="755">
        <f>C17</f>
        <v/>
      </c>
      <c r="Q17" s="763" t="n"/>
      <c r="R17" s="763">
        <f>G17-F17</f>
        <v/>
      </c>
      <c r="S17" s="763">
        <f>H17-G17</f>
        <v/>
      </c>
      <c r="T17" s="763">
        <f>I17-H17</f>
        <v/>
      </c>
      <c r="U17" s="763">
        <f>J17-I17</f>
        <v/>
      </c>
    </row>
    <row r="18" ht="16.9" customHeight="1" s="223">
      <c r="C18" s="764" t="inlineStr">
        <is>
          <t>Total NWC</t>
        </is>
      </c>
      <c r="D18" s="765" t="n"/>
      <c r="E18" s="765" t="n"/>
      <c r="F18" s="766">
        <f>SUM(F11:F17)</f>
        <v/>
      </c>
      <c r="G18" s="766">
        <f>SUM(G11:G17)</f>
        <v/>
      </c>
      <c r="H18" s="766">
        <f>SUM(H11:H17)</f>
        <v/>
      </c>
      <c r="I18" s="766">
        <f>SUM(I11:I17)</f>
        <v/>
      </c>
      <c r="J18" s="766">
        <f>SUM(J11:J17)</f>
        <v/>
      </c>
      <c r="K18" s="766">
        <f>SUM(K11:K17)</f>
        <v/>
      </c>
      <c r="L18" s="767">
        <f>SUM(L11:L17)</f>
        <v/>
      </c>
      <c r="N18" s="764" t="inlineStr">
        <is>
          <t>Change in NWC</t>
        </is>
      </c>
      <c r="O18" s="765" t="n"/>
      <c r="P18" s="765" t="n"/>
      <c r="Q18" s="766" t="n"/>
      <c r="R18" s="766">
        <f>SUM(R11:R17)</f>
        <v/>
      </c>
      <c r="S18" s="766">
        <f>SUM(S11:S17)</f>
        <v/>
      </c>
      <c r="T18" s="766">
        <f>SUM(T11:T17)</f>
        <v/>
      </c>
      <c r="U18" s="767">
        <f>SUM(U11:U17)</f>
        <v/>
      </c>
    </row>
    <row r="19" ht="4" customHeight="1" s="223"/>
    <row r="20" ht="16.9" customHeight="1" s="223">
      <c r="C20" s="764" t="inlineStr">
        <is>
          <t>Change in NWC(1)</t>
        </is>
      </c>
      <c r="D20" s="765" t="n"/>
      <c r="E20" s="765" t="n"/>
      <c r="F20" s="766">
        <f>Q18</f>
        <v/>
      </c>
      <c r="G20" s="766">
        <f>R18</f>
        <v/>
      </c>
      <c r="H20" s="766">
        <f>S18</f>
        <v/>
      </c>
      <c r="I20" s="766">
        <f>T18</f>
        <v/>
      </c>
      <c r="J20" s="766">
        <f>U18</f>
        <v/>
      </c>
      <c r="K20" s="768">
        <f>K18-J18</f>
        <v/>
      </c>
      <c r="L20" s="767">
        <f>L18-K18</f>
        <v/>
      </c>
      <c r="N20" s="769" t="inlineStr">
        <is>
          <t>Check</t>
        </is>
      </c>
      <c r="R20" s="770">
        <f>SUMIFS('Quarterly NWC'!44:44,'Quarterly NWC'!$28:$28,NWC!R$10)+R18</f>
        <v/>
      </c>
      <c r="S20" s="770">
        <f>SUMIFS('Quarterly NWC'!44:44,'Quarterly NWC'!$28:$28,NWC!S$10)+S18</f>
        <v/>
      </c>
      <c r="T20" s="770">
        <f>SUMIFS('Quarterly NWC'!44:44,'Quarterly NWC'!$28:$28,NWC!T$10)+T18</f>
        <v/>
      </c>
      <c r="U20" s="770">
        <f>SUMIFS('Quarterly NWC'!44:44,'Quarterly NWC'!$28:$28,NWC!U$10)+U18</f>
        <v/>
      </c>
    </row>
    <row r="21" ht="4" customHeight="1" s="223"/>
    <row r="22" ht="16.9" customHeight="1" s="223">
      <c r="C22" s="771" t="inlineStr">
        <is>
          <t>Memo:</t>
        </is>
      </c>
    </row>
    <row r="23" ht="16.9" customHeight="1" s="223">
      <c r="C23" s="772" t="inlineStr">
        <is>
          <t>DSO</t>
        </is>
      </c>
      <c r="D23" s="773" t="n"/>
      <c r="E23" s="773" t="n"/>
      <c r="F23" s="774">
        <f>F11/F26*F28</f>
        <v/>
      </c>
      <c r="G23" s="774">
        <f>G11/G26*G28</f>
        <v/>
      </c>
      <c r="H23" s="774">
        <f>H11/H26*H28</f>
        <v/>
      </c>
      <c r="I23" s="774">
        <f>I11/I26*I28</f>
        <v/>
      </c>
      <c r="J23" s="774">
        <f>J11/J26*J28</f>
        <v/>
      </c>
      <c r="K23" s="774">
        <f>K11/K26*K28</f>
        <v/>
      </c>
      <c r="L23" s="775">
        <f>L11/L26*L28</f>
        <v/>
      </c>
    </row>
    <row r="24" ht="16.9" customHeight="1" s="223">
      <c r="C24" s="776" t="inlineStr">
        <is>
          <t>DPO</t>
        </is>
      </c>
      <c r="D24" s="750" t="n"/>
      <c r="E24" s="750" t="n"/>
      <c r="F24" s="777">
        <f>-F15/F27*F28</f>
        <v/>
      </c>
      <c r="G24" s="777">
        <f>-G15/G27*G28</f>
        <v/>
      </c>
      <c r="H24" s="777">
        <f>-H15/H27*H28</f>
        <v/>
      </c>
      <c r="I24" s="777">
        <f>-I15/I27*I28</f>
        <v/>
      </c>
      <c r="J24" s="777">
        <f>-J15/J27*J28</f>
        <v/>
      </c>
      <c r="K24" s="777">
        <f>-K15/K27*K28</f>
        <v/>
      </c>
      <c r="L24" s="778">
        <f>-L15/L27*L28</f>
        <v/>
      </c>
    </row>
    <row r="25" ht="4" customHeight="1" s="223"/>
    <row r="26" ht="16.9" customHeight="1" s="223">
      <c r="C26" s="779" t="inlineStr">
        <is>
          <t>Revenue</t>
        </is>
      </c>
      <c r="F26" s="780">
        <f>SUMIFS(IS!13:13,IS!$9:$9,"FY"&amp;NWC!F$10)</f>
        <v/>
      </c>
      <c r="G26" s="780">
        <f>SUMIFS(IS!13:13,IS!$9:$9,"FY"&amp;NWC!G$10)</f>
        <v/>
      </c>
      <c r="H26" s="780">
        <f>SUMIFS(IS!13:13,IS!$9:$9,"FY"&amp;NWC!H$10)</f>
        <v/>
      </c>
      <c r="I26" s="780">
        <f>SUMIFS(IS!13:13,IS!$9:$9,"FY"&amp;NWC!I$10)</f>
        <v/>
      </c>
      <c r="J26" s="780">
        <f>SUMIFS(IS!13:13,IS!$9:$9,"FY"&amp;NWC!J$10)</f>
        <v/>
      </c>
      <c r="K26" s="780">
        <f>SUMIFS(IS!13:13,IS!$9:$9,NWC!K$10)</f>
        <v/>
      </c>
      <c r="L26" s="780">
        <f>SUMIFS(IS!13:13,IS!$9:$9,NWC!L$10)</f>
        <v/>
      </c>
    </row>
    <row r="27" ht="16.9" customHeight="1" s="223">
      <c r="C27" s="779" t="inlineStr">
        <is>
          <t>COGS</t>
        </is>
      </c>
      <c r="F27" s="780">
        <f>SUMIFS(IS!19:19,IS!$9:$9,"FY"&amp;NWC!F$10)</f>
        <v/>
      </c>
      <c r="G27" s="780">
        <f>SUMIFS(IS!19:19,IS!$9:$9,"FY"&amp;NWC!G$10)</f>
        <v/>
      </c>
      <c r="H27" s="780">
        <f>SUMIFS(IS!19:19,IS!$9:$9,"FY"&amp;NWC!H$10)</f>
        <v/>
      </c>
      <c r="I27" s="780">
        <f>SUMIFS(IS!19:19,IS!$9:$9,"FY"&amp;NWC!I$10)</f>
        <v/>
      </c>
      <c r="J27" s="780">
        <f>SUMIFS(IS!19:19,IS!$9:$9,"FY"&amp;NWC!J$10)</f>
        <v/>
      </c>
      <c r="K27" s="780">
        <f>SUMIFS(IS!19:19,IS!$9:$9,NWC!K$10)</f>
        <v/>
      </c>
      <c r="L27" s="780">
        <f>SUMIFS(IS!19:19,IS!$9:$9,NWC!L$10)</f>
        <v/>
      </c>
    </row>
    <row r="28" ht="16.9" customHeight="1" s="223">
      <c r="C28" s="779" t="inlineStr">
        <is>
          <t>Days</t>
        </is>
      </c>
      <c r="F28" s="781" t="n">
        <v>365</v>
      </c>
      <c r="G28" s="781" t="n">
        <v>365</v>
      </c>
      <c r="H28" s="781" t="n">
        <v>365</v>
      </c>
      <c r="I28" s="781" t="n">
        <v>366</v>
      </c>
      <c r="J28" s="781" t="n">
        <v>365</v>
      </c>
      <c r="K28" s="781" t="n">
        <v>91</v>
      </c>
      <c r="L28" s="781" t="n">
        <v>91</v>
      </c>
    </row>
    <row r="29"/>
    <row r="30">
      <c r="C30" s="782" t="inlineStr">
        <is>
          <t>(1) Change in NWC reflects year-over-year movement; a NWC build (use of cash) is a negative change.</t>
        </is>
      </c>
    </row>
    <row r="31" ht="12" customHeight="1" s="223">
      <c r="C31" s="782" t="inlineStr">
        <is>
          <t>(2) Operating WC only: excludes cash, short-term debt, the tariff-receivables financing liability and current finance receivables (lease book, funded by ~$1.3bn of financing debt).</t>
        </is>
      </c>
    </row>
    <row r="32" ht="12" customHeight="1" s="223">
      <c r="C32" s="782" t="inlineStr">
        <is>
          <t>(3) Billed portion of finance receivables included as trade-like receivables. Quarterly DSO/DPO use 91 days on quarterly revenue / cost of revenues.</t>
        </is>
      </c>
    </row>
    <row r="33"/>
    <row r="34">
      <c r="C34" s="783" t="inlineStr">
        <is>
          <t>Change in Net Working Capital by Year</t>
        </is>
      </c>
    </row>
    <row r="35">
      <c r="C35" s="782" t="inlineStr">
        <is>
          <t>Stacked drivers and the net change ($mm); a NWC build is a use of cash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  <pageSetup orientation="portrait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6"/>
  <sheetViews>
    <sheetView showGridLines="0" zoomScale="100" workbookViewId="0">
      <selection activeCell="A1" sqref="A1"/>
    </sheetView>
  </sheetViews>
  <sheetFormatPr baseColWidth="8" defaultRowHeight="15"/>
  <cols>
    <col width="1.7" customWidth="1" style="223" min="1" max="1"/>
    <col width="27.3" customWidth="1" style="223" min="4" max="4"/>
    <col width="10.8" customWidth="1" style="223" min="5" max="5"/>
    <col width="10.8" customWidth="1" style="223" min="6" max="6"/>
    <col width="10.8" customWidth="1" style="223" min="7" max="7"/>
    <col width="10.8" customWidth="1" style="223" min="8" max="8"/>
    <col width="10.8" customWidth="1" style="223" min="9" max="9"/>
    <col width="10.8" customWidth="1" style="223" min="10" max="10"/>
    <col width="10.8" customWidth="1" style="223" min="11" max="11"/>
    <col width="10.8" customWidth="1" style="223" min="12" max="12"/>
    <col width="10.8" customWidth="1" style="223" min="13" max="13"/>
    <col width="10.8" customWidth="1" style="223" min="14" max="14"/>
    <col width="10.8" customWidth="1" style="223" min="15" max="15"/>
    <col width="10.8" customWidth="1" style="223" min="16" max="16"/>
    <col width="10.8" customWidth="1" style="223" min="17" max="17"/>
    <col width="10.8" customWidth="1" style="223" min="18" max="18"/>
    <col width="10.8" customWidth="1" style="223" min="19" max="19"/>
    <col width="10.8" customWidth="1" style="223" min="20" max="20"/>
    <col width="10.8" customWidth="1" style="223" min="21" max="21"/>
    <col width="10.8" customWidth="1" style="223" min="22" max="22"/>
    <col width="10.8" customWidth="1" style="223" min="23" max="23"/>
    <col width="10.8" customWidth="1" style="223" min="24" max="24"/>
    <col width="10.8" customWidth="1" style="223" min="25" max="25"/>
    <col width="10.8" customWidth="1" style="223" min="26" max="26"/>
  </cols>
  <sheetData>
    <row r="1">
      <c r="A1" s="671">
        <f>D3</f>
        <v/>
      </c>
      <c r="B1" s="597">
        <f>'Cover Page'!A1</f>
        <v/>
      </c>
    </row>
    <row r="2"/>
    <row r="3">
      <c r="D3" s="745" t="inlineStr">
        <is>
          <t>Quarterly Net Working Capital</t>
        </is>
      </c>
      <c r="E3" s="746" t="n"/>
      <c r="F3" s="746" t="n"/>
      <c r="G3" s="746" t="n"/>
      <c r="H3" s="746" t="n"/>
      <c r="I3" s="746" t="n"/>
      <c r="J3" s="746" t="n"/>
      <c r="K3" s="746" t="n"/>
      <c r="L3" s="746" t="n"/>
      <c r="M3" s="746" t="n"/>
      <c r="N3" s="746" t="n"/>
      <c r="O3" s="746" t="n"/>
      <c r="P3" s="746" t="n"/>
      <c r="Q3" s="746" t="n"/>
      <c r="R3" s="746" t="n"/>
      <c r="S3" s="746" t="n"/>
      <c r="T3" s="746" t="n"/>
      <c r="U3" s="746" t="n"/>
      <c r="V3" s="746" t="n"/>
      <c r="W3" s="746" t="n"/>
      <c r="X3" s="746" t="n"/>
      <c r="Y3" s="746" t="n"/>
      <c r="Z3" s="747" t="n"/>
    </row>
    <row r="4">
      <c r="D4" s="748" t="inlineStr">
        <is>
          <t>Xerox Holdings Corporation – All values in $ millions (USD), except per-share values. Data as of June 30, 2026 (2Q'26).</t>
        </is>
      </c>
      <c r="E4" s="753" t="n"/>
      <c r="F4" s="753" t="n"/>
      <c r="G4" s="753" t="n"/>
      <c r="H4" s="753" t="n"/>
      <c r="I4" s="753" t="n"/>
      <c r="J4" s="753" t="n"/>
      <c r="K4" s="753" t="n"/>
      <c r="L4" s="753" t="n"/>
      <c r="M4" s="753" t="n"/>
      <c r="N4" s="753" t="n"/>
      <c r="O4" s="753" t="n"/>
      <c r="P4" s="753" t="n"/>
      <c r="Q4" s="753" t="n"/>
      <c r="R4" s="753" t="n"/>
      <c r="S4" s="753" t="n"/>
      <c r="T4" s="753" t="n"/>
      <c r="U4" s="753" t="n"/>
      <c r="V4" s="753" t="n"/>
      <c r="W4" s="753" t="n"/>
      <c r="X4" s="753" t="n"/>
      <c r="Y4" s="753" t="n"/>
      <c r="Z4" s="784" t="n"/>
    </row>
    <row r="5">
      <c r="D5" s="753" t="n"/>
    </row>
    <row r="6">
      <c r="D6" s="748" t="n"/>
    </row>
    <row r="7"/>
    <row r="8" ht="16.9" customHeight="1" s="223">
      <c r="A8" s="582" t="inlineStr">
        <is>
          <t>x</t>
        </is>
      </c>
      <c r="D8" s="607" t="inlineStr">
        <is>
          <t>Quarterly</t>
        </is>
      </c>
      <c r="E8" s="608" t="n">
        <v>2021</v>
      </c>
      <c r="F8" s="608" t="n"/>
      <c r="G8" s="608" t="n"/>
      <c r="H8" s="608" t="n"/>
      <c r="I8" s="608" t="n">
        <v>2022</v>
      </c>
      <c r="J8" s="608" t="n"/>
      <c r="K8" s="608" t="n"/>
      <c r="L8" s="608" t="n"/>
      <c r="M8" s="608" t="n">
        <v>2023</v>
      </c>
      <c r="N8" s="608" t="n"/>
      <c r="O8" s="608" t="n"/>
      <c r="P8" s="608" t="n"/>
      <c r="Q8" s="608" t="n">
        <v>2024</v>
      </c>
      <c r="R8" s="608" t="n"/>
      <c r="S8" s="608" t="n"/>
      <c r="T8" s="608" t="n"/>
      <c r="U8" s="608" t="n">
        <v>2025</v>
      </c>
      <c r="V8" s="608" t="n"/>
      <c r="W8" s="608" t="n"/>
      <c r="X8" s="608" t="n"/>
      <c r="Y8" s="608" t="n">
        <v>2026</v>
      </c>
      <c r="Z8" s="608" t="n"/>
    </row>
    <row r="9" ht="4" customHeight="1" s="223"/>
    <row r="10" ht="16.9" customHeight="1" s="223">
      <c r="D10" s="745" t="n"/>
      <c r="E10" s="613" t="inlineStr">
        <is>
          <t>1Q'21</t>
        </is>
      </c>
      <c r="F10" s="613" t="inlineStr">
        <is>
          <t>2Q'21</t>
        </is>
      </c>
      <c r="G10" s="613" t="inlineStr">
        <is>
          <t>3Q'21</t>
        </is>
      </c>
      <c r="H10" s="613" t="inlineStr">
        <is>
          <t>4Q'21</t>
        </is>
      </c>
      <c r="I10" s="613" t="inlineStr">
        <is>
          <t>1Q'22</t>
        </is>
      </c>
      <c r="J10" s="613" t="inlineStr">
        <is>
          <t>2Q'22</t>
        </is>
      </c>
      <c r="K10" s="613" t="inlineStr">
        <is>
          <t>3Q'22</t>
        </is>
      </c>
      <c r="L10" s="613" t="inlineStr">
        <is>
          <t>4Q'22</t>
        </is>
      </c>
      <c r="M10" s="613" t="inlineStr">
        <is>
          <t>1Q'23</t>
        </is>
      </c>
      <c r="N10" s="613" t="inlineStr">
        <is>
          <t>2Q'23</t>
        </is>
      </c>
      <c r="O10" s="613" t="inlineStr">
        <is>
          <t>3Q'23</t>
        </is>
      </c>
      <c r="P10" s="613" t="inlineStr">
        <is>
          <t>4Q'23</t>
        </is>
      </c>
      <c r="Q10" s="613" t="inlineStr">
        <is>
          <t>1Q'24</t>
        </is>
      </c>
      <c r="R10" s="613" t="inlineStr">
        <is>
          <t>2Q'24</t>
        </is>
      </c>
      <c r="S10" s="613" t="inlineStr">
        <is>
          <t>3Q'24</t>
        </is>
      </c>
      <c r="T10" s="613" t="inlineStr">
        <is>
          <t>4Q'24</t>
        </is>
      </c>
      <c r="U10" s="613" t="inlineStr">
        <is>
          <t>1Q'25</t>
        </is>
      </c>
      <c r="V10" s="613" t="inlineStr">
        <is>
          <t>2Q'25</t>
        </is>
      </c>
      <c r="W10" s="613" t="inlineStr">
        <is>
          <t>3Q'25</t>
        </is>
      </c>
      <c r="X10" s="613" t="inlineStr">
        <is>
          <t>4Q'25</t>
        </is>
      </c>
      <c r="Y10" s="613" t="inlineStr">
        <is>
          <t>1Q'26</t>
        </is>
      </c>
      <c r="Z10" s="613" t="inlineStr">
        <is>
          <t>2Q'26</t>
        </is>
      </c>
    </row>
    <row r="11" ht="4" customHeight="1" s="223"/>
    <row r="12" ht="16.9" customHeight="1" s="223">
      <c r="D12" s="783" t="inlineStr">
        <is>
          <t>Current Assets</t>
        </is>
      </c>
    </row>
    <row r="13" ht="16.9" customHeight="1" s="223">
      <c r="D13" s="755" t="inlineStr">
        <is>
          <t>Accounts receivable, net</t>
        </is>
      </c>
      <c r="E13" s="756">
        <f>SUMIFS(BS!14:14,BS!$10:$10,'Quarterly NWC'!E$10)</f>
        <v/>
      </c>
      <c r="F13" s="756">
        <f>SUMIFS(BS!14:14,BS!$10:$10,'Quarterly NWC'!F$10)</f>
        <v/>
      </c>
      <c r="G13" s="756">
        <f>SUMIFS(BS!14:14,BS!$10:$10,'Quarterly NWC'!G$10)</f>
        <v/>
      </c>
      <c r="H13" s="756">
        <f>SUMIFS(BS!14:14,BS!$10:$10,'Quarterly NWC'!H$10)</f>
        <v/>
      </c>
      <c r="I13" s="756">
        <f>SUMIFS(BS!14:14,BS!$10:$10,'Quarterly NWC'!I$10)</f>
        <v/>
      </c>
      <c r="J13" s="756">
        <f>SUMIFS(BS!14:14,BS!$10:$10,'Quarterly NWC'!J$10)</f>
        <v/>
      </c>
      <c r="K13" s="756">
        <f>SUMIFS(BS!14:14,BS!$10:$10,'Quarterly NWC'!K$10)</f>
        <v/>
      </c>
      <c r="L13" s="756">
        <f>SUMIFS(BS!14:14,BS!$10:$10,'Quarterly NWC'!L$10)</f>
        <v/>
      </c>
      <c r="M13" s="756">
        <f>SUMIFS(BS!14:14,BS!$10:$10,'Quarterly NWC'!M$10)</f>
        <v/>
      </c>
      <c r="N13" s="756">
        <f>SUMIFS(BS!14:14,BS!$10:$10,'Quarterly NWC'!N$10)</f>
        <v/>
      </c>
      <c r="O13" s="756">
        <f>SUMIFS(BS!14:14,BS!$10:$10,'Quarterly NWC'!O$10)</f>
        <v/>
      </c>
      <c r="P13" s="756">
        <f>SUMIFS(BS!14:14,BS!$10:$10,'Quarterly NWC'!P$10)</f>
        <v/>
      </c>
      <c r="Q13" s="756">
        <f>SUMIFS(BS!14:14,BS!$10:$10,'Quarterly NWC'!Q$10)</f>
        <v/>
      </c>
      <c r="R13" s="756">
        <f>SUMIFS(BS!14:14,BS!$10:$10,'Quarterly NWC'!R$10)</f>
        <v/>
      </c>
      <c r="S13" s="756">
        <f>SUMIFS(BS!14:14,BS!$10:$10,'Quarterly NWC'!S$10)</f>
        <v/>
      </c>
      <c r="T13" s="756">
        <f>SUMIFS(BS!14:14,BS!$10:$10,'Quarterly NWC'!T$10)</f>
        <v/>
      </c>
      <c r="U13" s="756">
        <f>SUMIFS(BS!14:14,BS!$10:$10,'Quarterly NWC'!U$10)</f>
        <v/>
      </c>
      <c r="V13" s="756">
        <f>SUMIFS(BS!14:14,BS!$10:$10,'Quarterly NWC'!V$10)</f>
        <v/>
      </c>
      <c r="W13" s="756">
        <f>SUMIFS(BS!14:14,BS!$10:$10,'Quarterly NWC'!W$10)</f>
        <v/>
      </c>
      <c r="X13" s="756">
        <f>SUMIFS(BS!14:14,BS!$10:$10,'Quarterly NWC'!X$10)</f>
        <v/>
      </c>
      <c r="Y13" s="756">
        <f>SUMIFS(BS!14:14,BS!$10:$10,'Quarterly NWC'!Y$10)</f>
        <v/>
      </c>
      <c r="Z13" s="756">
        <f>SUMIFS(BS!14:14,BS!$10:$10,'Quarterly NWC'!Z$10)</f>
        <v/>
      </c>
    </row>
    <row r="14" ht="16.9" customHeight="1" s="223">
      <c r="D14" s="755" t="inlineStr">
        <is>
          <t>Billed finance receivables</t>
        </is>
      </c>
      <c r="E14" s="756">
        <f>SUMIFS(BS!15:15,BS!$10:$10,'Quarterly NWC'!E$10)</f>
        <v/>
      </c>
      <c r="F14" s="756">
        <f>SUMIFS(BS!15:15,BS!$10:$10,'Quarterly NWC'!F$10)</f>
        <v/>
      </c>
      <c r="G14" s="756">
        <f>SUMIFS(BS!15:15,BS!$10:$10,'Quarterly NWC'!G$10)</f>
        <v/>
      </c>
      <c r="H14" s="756">
        <f>SUMIFS(BS!15:15,BS!$10:$10,'Quarterly NWC'!H$10)</f>
        <v/>
      </c>
      <c r="I14" s="756">
        <f>SUMIFS(BS!15:15,BS!$10:$10,'Quarterly NWC'!I$10)</f>
        <v/>
      </c>
      <c r="J14" s="756">
        <f>SUMIFS(BS!15:15,BS!$10:$10,'Quarterly NWC'!J$10)</f>
        <v/>
      </c>
      <c r="K14" s="756">
        <f>SUMIFS(BS!15:15,BS!$10:$10,'Quarterly NWC'!K$10)</f>
        <v/>
      </c>
      <c r="L14" s="756">
        <f>SUMIFS(BS!15:15,BS!$10:$10,'Quarterly NWC'!L$10)</f>
        <v/>
      </c>
      <c r="M14" s="756">
        <f>SUMIFS(BS!15:15,BS!$10:$10,'Quarterly NWC'!M$10)</f>
        <v/>
      </c>
      <c r="N14" s="756">
        <f>SUMIFS(BS!15:15,BS!$10:$10,'Quarterly NWC'!N$10)</f>
        <v/>
      </c>
      <c r="O14" s="756">
        <f>SUMIFS(BS!15:15,BS!$10:$10,'Quarterly NWC'!O$10)</f>
        <v/>
      </c>
      <c r="P14" s="756">
        <f>SUMIFS(BS!15:15,BS!$10:$10,'Quarterly NWC'!P$10)</f>
        <v/>
      </c>
      <c r="Q14" s="756">
        <f>SUMIFS(BS!15:15,BS!$10:$10,'Quarterly NWC'!Q$10)</f>
        <v/>
      </c>
      <c r="R14" s="756">
        <f>SUMIFS(BS!15:15,BS!$10:$10,'Quarterly NWC'!R$10)</f>
        <v/>
      </c>
      <c r="S14" s="756">
        <f>SUMIFS(BS!15:15,BS!$10:$10,'Quarterly NWC'!S$10)</f>
        <v/>
      </c>
      <c r="T14" s="756">
        <f>SUMIFS(BS!15:15,BS!$10:$10,'Quarterly NWC'!T$10)</f>
        <v/>
      </c>
      <c r="U14" s="756">
        <f>SUMIFS(BS!15:15,BS!$10:$10,'Quarterly NWC'!U$10)</f>
        <v/>
      </c>
      <c r="V14" s="756">
        <f>SUMIFS(BS!15:15,BS!$10:$10,'Quarterly NWC'!V$10)</f>
        <v/>
      </c>
      <c r="W14" s="756">
        <f>SUMIFS(BS!15:15,BS!$10:$10,'Quarterly NWC'!W$10)</f>
        <v/>
      </c>
      <c r="X14" s="756">
        <f>SUMIFS(BS!15:15,BS!$10:$10,'Quarterly NWC'!X$10)</f>
        <v/>
      </c>
      <c r="Y14" s="756">
        <f>SUMIFS(BS!15:15,BS!$10:$10,'Quarterly NWC'!Y$10)</f>
        <v/>
      </c>
      <c r="Z14" s="756">
        <f>SUMIFS(BS!15:15,BS!$10:$10,'Quarterly NWC'!Z$10)</f>
        <v/>
      </c>
    </row>
    <row r="15" ht="16.9" customHeight="1" s="223">
      <c r="D15" s="755" t="inlineStr">
        <is>
          <t>Inventories</t>
        </is>
      </c>
      <c r="E15" s="756">
        <f>SUMIFS(BS!17:17,BS!$10:$10,'Quarterly NWC'!E$10)</f>
        <v/>
      </c>
      <c r="F15" s="756">
        <f>SUMIFS(BS!17:17,BS!$10:$10,'Quarterly NWC'!F$10)</f>
        <v/>
      </c>
      <c r="G15" s="756">
        <f>SUMIFS(BS!17:17,BS!$10:$10,'Quarterly NWC'!G$10)</f>
        <v/>
      </c>
      <c r="H15" s="756">
        <f>SUMIFS(BS!17:17,BS!$10:$10,'Quarterly NWC'!H$10)</f>
        <v/>
      </c>
      <c r="I15" s="756">
        <f>SUMIFS(BS!17:17,BS!$10:$10,'Quarterly NWC'!I$10)</f>
        <v/>
      </c>
      <c r="J15" s="756">
        <f>SUMIFS(BS!17:17,BS!$10:$10,'Quarterly NWC'!J$10)</f>
        <v/>
      </c>
      <c r="K15" s="756">
        <f>SUMIFS(BS!17:17,BS!$10:$10,'Quarterly NWC'!K$10)</f>
        <v/>
      </c>
      <c r="L15" s="756">
        <f>SUMIFS(BS!17:17,BS!$10:$10,'Quarterly NWC'!L$10)</f>
        <v/>
      </c>
      <c r="M15" s="756">
        <f>SUMIFS(BS!17:17,BS!$10:$10,'Quarterly NWC'!M$10)</f>
        <v/>
      </c>
      <c r="N15" s="756">
        <f>SUMIFS(BS!17:17,BS!$10:$10,'Quarterly NWC'!N$10)</f>
        <v/>
      </c>
      <c r="O15" s="756">
        <f>SUMIFS(BS!17:17,BS!$10:$10,'Quarterly NWC'!O$10)</f>
        <v/>
      </c>
      <c r="P15" s="756">
        <f>SUMIFS(BS!17:17,BS!$10:$10,'Quarterly NWC'!P$10)</f>
        <v/>
      </c>
      <c r="Q15" s="756">
        <f>SUMIFS(BS!17:17,BS!$10:$10,'Quarterly NWC'!Q$10)</f>
        <v/>
      </c>
      <c r="R15" s="756">
        <f>SUMIFS(BS!17:17,BS!$10:$10,'Quarterly NWC'!R$10)</f>
        <v/>
      </c>
      <c r="S15" s="756">
        <f>SUMIFS(BS!17:17,BS!$10:$10,'Quarterly NWC'!S$10)</f>
        <v/>
      </c>
      <c r="T15" s="756">
        <f>SUMIFS(BS!17:17,BS!$10:$10,'Quarterly NWC'!T$10)</f>
        <v/>
      </c>
      <c r="U15" s="756">
        <f>SUMIFS(BS!17:17,BS!$10:$10,'Quarterly NWC'!U$10)</f>
        <v/>
      </c>
      <c r="V15" s="756">
        <f>SUMIFS(BS!17:17,BS!$10:$10,'Quarterly NWC'!V$10)</f>
        <v/>
      </c>
      <c r="W15" s="756">
        <f>SUMIFS(BS!17:17,BS!$10:$10,'Quarterly NWC'!W$10)</f>
        <v/>
      </c>
      <c r="X15" s="756">
        <f>SUMIFS(BS!17:17,BS!$10:$10,'Quarterly NWC'!X$10)</f>
        <v/>
      </c>
      <c r="Y15" s="756">
        <f>SUMIFS(BS!17:17,BS!$10:$10,'Quarterly NWC'!Y$10)</f>
        <v/>
      </c>
      <c r="Z15" s="756">
        <f>SUMIFS(BS!17:17,BS!$10:$10,'Quarterly NWC'!Z$10)</f>
        <v/>
      </c>
    </row>
    <row r="16" ht="16.9" customHeight="1" s="223">
      <c r="D16" s="755" t="inlineStr">
        <is>
          <t>Other current assets</t>
        </is>
      </c>
      <c r="E16" s="756">
        <f>SUMIFS(BS!18:18,BS!$10:$10,'Quarterly NWC'!E$10)</f>
        <v/>
      </c>
      <c r="F16" s="756">
        <f>SUMIFS(BS!18:18,BS!$10:$10,'Quarterly NWC'!F$10)</f>
        <v/>
      </c>
      <c r="G16" s="756">
        <f>SUMIFS(BS!18:18,BS!$10:$10,'Quarterly NWC'!G$10)</f>
        <v/>
      </c>
      <c r="H16" s="756">
        <f>SUMIFS(BS!18:18,BS!$10:$10,'Quarterly NWC'!H$10)</f>
        <v/>
      </c>
      <c r="I16" s="756">
        <f>SUMIFS(BS!18:18,BS!$10:$10,'Quarterly NWC'!I$10)</f>
        <v/>
      </c>
      <c r="J16" s="756">
        <f>SUMIFS(BS!18:18,BS!$10:$10,'Quarterly NWC'!J$10)</f>
        <v/>
      </c>
      <c r="K16" s="756">
        <f>SUMIFS(BS!18:18,BS!$10:$10,'Quarterly NWC'!K$10)</f>
        <v/>
      </c>
      <c r="L16" s="756">
        <f>SUMIFS(BS!18:18,BS!$10:$10,'Quarterly NWC'!L$10)</f>
        <v/>
      </c>
      <c r="M16" s="756">
        <f>SUMIFS(BS!18:18,BS!$10:$10,'Quarterly NWC'!M$10)</f>
        <v/>
      </c>
      <c r="N16" s="756">
        <f>SUMIFS(BS!18:18,BS!$10:$10,'Quarterly NWC'!N$10)</f>
        <v/>
      </c>
      <c r="O16" s="756">
        <f>SUMIFS(BS!18:18,BS!$10:$10,'Quarterly NWC'!O$10)</f>
        <v/>
      </c>
      <c r="P16" s="756">
        <f>SUMIFS(BS!18:18,BS!$10:$10,'Quarterly NWC'!P$10)</f>
        <v/>
      </c>
      <c r="Q16" s="756">
        <f>SUMIFS(BS!18:18,BS!$10:$10,'Quarterly NWC'!Q$10)</f>
        <v/>
      </c>
      <c r="R16" s="756">
        <f>SUMIFS(BS!18:18,BS!$10:$10,'Quarterly NWC'!R$10)</f>
        <v/>
      </c>
      <c r="S16" s="756">
        <f>SUMIFS(BS!18:18,BS!$10:$10,'Quarterly NWC'!S$10)</f>
        <v/>
      </c>
      <c r="T16" s="756">
        <f>SUMIFS(BS!18:18,BS!$10:$10,'Quarterly NWC'!T$10)</f>
        <v/>
      </c>
      <c r="U16" s="756">
        <f>SUMIFS(BS!18:18,BS!$10:$10,'Quarterly NWC'!U$10)</f>
        <v/>
      </c>
      <c r="V16" s="756">
        <f>SUMIFS(BS!18:18,BS!$10:$10,'Quarterly NWC'!V$10)</f>
        <v/>
      </c>
      <c r="W16" s="756">
        <f>SUMIFS(BS!18:18,BS!$10:$10,'Quarterly NWC'!W$10)</f>
        <v/>
      </c>
      <c r="X16" s="756">
        <f>SUMIFS(BS!18:18,BS!$10:$10,'Quarterly NWC'!X$10)</f>
        <v/>
      </c>
      <c r="Y16" s="756">
        <f>SUMIFS(BS!18:18,BS!$10:$10,'Quarterly NWC'!Y$10)</f>
        <v/>
      </c>
      <c r="Z16" s="756">
        <f>SUMIFS(BS!18:18,BS!$10:$10,'Quarterly NWC'!Z$10)</f>
        <v/>
      </c>
    </row>
    <row r="17" ht="16.9" customHeight="1" s="223">
      <c r="D17" s="764" t="inlineStr">
        <is>
          <t>Total Current Assets</t>
        </is>
      </c>
      <c r="E17" s="766">
        <f>SUM(E13:E16)</f>
        <v/>
      </c>
      <c r="F17" s="766">
        <f>SUM(F13:F16)</f>
        <v/>
      </c>
      <c r="G17" s="766">
        <f>SUM(G13:G16)</f>
        <v/>
      </c>
      <c r="H17" s="766">
        <f>SUM(H13:H16)</f>
        <v/>
      </c>
      <c r="I17" s="766">
        <f>SUM(I13:I16)</f>
        <v/>
      </c>
      <c r="J17" s="766">
        <f>SUM(J13:J16)</f>
        <v/>
      </c>
      <c r="K17" s="766">
        <f>SUM(K13:K16)</f>
        <v/>
      </c>
      <c r="L17" s="766">
        <f>SUM(L13:L16)</f>
        <v/>
      </c>
      <c r="M17" s="766">
        <f>SUM(M13:M16)</f>
        <v/>
      </c>
      <c r="N17" s="766">
        <f>SUM(N13:N16)</f>
        <v/>
      </c>
      <c r="O17" s="766">
        <f>SUM(O13:O16)</f>
        <v/>
      </c>
      <c r="P17" s="766">
        <f>SUM(P13:P16)</f>
        <v/>
      </c>
      <c r="Q17" s="766">
        <f>SUM(Q13:Q16)</f>
        <v/>
      </c>
      <c r="R17" s="766">
        <f>SUM(R13:R16)</f>
        <v/>
      </c>
      <c r="S17" s="766">
        <f>SUM(S13:S16)</f>
        <v/>
      </c>
      <c r="T17" s="766">
        <f>SUM(T13:T16)</f>
        <v/>
      </c>
      <c r="U17" s="766">
        <f>SUM(U13:U16)</f>
        <v/>
      </c>
      <c r="V17" s="766">
        <f>SUM(V13:V16)</f>
        <v/>
      </c>
      <c r="W17" s="766">
        <f>SUM(W13:W16)</f>
        <v/>
      </c>
      <c r="X17" s="766">
        <f>SUM(X13:X16)</f>
        <v/>
      </c>
      <c r="Y17" s="766">
        <f>SUM(Y13:Y16)</f>
        <v/>
      </c>
      <c r="Z17" s="767">
        <f>SUM(Z13:Z16)</f>
        <v/>
      </c>
    </row>
    <row r="18" ht="4" customHeight="1" s="223"/>
    <row r="19" ht="16.9" customHeight="1" s="223">
      <c r="D19" s="783" t="inlineStr">
        <is>
          <t>Current Liabilities</t>
        </is>
      </c>
    </row>
    <row r="20" ht="16.9" customHeight="1" s="223">
      <c r="D20" s="755" t="inlineStr">
        <is>
          <t>Accounts payable</t>
        </is>
      </c>
      <c r="E20" s="756">
        <f>SUMIFS(BS!37:37,BS!$10:$10,'Quarterly NWC'!E$10)</f>
        <v/>
      </c>
      <c r="F20" s="756">
        <f>SUMIFS(BS!37:37,BS!$10:$10,'Quarterly NWC'!F$10)</f>
        <v/>
      </c>
      <c r="G20" s="756">
        <f>SUMIFS(BS!37:37,BS!$10:$10,'Quarterly NWC'!G$10)</f>
        <v/>
      </c>
      <c r="H20" s="756">
        <f>SUMIFS(BS!37:37,BS!$10:$10,'Quarterly NWC'!H$10)</f>
        <v/>
      </c>
      <c r="I20" s="756">
        <f>SUMIFS(BS!37:37,BS!$10:$10,'Quarterly NWC'!I$10)</f>
        <v/>
      </c>
      <c r="J20" s="756">
        <f>SUMIFS(BS!37:37,BS!$10:$10,'Quarterly NWC'!J$10)</f>
        <v/>
      </c>
      <c r="K20" s="756">
        <f>SUMIFS(BS!37:37,BS!$10:$10,'Quarterly NWC'!K$10)</f>
        <v/>
      </c>
      <c r="L20" s="756">
        <f>SUMIFS(BS!37:37,BS!$10:$10,'Quarterly NWC'!L$10)</f>
        <v/>
      </c>
      <c r="M20" s="756">
        <f>SUMIFS(BS!37:37,BS!$10:$10,'Quarterly NWC'!M$10)</f>
        <v/>
      </c>
      <c r="N20" s="756">
        <f>SUMIFS(BS!37:37,BS!$10:$10,'Quarterly NWC'!N$10)</f>
        <v/>
      </c>
      <c r="O20" s="756">
        <f>SUMIFS(BS!37:37,BS!$10:$10,'Quarterly NWC'!O$10)</f>
        <v/>
      </c>
      <c r="P20" s="756">
        <f>SUMIFS(BS!37:37,BS!$10:$10,'Quarterly NWC'!P$10)</f>
        <v/>
      </c>
      <c r="Q20" s="756">
        <f>SUMIFS(BS!37:37,BS!$10:$10,'Quarterly NWC'!Q$10)</f>
        <v/>
      </c>
      <c r="R20" s="756">
        <f>SUMIFS(BS!37:37,BS!$10:$10,'Quarterly NWC'!R$10)</f>
        <v/>
      </c>
      <c r="S20" s="756">
        <f>SUMIFS(BS!37:37,BS!$10:$10,'Quarterly NWC'!S$10)</f>
        <v/>
      </c>
      <c r="T20" s="756">
        <f>SUMIFS(BS!37:37,BS!$10:$10,'Quarterly NWC'!T$10)</f>
        <v/>
      </c>
      <c r="U20" s="756">
        <f>SUMIFS(BS!37:37,BS!$10:$10,'Quarterly NWC'!U$10)</f>
        <v/>
      </c>
      <c r="V20" s="756">
        <f>SUMIFS(BS!37:37,BS!$10:$10,'Quarterly NWC'!V$10)</f>
        <v/>
      </c>
      <c r="W20" s="756">
        <f>SUMIFS(BS!37:37,BS!$10:$10,'Quarterly NWC'!W$10)</f>
        <v/>
      </c>
      <c r="X20" s="756">
        <f>SUMIFS(BS!37:37,BS!$10:$10,'Quarterly NWC'!X$10)</f>
        <v/>
      </c>
      <c r="Y20" s="756">
        <f>SUMIFS(BS!37:37,BS!$10:$10,'Quarterly NWC'!Y$10)</f>
        <v/>
      </c>
      <c r="Z20" s="756">
        <f>SUMIFS(BS!37:37,BS!$10:$10,'Quarterly NWC'!Z$10)</f>
        <v/>
      </c>
    </row>
    <row r="21" ht="16.9" customHeight="1" s="223">
      <c r="D21" s="755" t="inlineStr">
        <is>
          <t>Accrued compensation &amp; benefits</t>
        </is>
      </c>
      <c r="E21" s="756">
        <f>SUMIFS(BS!38:38,BS!$10:$10,'Quarterly NWC'!E$10)</f>
        <v/>
      </c>
      <c r="F21" s="756">
        <f>SUMIFS(BS!38:38,BS!$10:$10,'Quarterly NWC'!F$10)</f>
        <v/>
      </c>
      <c r="G21" s="756">
        <f>SUMIFS(BS!38:38,BS!$10:$10,'Quarterly NWC'!G$10)</f>
        <v/>
      </c>
      <c r="H21" s="756">
        <f>SUMIFS(BS!38:38,BS!$10:$10,'Quarterly NWC'!H$10)</f>
        <v/>
      </c>
      <c r="I21" s="756">
        <f>SUMIFS(BS!38:38,BS!$10:$10,'Quarterly NWC'!I$10)</f>
        <v/>
      </c>
      <c r="J21" s="756">
        <f>SUMIFS(BS!38:38,BS!$10:$10,'Quarterly NWC'!J$10)</f>
        <v/>
      </c>
      <c r="K21" s="756">
        <f>SUMIFS(BS!38:38,BS!$10:$10,'Quarterly NWC'!K$10)</f>
        <v/>
      </c>
      <c r="L21" s="756">
        <f>SUMIFS(BS!38:38,BS!$10:$10,'Quarterly NWC'!L$10)</f>
        <v/>
      </c>
      <c r="M21" s="756">
        <f>SUMIFS(BS!38:38,BS!$10:$10,'Quarterly NWC'!M$10)</f>
        <v/>
      </c>
      <c r="N21" s="756">
        <f>SUMIFS(BS!38:38,BS!$10:$10,'Quarterly NWC'!N$10)</f>
        <v/>
      </c>
      <c r="O21" s="756">
        <f>SUMIFS(BS!38:38,BS!$10:$10,'Quarterly NWC'!O$10)</f>
        <v/>
      </c>
      <c r="P21" s="756">
        <f>SUMIFS(BS!38:38,BS!$10:$10,'Quarterly NWC'!P$10)</f>
        <v/>
      </c>
      <c r="Q21" s="756">
        <f>SUMIFS(BS!38:38,BS!$10:$10,'Quarterly NWC'!Q$10)</f>
        <v/>
      </c>
      <c r="R21" s="756">
        <f>SUMIFS(BS!38:38,BS!$10:$10,'Quarterly NWC'!R$10)</f>
        <v/>
      </c>
      <c r="S21" s="756">
        <f>SUMIFS(BS!38:38,BS!$10:$10,'Quarterly NWC'!S$10)</f>
        <v/>
      </c>
      <c r="T21" s="756">
        <f>SUMIFS(BS!38:38,BS!$10:$10,'Quarterly NWC'!T$10)</f>
        <v/>
      </c>
      <c r="U21" s="756">
        <f>SUMIFS(BS!38:38,BS!$10:$10,'Quarterly NWC'!U$10)</f>
        <v/>
      </c>
      <c r="V21" s="756">
        <f>SUMIFS(BS!38:38,BS!$10:$10,'Quarterly NWC'!V$10)</f>
        <v/>
      </c>
      <c r="W21" s="756">
        <f>SUMIFS(BS!38:38,BS!$10:$10,'Quarterly NWC'!W$10)</f>
        <v/>
      </c>
      <c r="X21" s="756">
        <f>SUMIFS(BS!38:38,BS!$10:$10,'Quarterly NWC'!X$10)</f>
        <v/>
      </c>
      <c r="Y21" s="756">
        <f>SUMIFS(BS!38:38,BS!$10:$10,'Quarterly NWC'!Y$10)</f>
        <v/>
      </c>
      <c r="Z21" s="756">
        <f>SUMIFS(BS!38:38,BS!$10:$10,'Quarterly NWC'!Z$10)</f>
        <v/>
      </c>
    </row>
    <row r="22" ht="16.9" customHeight="1" s="223">
      <c r="D22" s="755" t="inlineStr">
        <is>
          <t>Accrued exp. &amp; other CL</t>
        </is>
      </c>
      <c r="E22" s="756">
        <f>SUMIFS(BS!39:39,BS!$10:$10,'Quarterly NWC'!E$10)</f>
        <v/>
      </c>
      <c r="F22" s="756">
        <f>SUMIFS(BS!39:39,BS!$10:$10,'Quarterly NWC'!F$10)</f>
        <v/>
      </c>
      <c r="G22" s="756">
        <f>SUMIFS(BS!39:39,BS!$10:$10,'Quarterly NWC'!G$10)</f>
        <v/>
      </c>
      <c r="H22" s="756">
        <f>SUMIFS(BS!39:39,BS!$10:$10,'Quarterly NWC'!H$10)</f>
        <v/>
      </c>
      <c r="I22" s="756">
        <f>SUMIFS(BS!39:39,BS!$10:$10,'Quarterly NWC'!I$10)</f>
        <v/>
      </c>
      <c r="J22" s="756">
        <f>SUMIFS(BS!39:39,BS!$10:$10,'Quarterly NWC'!J$10)</f>
        <v/>
      </c>
      <c r="K22" s="756">
        <f>SUMIFS(BS!39:39,BS!$10:$10,'Quarterly NWC'!K$10)</f>
        <v/>
      </c>
      <c r="L22" s="756">
        <f>SUMIFS(BS!39:39,BS!$10:$10,'Quarterly NWC'!L$10)</f>
        <v/>
      </c>
      <c r="M22" s="756">
        <f>SUMIFS(BS!39:39,BS!$10:$10,'Quarterly NWC'!M$10)</f>
        <v/>
      </c>
      <c r="N22" s="756">
        <f>SUMIFS(BS!39:39,BS!$10:$10,'Quarterly NWC'!N$10)</f>
        <v/>
      </c>
      <c r="O22" s="756">
        <f>SUMIFS(BS!39:39,BS!$10:$10,'Quarterly NWC'!O$10)</f>
        <v/>
      </c>
      <c r="P22" s="756">
        <f>SUMIFS(BS!39:39,BS!$10:$10,'Quarterly NWC'!P$10)</f>
        <v/>
      </c>
      <c r="Q22" s="756">
        <f>SUMIFS(BS!39:39,BS!$10:$10,'Quarterly NWC'!Q$10)</f>
        <v/>
      </c>
      <c r="R22" s="756">
        <f>SUMIFS(BS!39:39,BS!$10:$10,'Quarterly NWC'!R$10)</f>
        <v/>
      </c>
      <c r="S22" s="756">
        <f>SUMIFS(BS!39:39,BS!$10:$10,'Quarterly NWC'!S$10)</f>
        <v/>
      </c>
      <c r="T22" s="756">
        <f>SUMIFS(BS!39:39,BS!$10:$10,'Quarterly NWC'!T$10)</f>
        <v/>
      </c>
      <c r="U22" s="756">
        <f>SUMIFS(BS!39:39,BS!$10:$10,'Quarterly NWC'!U$10)</f>
        <v/>
      </c>
      <c r="V22" s="756">
        <f>SUMIFS(BS!39:39,BS!$10:$10,'Quarterly NWC'!V$10)</f>
        <v/>
      </c>
      <c r="W22" s="756">
        <f>SUMIFS(BS!39:39,BS!$10:$10,'Quarterly NWC'!W$10)</f>
        <v/>
      </c>
      <c r="X22" s="756">
        <f>SUMIFS(BS!39:39,BS!$10:$10,'Quarterly NWC'!X$10)</f>
        <v/>
      </c>
      <c r="Y22" s="756">
        <f>SUMIFS(BS!39:39,BS!$10:$10,'Quarterly NWC'!Y$10)</f>
        <v/>
      </c>
      <c r="Z22" s="756">
        <f>SUMIFS(BS!39:39,BS!$10:$10,'Quarterly NWC'!Z$10)</f>
        <v/>
      </c>
    </row>
    <row r="23" ht="16.9" customHeight="1" s="223">
      <c r="D23" s="764" t="inlineStr">
        <is>
          <t>Total Current Liabilities</t>
        </is>
      </c>
      <c r="E23" s="766">
        <f>SUM(E20:E22)</f>
        <v/>
      </c>
      <c r="F23" s="766">
        <f>SUM(F20:F22)</f>
        <v/>
      </c>
      <c r="G23" s="766">
        <f>SUM(G20:G22)</f>
        <v/>
      </c>
      <c r="H23" s="766">
        <f>SUM(H20:H22)</f>
        <v/>
      </c>
      <c r="I23" s="766">
        <f>SUM(I20:I22)</f>
        <v/>
      </c>
      <c r="J23" s="766">
        <f>SUM(J20:J22)</f>
        <v/>
      </c>
      <c r="K23" s="766">
        <f>SUM(K20:K22)</f>
        <v/>
      </c>
      <c r="L23" s="766">
        <f>SUM(L20:L22)</f>
        <v/>
      </c>
      <c r="M23" s="766">
        <f>SUM(M20:M22)</f>
        <v/>
      </c>
      <c r="N23" s="766">
        <f>SUM(N20:N22)</f>
        <v/>
      </c>
      <c r="O23" s="766">
        <f>SUM(O20:O22)</f>
        <v/>
      </c>
      <c r="P23" s="766">
        <f>SUM(P20:P22)</f>
        <v/>
      </c>
      <c r="Q23" s="766">
        <f>SUM(Q20:Q22)</f>
        <v/>
      </c>
      <c r="R23" s="766">
        <f>SUM(R20:R22)</f>
        <v/>
      </c>
      <c r="S23" s="766">
        <f>SUM(S20:S22)</f>
        <v/>
      </c>
      <c r="T23" s="766">
        <f>SUM(T20:T22)</f>
        <v/>
      </c>
      <c r="U23" s="766">
        <f>SUM(U20:U22)</f>
        <v/>
      </c>
      <c r="V23" s="766">
        <f>SUM(V20:V22)</f>
        <v/>
      </c>
      <c r="W23" s="766">
        <f>SUM(W20:W22)</f>
        <v/>
      </c>
      <c r="X23" s="766">
        <f>SUM(X20:X22)</f>
        <v/>
      </c>
      <c r="Y23" s="766">
        <f>SUM(Y20:Y22)</f>
        <v/>
      </c>
      <c r="Z23" s="767">
        <f>SUM(Z20:Z22)</f>
        <v/>
      </c>
    </row>
    <row r="24" ht="4" customHeight="1" s="223"/>
    <row r="25" ht="16.9" customHeight="1" s="223">
      <c r="D25" s="764" t="inlineStr">
        <is>
          <t>NWC</t>
        </is>
      </c>
      <c r="E25" s="766">
        <f>E17-E23</f>
        <v/>
      </c>
      <c r="F25" s="766">
        <f>F17-F23</f>
        <v/>
      </c>
      <c r="G25" s="766">
        <f>G17-G23</f>
        <v/>
      </c>
      <c r="H25" s="766">
        <f>H17-H23</f>
        <v/>
      </c>
      <c r="I25" s="766">
        <f>I17-I23</f>
        <v/>
      </c>
      <c r="J25" s="766">
        <f>J17-J23</f>
        <v/>
      </c>
      <c r="K25" s="766">
        <f>K17-K23</f>
        <v/>
      </c>
      <c r="L25" s="766">
        <f>L17-L23</f>
        <v/>
      </c>
      <c r="M25" s="766">
        <f>M17-M23</f>
        <v/>
      </c>
      <c r="N25" s="766">
        <f>N17-N23</f>
        <v/>
      </c>
      <c r="O25" s="766">
        <f>O17-O23</f>
        <v/>
      </c>
      <c r="P25" s="766">
        <f>P17-P23</f>
        <v/>
      </c>
      <c r="Q25" s="766">
        <f>Q17-Q23</f>
        <v/>
      </c>
      <c r="R25" s="766">
        <f>R17-R23</f>
        <v/>
      </c>
      <c r="S25" s="766">
        <f>S17-S23</f>
        <v/>
      </c>
      <c r="T25" s="766">
        <f>T17-T23</f>
        <v/>
      </c>
      <c r="U25" s="766">
        <f>U17-U23</f>
        <v/>
      </c>
      <c r="V25" s="766">
        <f>V17-V23</f>
        <v/>
      </c>
      <c r="W25" s="766">
        <f>W17-W23</f>
        <v/>
      </c>
      <c r="X25" s="766">
        <f>X17-X23</f>
        <v/>
      </c>
      <c r="Y25" s="766">
        <f>Y17-Y23</f>
        <v/>
      </c>
      <c r="Z25" s="767">
        <f>Z17-Z23</f>
        <v/>
      </c>
    </row>
    <row r="26" ht="16.9" customHeight="1" s="223">
      <c r="D26" s="785" t="inlineStr">
        <is>
          <t>Change in NWC</t>
        </is>
      </c>
      <c r="E26" s="786" t="n"/>
      <c r="F26" s="786">
        <f>E25-F25</f>
        <v/>
      </c>
      <c r="G26" s="786">
        <f>F25-G25</f>
        <v/>
      </c>
      <c r="H26" s="786">
        <f>G25-H25</f>
        <v/>
      </c>
      <c r="I26" s="786">
        <f>H25-I25</f>
        <v/>
      </c>
      <c r="J26" s="786">
        <f>I25-J25</f>
        <v/>
      </c>
      <c r="K26" s="786">
        <f>J25-K25</f>
        <v/>
      </c>
      <c r="L26" s="786">
        <f>K25-L25</f>
        <v/>
      </c>
      <c r="M26" s="786">
        <f>L25-M25</f>
        <v/>
      </c>
      <c r="N26" s="786">
        <f>M25-N25</f>
        <v/>
      </c>
      <c r="O26" s="786">
        <f>N25-O25</f>
        <v/>
      </c>
      <c r="P26" s="786">
        <f>O25-P25</f>
        <v/>
      </c>
      <c r="Q26" s="786">
        <f>P25-Q25</f>
        <v/>
      </c>
      <c r="R26" s="786">
        <f>Q25-R25</f>
        <v/>
      </c>
      <c r="S26" s="786">
        <f>R25-S25</f>
        <v/>
      </c>
      <c r="T26" s="786">
        <f>S25-T25</f>
        <v/>
      </c>
      <c r="U26" s="786">
        <f>T25-U25</f>
        <v/>
      </c>
      <c r="V26" s="786">
        <f>U25-V25</f>
        <v/>
      </c>
      <c r="W26" s="786">
        <f>V25-W25</f>
        <v/>
      </c>
      <c r="X26" s="786">
        <f>W25-X25</f>
        <v/>
      </c>
      <c r="Y26" s="786">
        <f>X25-Y25</f>
        <v/>
      </c>
      <c r="Z26" s="786">
        <f>Y25-Z25</f>
        <v/>
      </c>
    </row>
    <row r="27" ht="15" customHeight="1" s="223">
      <c r="A27" s="582" t="inlineStr">
        <is>
          <t>x</t>
        </is>
      </c>
      <c r="D27" s="607" t="inlineStr">
        <is>
          <t>Annual</t>
        </is>
      </c>
      <c r="E27" s="644" t="n"/>
      <c r="F27" s="644" t="n"/>
      <c r="G27" s="644" t="n"/>
      <c r="H27" s="644" t="n"/>
      <c r="I27" s="644" t="n"/>
      <c r="J27" s="644" t="n"/>
      <c r="K27" s="644" t="n"/>
      <c r="L27" s="644" t="n"/>
      <c r="M27" s="644" t="n"/>
      <c r="N27" s="644" t="n"/>
      <c r="O27" s="644" t="n"/>
      <c r="P27" s="644" t="n"/>
      <c r="Q27" s="644" t="n"/>
      <c r="R27" s="644" t="n"/>
      <c r="S27" s="644" t="n"/>
      <c r="T27" s="644" t="n"/>
      <c r="U27" s="644" t="n"/>
      <c r="V27" s="644" t="n"/>
      <c r="W27" s="644" t="n"/>
      <c r="X27" s="644" t="n"/>
      <c r="Y27" s="644" t="n"/>
      <c r="Z27" s="644" t="n"/>
    </row>
    <row r="28" ht="16.9" customHeight="1" s="223">
      <c r="D28" s="745" t="n"/>
      <c r="E28" s="613" t="n">
        <v>2021</v>
      </c>
      <c r="F28" s="613">
        <f>E28+1</f>
        <v/>
      </c>
      <c r="G28" s="613">
        <f>F28+1</f>
        <v/>
      </c>
      <c r="H28" s="613">
        <f>G28+1</f>
        <v/>
      </c>
      <c r="I28" s="613">
        <f>H28+1</f>
        <v/>
      </c>
      <c r="J28" s="745" t="n"/>
      <c r="K28" s="745" t="n"/>
      <c r="L28" s="745" t="n"/>
      <c r="M28" s="745" t="n"/>
      <c r="N28" s="745" t="n"/>
      <c r="O28" s="745" t="n"/>
      <c r="P28" s="745" t="n"/>
      <c r="Q28" s="745" t="n"/>
      <c r="R28" s="745" t="n"/>
      <c r="S28" s="745" t="n"/>
      <c r="T28" s="745" t="n"/>
      <c r="U28" s="745" t="n"/>
      <c r="V28" s="745" t="n"/>
      <c r="W28" s="745" t="n"/>
      <c r="X28" s="745" t="n"/>
      <c r="Y28" s="745" t="n"/>
      <c r="Z28" s="745" t="n"/>
    </row>
    <row r="29" ht="4" customHeight="1" s="223"/>
    <row r="30" ht="16.9" customHeight="1" s="223">
      <c r="D30" s="783" t="inlineStr">
        <is>
          <t>Current Assets</t>
        </is>
      </c>
    </row>
    <row r="31" ht="16.9" customHeight="1" s="223">
      <c r="D31" s="755" t="inlineStr">
        <is>
          <t>Accounts receivable, net</t>
        </is>
      </c>
      <c r="E31" s="756">
        <f>SUMIFS(BS!14:14,BS!$10:$10,'Quarterly NWC'!E$28)</f>
        <v/>
      </c>
      <c r="F31" s="756">
        <f>SUMIFS(BS!14:14,BS!$10:$10,'Quarterly NWC'!F$28)</f>
        <v/>
      </c>
      <c r="G31" s="756">
        <f>SUMIFS(BS!14:14,BS!$10:$10,'Quarterly NWC'!G$28)</f>
        <v/>
      </c>
      <c r="H31" s="756">
        <f>SUMIFS(BS!14:14,BS!$10:$10,'Quarterly NWC'!H$28)</f>
        <v/>
      </c>
      <c r="I31" s="756">
        <f>SUMIFS(BS!14:14,BS!$10:$10,'Quarterly NWC'!I$28)</f>
        <v/>
      </c>
    </row>
    <row r="32" ht="16.9" customHeight="1" s="223">
      <c r="D32" s="755" t="inlineStr">
        <is>
          <t>Billed finance receivables</t>
        </is>
      </c>
      <c r="E32" s="756">
        <f>SUMIFS(BS!15:15,BS!$10:$10,'Quarterly NWC'!E$28)</f>
        <v/>
      </c>
      <c r="F32" s="756">
        <f>SUMIFS(BS!15:15,BS!$10:$10,'Quarterly NWC'!F$28)</f>
        <v/>
      </c>
      <c r="G32" s="756">
        <f>SUMIFS(BS!15:15,BS!$10:$10,'Quarterly NWC'!G$28)</f>
        <v/>
      </c>
      <c r="H32" s="756">
        <f>SUMIFS(BS!15:15,BS!$10:$10,'Quarterly NWC'!H$28)</f>
        <v/>
      </c>
      <c r="I32" s="756">
        <f>SUMIFS(BS!15:15,BS!$10:$10,'Quarterly NWC'!I$28)</f>
        <v/>
      </c>
    </row>
    <row r="33" ht="16.9" customHeight="1" s="223">
      <c r="D33" s="755" t="inlineStr">
        <is>
          <t>Inventories</t>
        </is>
      </c>
      <c r="E33" s="756">
        <f>SUMIFS(BS!17:17,BS!$10:$10,'Quarterly NWC'!E$28)</f>
        <v/>
      </c>
      <c r="F33" s="756">
        <f>SUMIFS(BS!17:17,BS!$10:$10,'Quarterly NWC'!F$28)</f>
        <v/>
      </c>
      <c r="G33" s="756">
        <f>SUMIFS(BS!17:17,BS!$10:$10,'Quarterly NWC'!G$28)</f>
        <v/>
      </c>
      <c r="H33" s="756">
        <f>SUMIFS(BS!17:17,BS!$10:$10,'Quarterly NWC'!H$28)</f>
        <v/>
      </c>
      <c r="I33" s="756">
        <f>SUMIFS(BS!17:17,BS!$10:$10,'Quarterly NWC'!I$28)</f>
        <v/>
      </c>
    </row>
    <row r="34" ht="16.9" customHeight="1" s="223">
      <c r="D34" s="755" t="inlineStr">
        <is>
          <t>Other current assets</t>
        </is>
      </c>
      <c r="E34" s="756">
        <f>SUMIFS(BS!18:18,BS!$10:$10,'Quarterly NWC'!E$28)</f>
        <v/>
      </c>
      <c r="F34" s="756">
        <f>SUMIFS(BS!18:18,BS!$10:$10,'Quarterly NWC'!F$28)</f>
        <v/>
      </c>
      <c r="G34" s="756">
        <f>SUMIFS(BS!18:18,BS!$10:$10,'Quarterly NWC'!G$28)</f>
        <v/>
      </c>
      <c r="H34" s="756">
        <f>SUMIFS(BS!18:18,BS!$10:$10,'Quarterly NWC'!H$28)</f>
        <v/>
      </c>
      <c r="I34" s="756">
        <f>SUMIFS(BS!18:18,BS!$10:$10,'Quarterly NWC'!I$28)</f>
        <v/>
      </c>
    </row>
    <row r="35" ht="16.9" customHeight="1" s="223">
      <c r="D35" s="764" t="inlineStr">
        <is>
          <t>Total Current Assets</t>
        </is>
      </c>
      <c r="E35" s="766">
        <f>SUM(E31:E34)</f>
        <v/>
      </c>
      <c r="F35" s="766">
        <f>SUM(F31:F34)</f>
        <v/>
      </c>
      <c r="G35" s="766">
        <f>SUM(G31:G34)</f>
        <v/>
      </c>
      <c r="H35" s="766">
        <f>SUM(H31:H34)</f>
        <v/>
      </c>
      <c r="I35" s="767">
        <f>SUM(I31:I34)</f>
        <v/>
      </c>
    </row>
    <row r="36" ht="4" customHeight="1" s="223"/>
    <row r="37" ht="16.9" customHeight="1" s="223">
      <c r="D37" s="783" t="inlineStr">
        <is>
          <t>Current Liabilities</t>
        </is>
      </c>
    </row>
    <row r="38" ht="16.9" customHeight="1" s="223">
      <c r="D38" s="755" t="inlineStr">
        <is>
          <t>Accounts payable</t>
        </is>
      </c>
      <c r="E38" s="756">
        <f>SUMIFS(BS!37:37,BS!$10:$10,'Quarterly NWC'!E$28)</f>
        <v/>
      </c>
      <c r="F38" s="756">
        <f>SUMIFS(BS!37:37,BS!$10:$10,'Quarterly NWC'!F$28)</f>
        <v/>
      </c>
      <c r="G38" s="756">
        <f>SUMIFS(BS!37:37,BS!$10:$10,'Quarterly NWC'!G$28)</f>
        <v/>
      </c>
      <c r="H38" s="756">
        <f>SUMIFS(BS!37:37,BS!$10:$10,'Quarterly NWC'!H$28)</f>
        <v/>
      </c>
      <c r="I38" s="756">
        <f>SUMIFS(BS!37:37,BS!$10:$10,'Quarterly NWC'!I$28)</f>
        <v/>
      </c>
    </row>
    <row r="39" ht="16.9" customHeight="1" s="223">
      <c r="D39" s="755" t="inlineStr">
        <is>
          <t>Accrued compensation &amp; benefits</t>
        </is>
      </c>
      <c r="E39" s="756">
        <f>SUMIFS(BS!38:38,BS!$10:$10,'Quarterly NWC'!E$28)</f>
        <v/>
      </c>
      <c r="F39" s="756">
        <f>SUMIFS(BS!38:38,BS!$10:$10,'Quarterly NWC'!F$28)</f>
        <v/>
      </c>
      <c r="G39" s="756">
        <f>SUMIFS(BS!38:38,BS!$10:$10,'Quarterly NWC'!G$28)</f>
        <v/>
      </c>
      <c r="H39" s="756">
        <f>SUMIFS(BS!38:38,BS!$10:$10,'Quarterly NWC'!H$28)</f>
        <v/>
      </c>
      <c r="I39" s="756">
        <f>SUMIFS(BS!38:38,BS!$10:$10,'Quarterly NWC'!I$28)</f>
        <v/>
      </c>
    </row>
    <row r="40" ht="16.9" customHeight="1" s="223">
      <c r="D40" s="755" t="inlineStr">
        <is>
          <t>Accrued exp. &amp; other CL</t>
        </is>
      </c>
      <c r="E40" s="756">
        <f>SUMIFS(BS!39:39,BS!$10:$10,'Quarterly NWC'!E$28)</f>
        <v/>
      </c>
      <c r="F40" s="756">
        <f>SUMIFS(BS!39:39,BS!$10:$10,'Quarterly NWC'!F$28)</f>
        <v/>
      </c>
      <c r="G40" s="756">
        <f>SUMIFS(BS!39:39,BS!$10:$10,'Quarterly NWC'!G$28)</f>
        <v/>
      </c>
      <c r="H40" s="756">
        <f>SUMIFS(BS!39:39,BS!$10:$10,'Quarterly NWC'!H$28)</f>
        <v/>
      </c>
      <c r="I40" s="756">
        <f>SUMIFS(BS!39:39,BS!$10:$10,'Quarterly NWC'!I$28)</f>
        <v/>
      </c>
    </row>
    <row r="41" ht="16.9" customHeight="1" s="223">
      <c r="D41" s="764" t="inlineStr">
        <is>
          <t>Total Current Liabilities</t>
        </is>
      </c>
      <c r="E41" s="766">
        <f>SUM(E38:E40)</f>
        <v/>
      </c>
      <c r="F41" s="766">
        <f>SUM(F38:F40)</f>
        <v/>
      </c>
      <c r="G41" s="766">
        <f>SUM(G38:G40)</f>
        <v/>
      </c>
      <c r="H41" s="766">
        <f>SUM(H38:H40)</f>
        <v/>
      </c>
      <c r="I41" s="767">
        <f>SUM(I38:I40)</f>
        <v/>
      </c>
    </row>
    <row r="42" ht="4" customHeight="1" s="223"/>
    <row r="43" ht="16.9" customHeight="1" s="223">
      <c r="D43" s="764" t="inlineStr">
        <is>
          <t>NWC</t>
        </is>
      </c>
      <c r="E43" s="766">
        <f>E35-E41</f>
        <v/>
      </c>
      <c r="F43" s="766">
        <f>F35-F41</f>
        <v/>
      </c>
      <c r="G43" s="766">
        <f>G35-G41</f>
        <v/>
      </c>
      <c r="H43" s="766">
        <f>H35-H41</f>
        <v/>
      </c>
      <c r="I43" s="767">
        <f>I35-I41</f>
        <v/>
      </c>
    </row>
    <row r="44" ht="16.9" customHeight="1" s="223">
      <c r="D44" s="785" t="inlineStr">
        <is>
          <t>Change in NWC</t>
        </is>
      </c>
      <c r="E44" s="786" t="n"/>
      <c r="F44" s="786">
        <f>E43-F43</f>
        <v/>
      </c>
      <c r="G44" s="786">
        <f>F43-G43</f>
        <v/>
      </c>
      <c r="H44" s="786">
        <f>G43-H43</f>
        <v/>
      </c>
      <c r="I44" s="786">
        <f>H43-I43</f>
        <v/>
      </c>
    </row>
    <row r="45"/>
    <row r="46">
      <c r="D46" s="782" t="inlineStr">
        <is>
          <t>Change in NWC = prior period less current; ties to the NWC tab Check (annual).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79"/>
  <sheetViews>
    <sheetView showGridLines="0" zoomScale="100" workbookViewId="0">
      <selection activeCell="A1" sqref="A1"/>
    </sheetView>
  </sheetViews>
  <sheetFormatPr baseColWidth="8" defaultRowHeight="15"/>
  <cols>
    <col width="1.7" customWidth="1" style="223" min="1" max="1"/>
    <col width="42" customWidth="1" style="223" min="3" max="3"/>
    <col width="9.300000000000001" customWidth="1" style="223" min="4" max="4"/>
    <col width="10.5" customWidth="1" style="223" min="5" max="5"/>
    <col width="10.5" customWidth="1" style="223" min="6" max="6"/>
    <col width="9.300000000000001" customWidth="1" style="223" min="7" max="7"/>
    <col width="9.300000000000001" customWidth="1" style="223" min="8" max="8"/>
    <col width="10.5" customWidth="1" style="223" min="9" max="9"/>
    <col width="10.5" customWidth="1" style="223" min="10" max="10"/>
    <col width="10.5" customWidth="1" style="223" min="11" max="11"/>
    <col width="10.5" customWidth="1" style="223" min="12" max="12"/>
    <col hidden="1" width="10.5" customWidth="1" style="223" min="13" max="13"/>
    <col width="10.5" customWidth="1" style="223" min="14" max="14"/>
    <col width="10.5" customWidth="1" style="223" min="15" max="15"/>
    <col width="10.5" customWidth="1" style="223" min="16" max="16"/>
    <col width="10.5" customWidth="1" style="223" min="17" max="17"/>
    <col width="10.5" customWidth="1" style="223" min="18" max="18"/>
    <col width="10.5" customWidth="1" style="223" min="19" max="19"/>
    <col width="1.7265625" customWidth="1" style="223" min="20" max="20"/>
    <col width="10.5" customWidth="1" style="223" min="21" max="21"/>
  </cols>
  <sheetData>
    <row r="1">
      <c r="A1" s="671">
        <f>C3</f>
        <v/>
      </c>
      <c r="B1" s="597">
        <f>'Cover Page'!A1</f>
        <v/>
      </c>
    </row>
    <row r="2" ht="6" customHeight="1" s="223"/>
    <row r="3" ht="15" customHeight="1" s="223">
      <c r="C3" s="787" t="inlineStr">
        <is>
          <t>Capital Structure</t>
        </is>
      </c>
      <c r="D3" s="788" t="inlineStr">
        <is>
          <t>Today</t>
        </is>
      </c>
      <c r="E3" s="789">
        <f>TODAY()</f>
        <v/>
      </c>
      <c r="F3" s="746" t="n"/>
      <c r="G3" s="746" t="n"/>
      <c r="H3" s="746" t="n"/>
      <c r="I3" s="746" t="n"/>
      <c r="J3" s="746" t="n"/>
      <c r="K3" s="746" t="n"/>
      <c r="L3" s="746" t="n"/>
      <c r="M3" s="746" t="n"/>
      <c r="N3" s="746" t="n"/>
      <c r="O3" s="746" t="n"/>
      <c r="P3" s="746" t="n"/>
      <c r="Q3" s="746" t="n"/>
      <c r="R3" s="746" t="n"/>
      <c r="S3" s="603" t="n"/>
    </row>
    <row r="4" ht="15" customHeight="1" s="223">
      <c r="C4" s="790" t="inlineStr">
        <is>
          <t>Xerox Holdings Corporation – All values in $ millions (USD). Capital structure as of June 30, 2026.</t>
        </is>
      </c>
      <c r="D4" s="753" t="n"/>
      <c r="E4" s="753" t="n"/>
      <c r="F4" s="753" t="n"/>
      <c r="G4" s="753" t="n"/>
      <c r="H4" s="753" t="n"/>
      <c r="I4" s="753" t="n"/>
      <c r="J4" s="753" t="n"/>
      <c r="K4" s="753" t="n"/>
      <c r="L4" s="753" t="n"/>
      <c r="M4" s="753" t="n"/>
      <c r="N4" s="753" t="n"/>
      <c r="O4" s="753" t="n"/>
      <c r="P4" s="753" t="n"/>
      <c r="Q4" s="753" t="n"/>
      <c r="R4" s="753" t="n"/>
      <c r="S4" s="606" t="n"/>
    </row>
    <row r="5" ht="15" customHeight="1" s="223">
      <c r="C5" s="791" t="n"/>
    </row>
    <row r="6" ht="15" customHeight="1" s="223">
      <c r="C6" s="748" t="n"/>
    </row>
    <row r="7" s="223">
      <c r="A7" s="582" t="inlineStr">
        <is>
          <t>x</t>
        </is>
      </c>
      <c r="C7" s="607" t="inlineStr">
        <is>
          <t>Capital Structure</t>
        </is>
      </c>
      <c r="D7" s="644" t="n"/>
      <c r="E7" s="644" t="n"/>
      <c r="F7" s="644" t="n"/>
      <c r="G7" s="644" t="n"/>
      <c r="H7" s="644" t="n"/>
      <c r="I7" s="644" t="n"/>
      <c r="J7" s="644" t="n"/>
      <c r="K7" s="644" t="n"/>
      <c r="L7" s="644" t="n"/>
      <c r="M7" s="644" t="n"/>
      <c r="N7" s="644" t="n"/>
      <c r="O7" s="644" t="n"/>
      <c r="P7" s="644" t="n"/>
      <c r="Q7" s="644" t="n"/>
      <c r="R7" s="644" t="n"/>
      <c r="S7" s="644" t="n"/>
    </row>
    <row r="8" ht="15" customHeight="1" s="223">
      <c r="C8" s="792" t="n"/>
      <c r="D8" s="793" t="inlineStr">
        <is>
          <t>Face</t>
        </is>
      </c>
      <c r="E8" s="793" t="inlineStr">
        <is>
          <t>Leverage</t>
        </is>
      </c>
      <c r="F8" s="793" t="inlineStr">
        <is>
          <t>Interest</t>
        </is>
      </c>
      <c r="G8" s="793" t="inlineStr">
        <is>
          <t xml:space="preserve">Effective </t>
        </is>
      </c>
      <c r="H8" s="793" t="inlineStr">
        <is>
          <t xml:space="preserve">Annual </t>
        </is>
      </c>
      <c r="I8" s="793" t="n"/>
      <c r="J8" s="793" t="inlineStr">
        <is>
          <t>Credit</t>
        </is>
      </c>
      <c r="K8" s="793" t="inlineStr">
        <is>
          <t>Trading</t>
        </is>
      </c>
      <c r="L8" s="793" t="n"/>
      <c r="M8" s="793" t="inlineStr">
        <is>
          <t>Market</t>
        </is>
      </c>
      <c r="N8" s="793" t="inlineStr">
        <is>
          <t>Leverage</t>
        </is>
      </c>
      <c r="O8" s="792" t="n"/>
      <c r="P8" s="792" t="n"/>
      <c r="Q8" s="794" t="inlineStr">
        <is>
          <t>Effective Rate Calculation</t>
        </is>
      </c>
      <c r="R8" s="794" t="n"/>
      <c r="S8" s="794" t="n"/>
    </row>
    <row r="9" ht="15" customHeight="1" s="223">
      <c r="C9" s="787" t="inlineStr">
        <is>
          <t>Description</t>
        </is>
      </c>
      <c r="D9" s="613" t="inlineStr">
        <is>
          <t>Value</t>
        </is>
      </c>
      <c r="E9" s="613" t="inlineStr">
        <is>
          <t>(Face)</t>
        </is>
      </c>
      <c r="F9" s="613" t="inlineStr">
        <is>
          <t>Rate</t>
        </is>
      </c>
      <c r="G9" s="613" t="inlineStr">
        <is>
          <t>Rate</t>
        </is>
      </c>
      <c r="H9" s="613" t="inlineStr">
        <is>
          <t>Interest</t>
        </is>
      </c>
      <c r="I9" s="613" t="inlineStr">
        <is>
          <t>Maturity</t>
        </is>
      </c>
      <c r="J9" s="613" t="inlineStr">
        <is>
          <t>Rating</t>
        </is>
      </c>
      <c r="K9" s="613" t="inlineStr">
        <is>
          <t>Price</t>
        </is>
      </c>
      <c r="L9" s="613" t="inlineStr">
        <is>
          <t>YTM</t>
        </is>
      </c>
      <c r="M9" s="613" t="inlineStr">
        <is>
          <t>Value</t>
        </is>
      </c>
      <c r="N9" s="613" t="inlineStr">
        <is>
          <t>(Market)</t>
        </is>
      </c>
      <c r="O9" s="745" t="n"/>
      <c r="P9" s="745" t="n"/>
      <c r="Q9" s="613" t="inlineStr">
        <is>
          <t>SOFR</t>
        </is>
      </c>
      <c r="R9" s="613" t="inlineStr">
        <is>
          <t>Spread</t>
        </is>
      </c>
      <c r="S9" s="613" t="inlineStr">
        <is>
          <t>Effective</t>
        </is>
      </c>
    </row>
    <row r="10" ht="4" customHeight="1" s="223"/>
    <row r="11" ht="15" customHeight="1" s="223">
      <c r="B11" s="779" t="n"/>
      <c r="C11" s="647" t="inlineStr">
        <is>
          <t>ABL Revolving Credit Facility ($425mm)</t>
        </is>
      </c>
      <c r="D11" s="795" t="n">
        <v>0</v>
      </c>
      <c r="E11" s="796">
        <f>(D11)/$D$30</f>
        <v/>
      </c>
      <c r="F11" s="797" t="n">
        <v>150</v>
      </c>
      <c r="G11" s="798">
        <f>S11</f>
        <v/>
      </c>
      <c r="H11" s="795">
        <f>D11*G11</f>
        <v/>
      </c>
      <c r="I11" s="799" t="n">
        <v>46895</v>
      </c>
      <c r="J11" s="800" t="inlineStr">
        <is>
          <t>NA</t>
        </is>
      </c>
      <c r="K11" s="801" t="inlineStr">
        <is>
          <t>NA</t>
        </is>
      </c>
      <c r="L11" s="802" t="inlineStr">
        <is>
          <t>NA</t>
        </is>
      </c>
      <c r="M11" s="803" t="inlineStr">
        <is>
          <t>NA</t>
        </is>
      </c>
      <c r="N11" s="796">
        <f>E11</f>
        <v/>
      </c>
      <c r="O11" s="779" t="n"/>
      <c r="P11" s="779" t="n"/>
      <c r="Q11" s="804" t="n">
        <v>0.0387</v>
      </c>
      <c r="R11" s="805" t="n">
        <v>0.015</v>
      </c>
      <c r="S11" s="805">
        <f>SUM(Q11:R11)</f>
        <v/>
      </c>
      <c r="T11" s="779" t="n"/>
      <c r="U11" s="779" t="n"/>
      <c r="V11" s="779" t="n"/>
      <c r="W11" s="779" t="n"/>
      <c r="X11" s="779" t="n"/>
      <c r="Y11" s="779" t="n"/>
    </row>
    <row r="12" ht="15" customHeight="1" s="223">
      <c r="B12" s="779" t="n"/>
      <c r="C12" s="647" t="inlineStr">
        <is>
          <t>IPCo JV Secured Term Loans ($405mm)</t>
        </is>
      </c>
      <c r="D12" s="795" t="n">
        <v>405</v>
      </c>
      <c r="E12" s="796">
        <f>(D11+D12)/$D$30</f>
        <v/>
      </c>
      <c r="F12" s="806" t="n">
        <v>812.5</v>
      </c>
      <c r="G12" s="798">
        <f>S12</f>
        <v/>
      </c>
      <c r="H12" s="795">
        <f>D12*G12</f>
        <v/>
      </c>
      <c r="I12" s="799" t="n">
        <v>47896</v>
      </c>
      <c r="J12" s="800" t="inlineStr">
        <is>
          <t>NA</t>
        </is>
      </c>
      <c r="K12" s="801" t="inlineStr">
        <is>
          <t>NA</t>
        </is>
      </c>
      <c r="L12" s="802" t="inlineStr">
        <is>
          <t>NA</t>
        </is>
      </c>
      <c r="M12" s="803" t="inlineStr">
        <is>
          <t>NA</t>
        </is>
      </c>
      <c r="N12" s="796">
        <f>E12</f>
        <v/>
      </c>
      <c r="O12" s="779" t="n"/>
      <c r="P12" s="779" t="n"/>
      <c r="Q12" s="805">
        <f>Q11</f>
        <v/>
      </c>
      <c r="R12" s="805" t="n">
        <v>0.08125</v>
      </c>
      <c r="S12" s="805">
        <f>SUM(Q12:R12)</f>
        <v/>
      </c>
      <c r="T12" s="779" t="n"/>
      <c r="U12" s="779" t="n"/>
      <c r="V12" s="779" t="n"/>
      <c r="W12" s="779" t="n"/>
      <c r="X12" s="779" t="n"/>
      <c r="Y12" s="779" t="n"/>
    </row>
    <row r="13" ht="15" customHeight="1" s="223">
      <c r="B13" s="779" t="n"/>
      <c r="C13" s="647" t="inlineStr">
        <is>
          <t>IPCo Class A Units ($45mm)</t>
        </is>
      </c>
      <c r="D13" s="795" t="n">
        <v>45</v>
      </c>
      <c r="E13" s="796">
        <f>(D11+D12+D13)/$D$30</f>
        <v/>
      </c>
      <c r="F13" s="797" t="inlineStr">
        <is>
          <t>NA</t>
        </is>
      </c>
      <c r="G13" s="798" t="inlineStr">
        <is>
          <t>NA</t>
        </is>
      </c>
      <c r="H13" s="795" t="inlineStr">
        <is>
          <t>NA</t>
        </is>
      </c>
      <c r="I13" s="799" t="inlineStr">
        <is>
          <t>NA</t>
        </is>
      </c>
      <c r="J13" s="800" t="inlineStr">
        <is>
          <t>NA</t>
        </is>
      </c>
      <c r="K13" s="801" t="inlineStr">
        <is>
          <t>NA</t>
        </is>
      </c>
      <c r="L13" s="802" t="inlineStr">
        <is>
          <t>NA</t>
        </is>
      </c>
      <c r="M13" s="803" t="inlineStr">
        <is>
          <t>NA</t>
        </is>
      </c>
      <c r="N13" s="796">
        <f>E13</f>
        <v/>
      </c>
      <c r="O13" s="779" t="n"/>
      <c r="P13" s="779" t="n"/>
      <c r="Q13" s="779" t="n"/>
      <c r="R13" s="779" t="n"/>
      <c r="S13" s="779" t="n"/>
      <c r="T13" s="779" t="n"/>
      <c r="U13" s="779" t="n"/>
      <c r="V13" s="779" t="n"/>
      <c r="W13" s="779" t="n"/>
      <c r="X13" s="779" t="n"/>
      <c r="Y13" s="779" t="n"/>
    </row>
    <row r="14" ht="15" customHeight="1" s="223">
      <c r="B14" s="779" t="n"/>
      <c r="C14" s="647" t="inlineStr">
        <is>
          <t>1L Term Loan B ($705mm)</t>
        </is>
      </c>
      <c r="D14" s="795" t="n">
        <v>705</v>
      </c>
      <c r="E14" s="796">
        <f>(D11+D12+D13+D14)/$D$30</f>
        <v/>
      </c>
      <c r="F14" s="797" t="n">
        <v>400</v>
      </c>
      <c r="G14" s="798">
        <f>S14</f>
        <v/>
      </c>
      <c r="H14" s="795">
        <f>D14*G14</f>
        <v/>
      </c>
      <c r="I14" s="799" t="n">
        <v>47439</v>
      </c>
      <c r="J14" s="800" t="inlineStr">
        <is>
          <t>NA</t>
        </is>
      </c>
      <c r="K14" s="801" t="inlineStr">
        <is>
          <t>NA</t>
        </is>
      </c>
      <c r="L14" s="802" t="inlineStr">
        <is>
          <t>NA</t>
        </is>
      </c>
      <c r="M14" s="803" t="inlineStr">
        <is>
          <t>NA</t>
        </is>
      </c>
      <c r="N14" s="796">
        <f>E14</f>
        <v/>
      </c>
      <c r="O14" s="779" t="n"/>
      <c r="P14" s="779" t="n"/>
      <c r="Q14" s="805">
        <f>Q11</f>
        <v/>
      </c>
      <c r="R14" s="805" t="n">
        <v>0.04</v>
      </c>
      <c r="S14" s="805">
        <f>SUM(Q14:R14)</f>
        <v/>
      </c>
      <c r="T14" s="779" t="n"/>
      <c r="U14" s="779" t="n"/>
      <c r="V14" s="779" t="n"/>
      <c r="W14" s="779" t="n"/>
      <c r="X14" s="779" t="n"/>
      <c r="Y14" s="779" t="n"/>
    </row>
    <row r="15" ht="15" customHeight="1" s="223">
      <c r="B15" s="779" t="n"/>
      <c r="C15" s="647" t="inlineStr">
        <is>
          <t>1L Senior Secured Notes ($400mm)</t>
        </is>
      </c>
      <c r="D15" s="795" t="n">
        <v>400</v>
      </c>
      <c r="E15" s="796">
        <f>(D11+D12+D13+D14+D15)/$D$30</f>
        <v/>
      </c>
      <c r="F15" s="798" t="n">
        <v>0.1025</v>
      </c>
      <c r="G15" s="798">
        <f>F15</f>
        <v/>
      </c>
      <c r="H15" s="795">
        <f>D15*G15</f>
        <v/>
      </c>
      <c r="I15" s="799" t="n">
        <v>47771</v>
      </c>
      <c r="J15" s="800" t="inlineStr">
        <is>
          <t>NA / B</t>
        </is>
      </c>
      <c r="K15" s="801" t="inlineStr">
        <is>
          <t>NA</t>
        </is>
      </c>
      <c r="L15" s="802" t="inlineStr">
        <is>
          <t>NA</t>
        </is>
      </c>
      <c r="M15" s="803" t="inlineStr">
        <is>
          <t>NA</t>
        </is>
      </c>
      <c r="N15" s="796">
        <f>E15</f>
        <v/>
      </c>
      <c r="O15" s="779" t="n"/>
      <c r="P15" s="779" t="n"/>
      <c r="Q15" s="779" t="n"/>
      <c r="R15" s="779" t="n"/>
      <c r="S15" s="779" t="n"/>
      <c r="T15" s="779" t="n"/>
      <c r="U15" s="779" t="n"/>
      <c r="V15" s="779" t="n"/>
      <c r="W15" s="779" t="n"/>
      <c r="X15" s="779" t="n"/>
      <c r="Y15" s="779" t="n"/>
    </row>
    <row r="16" ht="15" customHeight="1" s="223">
      <c r="B16" s="779" t="n"/>
      <c r="C16" s="647" t="inlineStr">
        <is>
          <t>2L Senior Secured Notes ($494mm)</t>
        </is>
      </c>
      <c r="D16" s="795" t="n">
        <v>494</v>
      </c>
      <c r="E16" s="796">
        <f>(D11+D12+D13+D14+D15+D16)/$D$30</f>
        <v/>
      </c>
      <c r="F16" s="798" t="n">
        <v>0.135</v>
      </c>
      <c r="G16" s="798">
        <f>F16</f>
        <v/>
      </c>
      <c r="H16" s="795">
        <f>D16*G16</f>
        <v/>
      </c>
      <c r="I16" s="799" t="n">
        <v>47953</v>
      </c>
      <c r="J16" s="800" t="inlineStr">
        <is>
          <t>NA / CCC+</t>
        </is>
      </c>
      <c r="K16" s="801" t="inlineStr">
        <is>
          <t>NA</t>
        </is>
      </c>
      <c r="L16" s="802" t="inlineStr">
        <is>
          <t>NA</t>
        </is>
      </c>
      <c r="M16" s="803" t="inlineStr">
        <is>
          <t>NA</t>
        </is>
      </c>
      <c r="N16" s="796">
        <f>E16</f>
        <v/>
      </c>
      <c r="O16" s="779" t="n"/>
      <c r="P16" s="779" t="n"/>
      <c r="Q16" s="779" t="n"/>
      <c r="R16" s="779" t="n"/>
      <c r="S16" s="779" t="n"/>
      <c r="T16" s="779" t="n"/>
      <c r="U16" s="779" t="n"/>
      <c r="V16" s="779" t="n"/>
      <c r="W16" s="779" t="n"/>
      <c r="X16" s="779" t="n"/>
      <c r="Y16" s="779" t="n"/>
    </row>
    <row r="17" ht="15" customHeight="1" s="223">
      <c r="B17" s="779" t="n"/>
      <c r="C17" s="807" t="inlineStr">
        <is>
          <t>Total Secured Debt</t>
        </is>
      </c>
      <c r="D17" s="808">
        <f>SUM(D11:D16)</f>
        <v/>
      </c>
      <c r="E17" s="809">
        <f>D17/$D$30</f>
        <v/>
      </c>
      <c r="F17" s="810" t="n"/>
      <c r="G17" s="810" t="n"/>
      <c r="H17" s="808">
        <f>SUM(H11:H16)</f>
        <v/>
      </c>
      <c r="I17" s="810" t="n"/>
      <c r="J17" s="811" t="n"/>
      <c r="K17" s="812" t="n"/>
      <c r="L17" s="813" t="n"/>
      <c r="M17" s="814" t="n"/>
      <c r="N17" s="815">
        <f>D17/$D$30</f>
        <v/>
      </c>
      <c r="O17" s="779" t="n"/>
      <c r="P17" s="779" t="n"/>
      <c r="Q17" s="779" t="n"/>
      <c r="R17" s="779" t="n"/>
      <c r="S17" s="779" t="n"/>
      <c r="T17" s="779" t="n"/>
      <c r="U17" s="779" t="n"/>
      <c r="V17" s="779" t="n"/>
      <c r="W17" s="779" t="n"/>
      <c r="X17" s="779" t="n"/>
      <c r="Y17" s="779" t="n"/>
    </row>
    <row r="18" ht="15" customHeight="1" s="223">
      <c r="B18" s="779" t="n"/>
      <c r="C18" s="647" t="inlineStr">
        <is>
          <t>Senior Unsecured Notes due 2028 ($556mm)</t>
        </is>
      </c>
      <c r="D18" s="795" t="n">
        <v>556</v>
      </c>
      <c r="E18" s="796">
        <f>(D11+D12+D13+D14+D15+D16+D18)/$D$30</f>
        <v/>
      </c>
      <c r="F18" s="798" t="n">
        <v>0.055</v>
      </c>
      <c r="G18" s="798">
        <f>F18</f>
        <v/>
      </c>
      <c r="H18" s="795">
        <f>D18*G18</f>
        <v/>
      </c>
      <c r="I18" s="799" t="n">
        <v>46980</v>
      </c>
      <c r="J18" s="800" t="inlineStr">
        <is>
          <t>NA</t>
        </is>
      </c>
      <c r="K18" s="801" t="n">
        <v>58.6</v>
      </c>
      <c r="L18" s="802" t="inlineStr">
        <is>
          <t>NA</t>
        </is>
      </c>
      <c r="M18" s="803">
        <f>D18*K18/100</f>
        <v/>
      </c>
      <c r="N18" s="796">
        <f>E18</f>
        <v/>
      </c>
      <c r="O18" s="779" t="n"/>
      <c r="P18" s="779" t="n"/>
      <c r="Q18" s="779" t="n"/>
      <c r="R18" s="779" t="n"/>
      <c r="S18" s="779" t="n"/>
      <c r="T18" s="779" t="n"/>
      <c r="U18" s="779" t="n"/>
      <c r="V18" s="779" t="n"/>
      <c r="W18" s="779" t="n"/>
      <c r="X18" s="779" t="n"/>
      <c r="Y18" s="779" t="n"/>
    </row>
    <row r="19" ht="15" customHeight="1" s="223">
      <c r="B19" s="779" t="n"/>
      <c r="C19" s="647" t="inlineStr">
        <is>
          <t>Senior Unsecured Notes due 2029 ($500mm)</t>
        </is>
      </c>
      <c r="D19" s="795" t="n">
        <v>500</v>
      </c>
      <c r="E19" s="796">
        <f>(D11+D12+D13+D14+D15+D16+D18+D19)/$D$30</f>
        <v/>
      </c>
      <c r="F19" s="798" t="n">
        <v>0.08875</v>
      </c>
      <c r="G19" s="798">
        <f>F19</f>
        <v/>
      </c>
      <c r="H19" s="795">
        <f>D19*G19</f>
        <v/>
      </c>
      <c r="I19" s="799" t="n">
        <v>47452</v>
      </c>
      <c r="J19" s="800" t="inlineStr">
        <is>
          <t>NA / CCC</t>
        </is>
      </c>
      <c r="K19" s="801" t="n">
        <v>40.9</v>
      </c>
      <c r="L19" s="802" t="inlineStr">
        <is>
          <t>NA</t>
        </is>
      </c>
      <c r="M19" s="803">
        <f>D19*K19/100</f>
        <v/>
      </c>
      <c r="N19" s="796">
        <f>E19</f>
        <v/>
      </c>
      <c r="O19" s="779" t="n"/>
      <c r="P19" s="779" t="n"/>
      <c r="Q19" s="779" t="n"/>
      <c r="R19" s="779" t="n"/>
      <c r="S19" s="779" t="n"/>
      <c r="T19" s="779" t="n"/>
      <c r="U19" s="779" t="n"/>
      <c r="V19" s="779" t="n"/>
      <c r="W19" s="779" t="n"/>
      <c r="X19" s="779" t="n"/>
      <c r="Y19" s="779" t="n"/>
    </row>
    <row r="20" ht="15" customHeight="1" s="223">
      <c r="B20" s="779" t="n"/>
      <c r="C20" s="647" t="inlineStr">
        <is>
          <t>Convertible Senior Notes 2030 ($400mm)</t>
        </is>
      </c>
      <c r="D20" s="795" t="n">
        <v>400</v>
      </c>
      <c r="E20" s="796">
        <f>(D11+D12+D13+D14+D15+D16+D18+D19+D20)/$D$30</f>
        <v/>
      </c>
      <c r="F20" s="798" t="n">
        <v>0.0375</v>
      </c>
      <c r="G20" s="798">
        <f>F20</f>
        <v/>
      </c>
      <c r="H20" s="795">
        <f>D20*G20</f>
        <v/>
      </c>
      <c r="I20" s="799" t="n">
        <v>47557</v>
      </c>
      <c r="J20" s="800" t="inlineStr">
        <is>
          <t>NA / CCC</t>
        </is>
      </c>
      <c r="K20" s="801" t="inlineStr">
        <is>
          <t>NA</t>
        </is>
      </c>
      <c r="L20" s="802" t="inlineStr">
        <is>
          <t>NA</t>
        </is>
      </c>
      <c r="M20" s="803" t="inlineStr">
        <is>
          <t>NA</t>
        </is>
      </c>
      <c r="N20" s="796">
        <f>E20</f>
        <v/>
      </c>
      <c r="O20" s="779" t="n"/>
      <c r="P20" s="779" t="n"/>
      <c r="Q20" s="779" t="n"/>
      <c r="R20" s="779" t="n"/>
      <c r="S20" s="779" t="n"/>
      <c r="T20" s="779" t="n"/>
      <c r="U20" s="779" t="n"/>
      <c r="V20" s="779" t="n"/>
      <c r="W20" s="779" t="n"/>
      <c r="X20" s="779" t="n"/>
      <c r="Y20" s="779" t="n"/>
    </row>
    <row r="21" ht="15" customHeight="1" s="223">
      <c r="B21" s="779" t="n"/>
      <c r="C21" s="647" t="inlineStr">
        <is>
          <t>Step-Up Senior Notes due 2030 ($250mm)</t>
        </is>
      </c>
      <c r="D21" s="795" t="n">
        <v>250</v>
      </c>
      <c r="E21" s="796">
        <f>(D11+D12+D13+D14+D15+D16+D18+D19+D20+D21)/$D$30</f>
        <v/>
      </c>
      <c r="F21" s="798" t="n">
        <v>0.135</v>
      </c>
      <c r="G21" s="798">
        <f>F21</f>
        <v/>
      </c>
      <c r="H21" s="795">
        <f>D21*G21</f>
        <v/>
      </c>
      <c r="I21" s="799" t="n">
        <v>47665</v>
      </c>
      <c r="J21" s="800" t="inlineStr">
        <is>
          <t>Caa3 / NA</t>
        </is>
      </c>
      <c r="K21" s="801" t="inlineStr">
        <is>
          <t>NA</t>
        </is>
      </c>
      <c r="L21" s="802" t="inlineStr">
        <is>
          <t>NA</t>
        </is>
      </c>
      <c r="M21" s="803" t="inlineStr">
        <is>
          <t>NA</t>
        </is>
      </c>
      <c r="N21" s="796">
        <f>E21</f>
        <v/>
      </c>
      <c r="O21" s="779" t="n"/>
      <c r="P21" s="779" t="n"/>
      <c r="Q21" s="779" t="n"/>
      <c r="R21" s="779" t="n"/>
      <c r="S21" s="779" t="n"/>
      <c r="T21" s="779" t="n"/>
      <c r="U21" s="779" t="n"/>
      <c r="V21" s="779" t="n"/>
      <c r="W21" s="779" t="n"/>
      <c r="X21" s="779" t="n"/>
      <c r="Y21" s="779" t="n"/>
    </row>
    <row r="22" ht="15" customHeight="1" s="223">
      <c r="B22" s="779" t="n"/>
      <c r="C22" s="647" t="inlineStr">
        <is>
          <t>Xerox Corp. Senior Notes 2035 ($250mm)</t>
        </is>
      </c>
      <c r="D22" s="795" t="n">
        <v>250</v>
      </c>
      <c r="E22" s="796">
        <f>(D11+D12+D13+D14+D15+D16+D18+D19+D20+D21+D22)/$D$30</f>
        <v/>
      </c>
      <c r="F22" s="798" t="n">
        <v>0.048</v>
      </c>
      <c r="G22" s="798">
        <f>F22</f>
        <v/>
      </c>
      <c r="H22" s="795">
        <f>D22*G22</f>
        <v/>
      </c>
      <c r="I22" s="799" t="n">
        <v>49369</v>
      </c>
      <c r="J22" s="800" t="inlineStr">
        <is>
          <t>NA / CCC</t>
        </is>
      </c>
      <c r="K22" s="801" t="inlineStr">
        <is>
          <t>NA</t>
        </is>
      </c>
      <c r="L22" s="802" t="inlineStr">
        <is>
          <t>NA</t>
        </is>
      </c>
      <c r="M22" s="803" t="inlineStr">
        <is>
          <t>NA</t>
        </is>
      </c>
      <c r="N22" s="796">
        <f>E22</f>
        <v/>
      </c>
      <c r="O22" s="779" t="n"/>
      <c r="P22" s="779" t="n"/>
      <c r="Q22" s="779" t="n"/>
      <c r="R22" s="779" t="n"/>
      <c r="S22" s="779" t="n"/>
      <c r="T22" s="779" t="n"/>
      <c r="U22" s="779" t="n"/>
      <c r="V22" s="779" t="n"/>
      <c r="W22" s="779" t="n"/>
      <c r="X22" s="779" t="n"/>
      <c r="Y22" s="779" t="n"/>
    </row>
    <row r="23" ht="15" customHeight="1" s="223">
      <c r="B23" s="779" t="n"/>
      <c r="C23" s="647" t="inlineStr">
        <is>
          <t>Xerox Corp. Senior Notes 2039 ($350mm)</t>
        </is>
      </c>
      <c r="D23" s="795" t="n">
        <v>350</v>
      </c>
      <c r="E23" s="796">
        <f>(D11+D12+D13+D14+D15+D16+D18+D19+D20+D21+D22+D23)/$D$30</f>
        <v/>
      </c>
      <c r="F23" s="798" t="n">
        <v>0.0675</v>
      </c>
      <c r="G23" s="798">
        <f>F23</f>
        <v/>
      </c>
      <c r="H23" s="795">
        <f>D23*G23</f>
        <v/>
      </c>
      <c r="I23" s="799" t="n">
        <v>51119</v>
      </c>
      <c r="J23" s="800" t="inlineStr">
        <is>
          <t>NA / CCC</t>
        </is>
      </c>
      <c r="K23" s="801" t="inlineStr">
        <is>
          <t>NA</t>
        </is>
      </c>
      <c r="L23" s="802" t="inlineStr">
        <is>
          <t>NA</t>
        </is>
      </c>
      <c r="M23" s="803" t="inlineStr">
        <is>
          <t>NA</t>
        </is>
      </c>
      <c r="N23" s="796">
        <f>E23</f>
        <v/>
      </c>
      <c r="O23" s="779" t="n"/>
      <c r="P23" s="779" t="n"/>
      <c r="Q23" s="779" t="n"/>
      <c r="R23" s="779" t="n"/>
      <c r="S23" s="779" t="n"/>
      <c r="T23" s="779" t="n"/>
      <c r="U23" s="779" t="n"/>
      <c r="V23" s="779" t="n"/>
      <c r="W23" s="779" t="n"/>
      <c r="X23" s="779" t="n"/>
      <c r="Y23" s="779" t="n"/>
    </row>
    <row r="24" ht="15" customHeight="1" s="223">
      <c r="B24" s="779" t="n"/>
      <c r="C24" s="807" t="inlineStr">
        <is>
          <t>Total Debt</t>
        </is>
      </c>
      <c r="D24" s="808">
        <f>SUM(D17:D23)</f>
        <v/>
      </c>
      <c r="E24" s="809">
        <f>D24/$D$30</f>
        <v/>
      </c>
      <c r="F24" s="810" t="n"/>
      <c r="G24" s="810" t="n"/>
      <c r="H24" s="808">
        <f>SUM(H17:H23)</f>
        <v/>
      </c>
      <c r="I24" s="810" t="n"/>
      <c r="J24" s="811" t="n"/>
      <c r="K24" s="812" t="n"/>
      <c r="L24" s="813" t="n"/>
      <c r="M24" s="814" t="n"/>
      <c r="N24" s="815">
        <f>D24/$D$30</f>
        <v/>
      </c>
      <c r="O24" s="779" t="n"/>
      <c r="P24" s="779" t="n"/>
      <c r="Q24" s="779" t="n"/>
      <c r="R24" s="779" t="n"/>
      <c r="S24" s="779" t="n"/>
      <c r="T24" s="779" t="n"/>
      <c r="U24" s="779" t="n"/>
      <c r="V24" s="779" t="n"/>
      <c r="W24" s="779" t="n"/>
      <c r="X24" s="779" t="n"/>
      <c r="Y24" s="779" t="n"/>
    </row>
    <row r="25" ht="15" customHeight="1" s="223">
      <c r="B25" s="779" t="n"/>
      <c r="C25" s="647" t="inlineStr">
        <is>
          <t>Less: Cash &amp; Cash Equivalents</t>
        </is>
      </c>
      <c r="D25" s="816">
        <f>-BS!AA13</f>
        <v/>
      </c>
      <c r="E25" s="796">
        <f>D25/$D$30</f>
        <v/>
      </c>
      <c r="F25" s="779" t="n"/>
      <c r="G25" s="779" t="n"/>
      <c r="H25" s="779" t="n"/>
      <c r="I25" s="779" t="n"/>
      <c r="J25" s="779" t="n"/>
      <c r="K25" s="779" t="n"/>
      <c r="L25" s="779" t="n"/>
      <c r="M25" s="779" t="n"/>
      <c r="N25" s="779" t="n"/>
      <c r="O25" s="779" t="n"/>
      <c r="P25" s="779" t="n"/>
      <c r="Q25" s="779" t="n"/>
      <c r="R25" s="779" t="n"/>
      <c r="S25" s="779" t="n"/>
      <c r="T25" s="779" t="n"/>
      <c r="U25" s="779" t="n"/>
      <c r="V25" s="779" t="n"/>
      <c r="W25" s="779" t="n"/>
      <c r="X25" s="779" t="n"/>
      <c r="Y25" s="779" t="n"/>
    </row>
    <row r="26" ht="15" customHeight="1" s="223">
      <c r="B26" s="779" t="n"/>
      <c r="C26" s="807" t="inlineStr">
        <is>
          <t>Net Debt</t>
        </is>
      </c>
      <c r="D26" s="808">
        <f>SUM(D24:D25)</f>
        <v/>
      </c>
      <c r="E26" s="809">
        <f>D26/$D$30</f>
        <v/>
      </c>
      <c r="F26" s="810" t="n"/>
      <c r="G26" s="810" t="n"/>
      <c r="H26" s="808">
        <f>SUM(H24:H25)</f>
        <v/>
      </c>
      <c r="I26" s="810" t="n"/>
      <c r="J26" s="817" t="n"/>
      <c r="K26" s="817" t="n"/>
      <c r="L26" s="813" t="n"/>
      <c r="M26" s="810" t="n"/>
      <c r="N26" s="815">
        <f>D26/$D$30</f>
        <v/>
      </c>
      <c r="O26" s="779" t="n"/>
      <c r="P26" s="779" t="n"/>
      <c r="Q26" s="779" t="n"/>
      <c r="R26" s="779" t="n"/>
      <c r="S26" s="779" t="n"/>
      <c r="T26" s="779" t="n"/>
      <c r="U26" s="779" t="n"/>
      <c r="V26" s="779" t="n"/>
      <c r="W26" s="779" t="n"/>
      <c r="X26" s="779" t="n"/>
      <c r="Y26" s="779" t="n"/>
    </row>
    <row r="27" ht="15" customHeight="1" s="223">
      <c r="B27" s="779" t="n"/>
      <c r="C27" s="647" t="inlineStr">
        <is>
          <t>Series A Conv. Preferred ($180mm)</t>
        </is>
      </c>
      <c r="D27" s="795" t="n">
        <v>180</v>
      </c>
      <c r="E27" s="796">
        <f>(D11+D12+D13+D14+D15+D16+D18+D19+D20+D21+D22+D23+D27)/$D$30</f>
        <v/>
      </c>
      <c r="F27" s="798" t="n">
        <v>0.08</v>
      </c>
      <c r="G27" s="798">
        <f>F27</f>
        <v/>
      </c>
      <c r="H27" s="795">
        <f>D27*G27</f>
        <v/>
      </c>
      <c r="I27" s="799" t="inlineStr">
        <is>
          <t>NA</t>
        </is>
      </c>
      <c r="J27" s="800" t="inlineStr">
        <is>
          <t>NA</t>
        </is>
      </c>
      <c r="K27" s="801" t="inlineStr">
        <is>
          <t>NA</t>
        </is>
      </c>
      <c r="L27" s="802" t="inlineStr">
        <is>
          <t>NA</t>
        </is>
      </c>
      <c r="M27" s="803" t="inlineStr">
        <is>
          <t>NA</t>
        </is>
      </c>
      <c r="N27" s="796">
        <f>E27</f>
        <v/>
      </c>
      <c r="O27" s="779" t="n"/>
      <c r="P27" s="779" t="n"/>
      <c r="Q27" s="779" t="n"/>
      <c r="R27" s="779" t="n"/>
      <c r="S27" s="779" t="n"/>
      <c r="T27" s="779" t="n"/>
      <c r="U27" s="779" t="n"/>
      <c r="V27" s="779" t="n"/>
      <c r="W27" s="779" t="n"/>
      <c r="X27" s="779" t="n"/>
      <c r="Y27" s="779" t="n"/>
    </row>
    <row r="28" ht="15" customHeight="1" s="223">
      <c r="B28" s="779" t="n"/>
      <c r="C28" s="807" t="inlineStr">
        <is>
          <t>Net Debt &amp; Preferred Equity</t>
        </is>
      </c>
      <c r="D28" s="808">
        <f>SUM(D26:D27)</f>
        <v/>
      </c>
      <c r="E28" s="809">
        <f>D28/$D$30</f>
        <v/>
      </c>
      <c r="F28" s="810" t="n"/>
      <c r="G28" s="810" t="n"/>
      <c r="H28" s="808">
        <f>SUM(H26:H27)</f>
        <v/>
      </c>
      <c r="I28" s="810" t="n"/>
      <c r="J28" s="811" t="n"/>
      <c r="K28" s="812" t="n"/>
      <c r="L28" s="813" t="n"/>
      <c r="M28" s="814" t="n"/>
      <c r="N28" s="815">
        <f>D28/$D$30</f>
        <v/>
      </c>
      <c r="O28" s="779" t="n"/>
      <c r="P28" s="779" t="n"/>
      <c r="Q28" s="779" t="n"/>
      <c r="R28" s="779" t="n"/>
      <c r="S28" s="779" t="n"/>
      <c r="T28" s="779" t="n"/>
      <c r="U28" s="779" t="n"/>
      <c r="V28" s="779" t="n"/>
      <c r="W28" s="779" t="n"/>
      <c r="X28" s="779" t="n"/>
      <c r="Y28" s="779" t="n"/>
    </row>
    <row r="29" ht="6" customHeight="1" s="223">
      <c r="B29" s="779" t="n"/>
      <c r="C29" s="779" t="n"/>
      <c r="D29" s="779" t="n"/>
      <c r="E29" s="779" t="n"/>
      <c r="F29" s="779" t="n"/>
      <c r="G29" s="779" t="n"/>
      <c r="H29" s="779" t="n"/>
      <c r="I29" s="779" t="n"/>
      <c r="J29" s="779" t="n"/>
      <c r="K29" s="779" t="n"/>
      <c r="L29" s="779" t="n"/>
      <c r="M29" s="779" t="n"/>
      <c r="N29" s="779" t="n"/>
      <c r="O29" s="779" t="n"/>
      <c r="P29" s="779" t="n"/>
      <c r="Q29" s="779" t="n"/>
      <c r="R29" s="779" t="n"/>
      <c r="S29" s="779" t="n"/>
      <c r="T29" s="779" t="n"/>
      <c r="U29" s="779" t="n"/>
      <c r="V29" s="779" t="n"/>
      <c r="W29" s="779" t="n"/>
      <c r="X29" s="779" t="n"/>
      <c r="Y29" s="779" t="n"/>
    </row>
    <row r="30" ht="15" customHeight="1" s="223">
      <c r="B30" s="779" t="n"/>
      <c r="C30" s="818" t="inlineStr">
        <is>
          <t>Memo: LTM 2Q'26 Adj. EBITDA</t>
        </is>
      </c>
      <c r="D30" s="819">
        <f>IS!AI63</f>
        <v/>
      </c>
      <c r="E30" s="779" t="n"/>
      <c r="F30" s="779" t="n"/>
      <c r="G30" s="779" t="n"/>
      <c r="H30" s="779" t="n"/>
      <c r="I30" s="779" t="n"/>
      <c r="J30" s="779" t="n"/>
      <c r="K30" s="779" t="n"/>
      <c r="L30" s="779" t="n"/>
      <c r="M30" s="779" t="n"/>
      <c r="N30" s="779" t="n"/>
      <c r="O30" s="779" t="n"/>
      <c r="P30" s="779" t="n"/>
      <c r="Q30" s="779" t="n"/>
      <c r="R30" s="779" t="n"/>
      <c r="S30" s="779" t="n"/>
      <c r="T30" s="779" t="n"/>
      <c r="U30" s="779" t="n"/>
      <c r="V30" s="779" t="n"/>
      <c r="W30" s="779" t="n"/>
      <c r="X30" s="779" t="n"/>
      <c r="Y30" s="779" t="n"/>
    </row>
    <row r="31" ht="15" customHeight="1" s="223">
      <c r="B31" s="779" t="n"/>
      <c r="C31" s="779" t="n"/>
      <c r="D31" s="779" t="n"/>
      <c r="E31" s="779" t="n"/>
      <c r="F31" s="779" t="n"/>
      <c r="G31" s="779" t="n"/>
      <c r="H31" s="779" t="n"/>
      <c r="I31" s="779" t="n"/>
      <c r="J31" s="779" t="n"/>
      <c r="K31" s="779" t="n"/>
      <c r="L31" s="779" t="n"/>
      <c r="M31" s="779" t="n"/>
      <c r="N31" s="779" t="n"/>
      <c r="O31" s="779" t="n"/>
      <c r="P31" s="779" t="n"/>
      <c r="Q31" s="779" t="n"/>
      <c r="R31" s="779" t="n"/>
      <c r="S31" s="779" t="n"/>
      <c r="T31" s="779" t="n"/>
      <c r="U31" s="779" t="n"/>
      <c r="V31" s="779" t="n"/>
      <c r="W31" s="779" t="n"/>
      <c r="X31" s="779" t="n"/>
      <c r="Y31" s="779" t="n"/>
    </row>
    <row r="32" ht="15" customHeight="1" s="223">
      <c r="B32" s="779" t="n"/>
      <c r="C32" s="820" t="inlineStr">
        <is>
          <t>ABL Commitments</t>
        </is>
      </c>
      <c r="D32" s="821" t="n">
        <v>425</v>
      </c>
      <c r="E32" s="779" t="n"/>
      <c r="F32" s="779" t="n"/>
      <c r="G32" s="779" t="n"/>
      <c r="H32" s="779" t="n"/>
      <c r="I32" s="779" t="n"/>
      <c r="J32" s="779" t="n"/>
      <c r="K32" s="779" t="n"/>
      <c r="L32" s="779" t="n"/>
      <c r="M32" s="779" t="n"/>
      <c r="N32" s="779" t="n"/>
      <c r="O32" s="779" t="n"/>
      <c r="P32" s="779" t="n"/>
      <c r="Q32" s="779" t="n"/>
      <c r="R32" s="779" t="n"/>
      <c r="S32" s="779" t="n"/>
      <c r="T32" s="779" t="n"/>
      <c r="U32" s="779" t="n"/>
      <c r="V32" s="779" t="n"/>
      <c r="W32" s="779" t="n"/>
      <c r="X32" s="779" t="n"/>
      <c r="Y32" s="779" t="n"/>
    </row>
    <row r="33" ht="15" customHeight="1" s="223">
      <c r="B33" s="779" t="n"/>
      <c r="C33" s="647" t="inlineStr">
        <is>
          <t>Less: Borrowing Base Limitation</t>
        </is>
      </c>
      <c r="D33" s="822" t="n">
        <v>-37</v>
      </c>
      <c r="E33" s="779" t="n"/>
      <c r="F33" s="779" t="n"/>
      <c r="G33" s="779" t="n"/>
      <c r="H33" s="779" t="n"/>
      <c r="I33" s="779" t="n"/>
      <c r="J33" s="779" t="n"/>
      <c r="K33" s="779" t="n"/>
      <c r="L33" s="779" t="n"/>
      <c r="M33" s="779" t="n"/>
      <c r="N33" s="779" t="n"/>
      <c r="O33" s="779" t="n"/>
      <c r="P33" s="779" t="n"/>
      <c r="Q33" s="779" t="n"/>
      <c r="R33" s="779" t="n"/>
      <c r="S33" s="779" t="n"/>
      <c r="T33" s="779" t="n"/>
      <c r="U33" s="779" t="n"/>
      <c r="V33" s="779" t="n"/>
      <c r="W33" s="779" t="n"/>
      <c r="X33" s="779" t="n"/>
      <c r="Y33" s="779" t="n"/>
    </row>
    <row r="34" ht="15" customHeight="1" s="223">
      <c r="B34" s="779" t="n"/>
      <c r="C34" s="647" t="inlineStr">
        <is>
          <t>Less: Outstanding Borrowings</t>
        </is>
      </c>
      <c r="D34" s="822">
        <f>-D11</f>
        <v/>
      </c>
      <c r="E34" s="779" t="n"/>
      <c r="F34" s="779" t="n"/>
      <c r="G34" s="779" t="n"/>
      <c r="H34" s="779" t="n"/>
      <c r="I34" s="779" t="n"/>
      <c r="J34" s="779" t="n"/>
      <c r="K34" s="779" t="n"/>
      <c r="L34" s="779" t="n"/>
      <c r="M34" s="779" t="n"/>
      <c r="N34" s="779" t="n"/>
      <c r="O34" s="779" t="n"/>
      <c r="P34" s="779" t="n"/>
      <c r="Q34" s="779" t="n"/>
      <c r="R34" s="779" t="n"/>
      <c r="S34" s="779" t="n"/>
      <c r="T34" s="779" t="n"/>
      <c r="U34" s="779" t="n"/>
      <c r="V34" s="779" t="n"/>
      <c r="W34" s="779" t="n"/>
      <c r="X34" s="779" t="n"/>
      <c r="Y34" s="779" t="n"/>
    </row>
    <row r="35" ht="15" customHeight="1" s="223">
      <c r="B35" s="779" t="n"/>
      <c r="C35" s="647" t="inlineStr">
        <is>
          <t>Less: Letters of Credit</t>
        </is>
      </c>
      <c r="D35" s="822" t="n">
        <v>-112</v>
      </c>
      <c r="E35" s="779" t="n"/>
      <c r="F35" s="779" t="n"/>
      <c r="G35" s="779" t="n"/>
      <c r="H35" s="779" t="n"/>
      <c r="I35" s="779" t="n"/>
      <c r="J35" s="779" t="n"/>
      <c r="K35" s="779" t="n"/>
      <c r="L35" s="779" t="n"/>
      <c r="M35" s="779" t="n"/>
      <c r="N35" s="779" t="n"/>
      <c r="O35" s="779" t="n"/>
      <c r="P35" s="779" t="n"/>
      <c r="Q35" s="779" t="n"/>
      <c r="R35" s="779" t="n"/>
      <c r="S35" s="779" t="n"/>
      <c r="T35" s="779" t="n"/>
      <c r="U35" s="779" t="n"/>
      <c r="V35" s="779" t="n"/>
      <c r="W35" s="779" t="n"/>
      <c r="X35" s="779" t="n"/>
      <c r="Y35" s="779" t="n"/>
    </row>
    <row r="36" ht="15" customHeight="1" s="223">
      <c r="B36" s="779" t="n"/>
      <c r="C36" s="807" t="inlineStr">
        <is>
          <t>ABL Availability</t>
        </is>
      </c>
      <c r="D36" s="823">
        <f>SUM(D32:D35)</f>
        <v/>
      </c>
      <c r="E36" s="779" t="n"/>
      <c r="F36" s="779" t="n"/>
      <c r="G36" s="779" t="n"/>
      <c r="H36" s="779" t="n"/>
      <c r="I36" s="779" t="n"/>
      <c r="J36" s="779" t="n"/>
      <c r="K36" s="779" t="n"/>
      <c r="L36" s="779" t="n"/>
      <c r="M36" s="779" t="n"/>
      <c r="N36" s="779" t="n"/>
      <c r="O36" s="779" t="n"/>
      <c r="P36" s="779" t="n"/>
      <c r="Q36" s="779" t="n"/>
      <c r="R36" s="779" t="n"/>
      <c r="S36" s="779" t="n"/>
      <c r="T36" s="779" t="n"/>
      <c r="U36" s="779" t="n"/>
      <c r="V36" s="779" t="n"/>
      <c r="W36" s="779" t="n"/>
      <c r="X36" s="779" t="n"/>
      <c r="Y36" s="779" t="n"/>
    </row>
    <row r="37" ht="15" customHeight="1" s="223">
      <c r="B37" s="779" t="n"/>
      <c r="C37" s="647" t="inlineStr">
        <is>
          <t>Plus: Cash and Equivalents</t>
        </is>
      </c>
      <c r="D37" s="822">
        <f>-D25</f>
        <v/>
      </c>
      <c r="E37" s="779" t="n"/>
      <c r="F37" s="779" t="n"/>
      <c r="G37" s="779" t="n"/>
      <c r="H37" s="779" t="n"/>
      <c r="I37" s="779" t="n"/>
      <c r="J37" s="779" t="n"/>
      <c r="K37" s="779" t="n"/>
      <c r="L37" s="779" t="n"/>
      <c r="M37" s="779" t="n"/>
      <c r="N37" s="779" t="n"/>
      <c r="O37" s="779" t="n"/>
      <c r="P37" s="779" t="n"/>
      <c r="Q37" s="779" t="n"/>
      <c r="R37" s="779" t="n"/>
      <c r="S37" s="779" t="n"/>
      <c r="T37" s="779" t="n"/>
      <c r="U37" s="779" t="n"/>
      <c r="V37" s="779" t="n"/>
      <c r="W37" s="779" t="n"/>
      <c r="X37" s="779" t="n"/>
      <c r="Y37" s="779" t="n"/>
    </row>
    <row r="38" ht="15" customHeight="1" s="223">
      <c r="B38" s="779" t="n"/>
      <c r="C38" s="807" t="inlineStr">
        <is>
          <t>Total Liquidity</t>
        </is>
      </c>
      <c r="D38" s="823">
        <f>SUM(D36:D37)</f>
        <v/>
      </c>
      <c r="E38" s="779" t="n"/>
      <c r="F38" s="779" t="n"/>
      <c r="G38" s="779" t="n"/>
      <c r="H38" s="779" t="n"/>
      <c r="I38" s="779" t="n"/>
      <c r="J38" s="779" t="n"/>
      <c r="K38" s="779" t="n"/>
      <c r="L38" s="779" t="n"/>
      <c r="M38" s="779" t="n"/>
      <c r="N38" s="779" t="n"/>
      <c r="O38" s="779" t="n"/>
      <c r="P38" s="779" t="n"/>
      <c r="Q38" s="779" t="n"/>
      <c r="R38" s="779" t="n"/>
      <c r="S38" s="779" t="n"/>
      <c r="T38" s="779" t="n"/>
      <c r="U38" s="779" t="n"/>
      <c r="V38" s="779" t="n"/>
      <c r="W38" s="779" t="n"/>
      <c r="X38" s="779" t="n"/>
      <c r="Y38" s="779" t="n"/>
    </row>
    <row r="39" ht="15" customHeight="1" s="223">
      <c r="B39" s="779" t="n"/>
      <c r="C39" s="779" t="n"/>
      <c r="D39" s="779" t="n"/>
      <c r="E39" s="779" t="n"/>
      <c r="F39" s="779" t="n"/>
      <c r="G39" s="779" t="n"/>
      <c r="H39" s="779" t="n"/>
      <c r="I39" s="779" t="n"/>
      <c r="J39" s="779" t="n"/>
      <c r="K39" s="779" t="n"/>
      <c r="L39" s="779" t="n"/>
      <c r="M39" s="779" t="n"/>
      <c r="N39" s="779" t="n"/>
      <c r="O39" s="779" t="n"/>
      <c r="P39" s="779" t="n"/>
      <c r="Q39" s="779" t="n"/>
      <c r="R39" s="779" t="n"/>
      <c r="S39" s="779" t="n"/>
      <c r="T39" s="779" t="n"/>
      <c r="U39" s="779" t="n"/>
      <c r="V39" s="779" t="n"/>
      <c r="W39" s="779" t="n"/>
      <c r="X39" s="779" t="n"/>
      <c r="Y39" s="779" t="n"/>
    </row>
    <row r="40" ht="15" customHeight="1" s="223">
      <c r="B40" s="779" t="n"/>
      <c r="C40" s="824" t="inlineStr">
        <is>
          <t>Source: 2Q'26 10-Q (filed 6-Aug-26) and 2Q'26 earnings deck. Principal shown; B/S carrying value $4,223m (net of ~$134m OID/fees). Excl. $90m tariff-monetization liability.</t>
        </is>
      </c>
      <c r="D40" s="779" t="n"/>
      <c r="E40" s="779" t="n"/>
      <c r="F40" s="779" t="n"/>
      <c r="G40" s="779" t="n"/>
      <c r="H40" s="779" t="n"/>
      <c r="I40" s="779" t="n"/>
      <c r="J40" s="779" t="n"/>
      <c r="K40" s="779" t="n"/>
      <c r="L40" s="779" t="n"/>
      <c r="M40" s="779" t="n"/>
      <c r="N40" s="779" t="n"/>
      <c r="O40" s="779" t="n"/>
      <c r="P40" s="779" t="n"/>
      <c r="Q40" s="779" t="n"/>
      <c r="R40" s="779" t="n"/>
      <c r="S40" s="779" t="n"/>
      <c r="T40" s="779" t="n"/>
      <c r="U40" s="779" t="n"/>
      <c r="V40" s="779" t="n"/>
      <c r="W40" s="779" t="n"/>
      <c r="X40" s="779" t="n"/>
      <c r="Y40" s="779" t="n"/>
    </row>
    <row r="41" ht="15" customHeight="1" s="223">
      <c r="B41" s="779" t="n"/>
      <c r="C41" s="824" t="inlineStr">
        <is>
          <t>Tie-out: 1Q'26 principal $4,581m less 2Q'26 activity ($125m 2026 notes repaid; $93m 2028s and $6m 2Ls repurchased) = ~$4,357m vs. $4,355m shown.</t>
        </is>
      </c>
      <c r="D41" s="779" t="n"/>
      <c r="E41" s="779" t="n"/>
      <c r="F41" s="779" t="n"/>
      <c r="G41" s="779" t="n"/>
      <c r="H41" s="779" t="n"/>
      <c r="I41" s="779" t="n"/>
      <c r="J41" s="779" t="n"/>
      <c r="K41" s="779" t="n"/>
      <c r="L41" s="779" t="n"/>
      <c r="M41" s="779" t="n"/>
      <c r="N41" s="779" t="n"/>
      <c r="O41" s="779" t="n"/>
      <c r="P41" s="779" t="n"/>
      <c r="Q41" s="779" t="n"/>
      <c r="R41" s="779" t="n"/>
      <c r="S41" s="779" t="n"/>
      <c r="T41" s="779" t="n"/>
      <c r="U41" s="779" t="n"/>
      <c r="V41" s="779" t="n"/>
      <c r="W41" s="779" t="n"/>
      <c r="X41" s="779" t="n"/>
      <c r="Y41" s="779" t="n"/>
    </row>
    <row r="42" ht="15" customHeight="1" s="223">
      <c r="B42" s="779" t="n"/>
      <c r="C42" s="824" t="inlineStr">
        <is>
          <t>IPCo JV (Feb-26, TPG): $405m TL + $45m Class A Units at XRX Brandco Holdings, secured by contributed IP; company treats both as debt. Units have no stated rate / maturity.</t>
        </is>
      </c>
      <c r="D42" s="779" t="n"/>
      <c r="E42" s="779" t="n"/>
      <c r="F42" s="779" t="n"/>
      <c r="G42" s="779" t="n"/>
      <c r="H42" s="779" t="n"/>
      <c r="I42" s="779" t="n"/>
      <c r="J42" s="779" t="n"/>
      <c r="K42" s="779" t="n"/>
      <c r="L42" s="779" t="n"/>
      <c r="M42" s="779" t="n"/>
      <c r="N42" s="779" t="n"/>
      <c r="O42" s="779" t="n"/>
      <c r="P42" s="779" t="n"/>
      <c r="Q42" s="779" t="n"/>
      <c r="R42" s="779" t="n"/>
      <c r="S42" s="779" t="n"/>
      <c r="T42" s="779" t="n"/>
      <c r="U42" s="779" t="n"/>
      <c r="V42" s="779" t="n"/>
      <c r="W42" s="779" t="n"/>
      <c r="X42" s="779" t="n"/>
      <c r="Y42" s="779" t="n"/>
    </row>
    <row r="43" ht="15" customHeight="1" s="223">
      <c r="B43" s="779" t="n"/>
      <c r="C43" s="824" t="inlineStr">
        <is>
          <t>~$1.3bn of debt funds the finance-receivables book; core debt ~$2.9bn. Mgmt gross / net leverage 5.9x / 5.1x (carrying value).</t>
        </is>
      </c>
      <c r="D43" s="779" t="n"/>
      <c r="E43" s="779" t="n"/>
      <c r="F43" s="779" t="n"/>
      <c r="G43" s="779" t="n"/>
      <c r="H43" s="779" t="n"/>
      <c r="I43" s="779" t="n"/>
      <c r="J43" s="779" t="n"/>
      <c r="K43" s="779" t="n"/>
      <c r="L43" s="779" t="n"/>
      <c r="M43" s="779" t="n"/>
      <c r="N43" s="779" t="n"/>
      <c r="O43" s="779" t="n"/>
      <c r="P43" s="779" t="n"/>
      <c r="Q43" s="779" t="n"/>
      <c r="R43" s="779" t="n"/>
      <c r="S43" s="779" t="n"/>
      <c r="T43" s="779" t="n"/>
      <c r="U43" s="779" t="n"/>
      <c r="V43" s="779" t="n"/>
      <c r="W43" s="779" t="n"/>
      <c r="X43" s="779" t="n"/>
      <c r="Y43" s="779" t="n"/>
    </row>
    <row r="44" ht="15" customHeight="1" s="223">
      <c r="B44" s="779" t="n"/>
      <c r="C44" s="824" t="inlineStr">
        <is>
          <t>LTM Adj. EBITDA includes a $105m IEEPA tariff-refund benefit; excl. it EBITDA is $614m (~7.1x gross leverage on principal).</t>
        </is>
      </c>
      <c r="D44" s="779" t="n"/>
      <c r="E44" s="779" t="n"/>
      <c r="F44" s="779" t="n"/>
      <c r="G44" s="779" t="n"/>
      <c r="H44" s="779" t="n"/>
      <c r="I44" s="779" t="n"/>
      <c r="J44" s="779" t="n"/>
      <c r="K44" s="779" t="n"/>
      <c r="L44" s="779" t="n"/>
      <c r="M44" s="779" t="n"/>
      <c r="N44" s="779" t="n"/>
      <c r="O44" s="779" t="n"/>
      <c r="P44" s="779" t="n"/>
      <c r="Q44" s="779" t="n"/>
      <c r="R44" s="779" t="n"/>
      <c r="S44" s="779" t="n"/>
      <c r="T44" s="779" t="n"/>
      <c r="U44" s="779" t="n"/>
      <c r="V44" s="779" t="n"/>
      <c r="W44" s="779" t="n"/>
      <c r="X44" s="779" t="n"/>
      <c r="Y44" s="779" t="n"/>
    </row>
    <row r="45" ht="15" customHeight="1" s="223">
      <c r="B45" s="779" t="n"/>
      <c r="C45" s="824" t="inlineStr">
        <is>
          <t>Ratings: Moody's CFR Caa2 / neg. (Mar-26); S&amp;P CCC+ / neg. (16-Jun-26, restored from SD after the below-par 2028 note buyback). Issue ratings Moody's / S&amp;P.</t>
        </is>
      </c>
      <c r="D45" s="779" t="n"/>
      <c r="E45" s="779" t="n"/>
      <c r="F45" s="779" t="n"/>
      <c r="G45" s="779" t="n"/>
      <c r="H45" s="779" t="n"/>
      <c r="I45" s="779" t="n"/>
      <c r="J45" s="779" t="n"/>
      <c r="K45" s="779" t="n"/>
      <c r="L45" s="779" t="n"/>
      <c r="M45" s="779" t="n"/>
      <c r="N45" s="779" t="n"/>
      <c r="O45" s="779" t="n"/>
      <c r="P45" s="779" t="n"/>
      <c r="Q45" s="779" t="n"/>
      <c r="R45" s="779" t="n"/>
      <c r="S45" s="779" t="n"/>
      <c r="T45" s="779" t="n"/>
      <c r="U45" s="779" t="n"/>
      <c r="V45" s="779" t="n"/>
      <c r="W45" s="779" t="n"/>
      <c r="X45" s="779" t="n"/>
      <c r="Y45" s="779" t="n"/>
    </row>
    <row r="46" ht="15" customHeight="1" s="223">
      <c r="B46" s="779" t="n"/>
      <c r="C46" s="824" t="inlineStr">
        <is>
          <t>Feb-26 warrants ($8.00 strike, exp. Feb-28) can be exercised by tendering designated notes at par; uptake to date minimal.</t>
        </is>
      </c>
      <c r="D46" s="779" t="n"/>
      <c r="E46" s="779" t="n"/>
      <c r="F46" s="779" t="n"/>
      <c r="G46" s="779" t="n"/>
      <c r="H46" s="779" t="n"/>
      <c r="I46" s="779" t="n"/>
      <c r="J46" s="779" t="n"/>
      <c r="K46" s="779" t="n"/>
      <c r="L46" s="779" t="n"/>
      <c r="M46" s="779" t="n"/>
      <c r="N46" s="779" t="n"/>
      <c r="O46" s="779" t="n"/>
      <c r="P46" s="779" t="n"/>
      <c r="Q46" s="779" t="n"/>
      <c r="R46" s="779" t="n"/>
      <c r="S46" s="779" t="n"/>
      <c r="T46" s="779" t="n"/>
      <c r="U46" s="779" t="n"/>
      <c r="V46" s="779" t="n"/>
      <c r="W46" s="779" t="n"/>
      <c r="X46" s="779" t="n"/>
      <c r="Y46" s="779" t="n"/>
    </row>
    <row r="47" ht="15" customHeight="1" s="223">
      <c r="B47" s="779" t="n"/>
      <c r="C47" s="824" t="inlineStr">
        <is>
          <t>Prices: indicative TRACE-based quotes, early Oct-26 (not Bloomberg/Octus). SOFR 3.87% (13-Oct-26). XRX equity ~$3.06 (30-Aug-26).</t>
        </is>
      </c>
      <c r="D47" s="779" t="n"/>
      <c r="E47" s="779" t="n"/>
      <c r="F47" s="779" t="n"/>
      <c r="G47" s="779" t="n"/>
      <c r="H47" s="779" t="n"/>
      <c r="I47" s="779" t="n"/>
      <c r="J47" s="779" t="n"/>
      <c r="K47" s="779" t="n"/>
      <c r="L47" s="779" t="n"/>
      <c r="M47" s="779" t="n"/>
      <c r="N47" s="779" t="n"/>
      <c r="O47" s="779" t="n"/>
      <c r="P47" s="779" t="n"/>
      <c r="Q47" s="779" t="n"/>
      <c r="R47" s="779" t="n"/>
      <c r="S47" s="779" t="n"/>
      <c r="T47" s="779" t="n"/>
      <c r="U47" s="779" t="n"/>
      <c r="V47" s="779" t="n"/>
      <c r="W47" s="779" t="n"/>
      <c r="X47" s="779" t="n"/>
      <c r="Y47" s="779" t="n"/>
    </row>
    <row r="48" ht="15" customHeight="1" s="223">
      <c r="B48" s="779" t="n"/>
      <c r="C48" s="779" t="n"/>
      <c r="D48" s="779" t="n"/>
      <c r="E48" s="779" t="n"/>
      <c r="F48" s="779" t="n"/>
      <c r="G48" s="779" t="n"/>
      <c r="H48" s="779" t="n"/>
      <c r="I48" s="779" t="n"/>
      <c r="J48" s="779" t="n"/>
      <c r="K48" s="779" t="n"/>
      <c r="L48" s="779" t="n"/>
      <c r="M48" s="779" t="n"/>
      <c r="N48" s="779" t="n"/>
      <c r="O48" s="779" t="n"/>
      <c r="P48" s="779" t="n"/>
      <c r="Q48" s="779" t="n"/>
      <c r="R48" s="779" t="n"/>
      <c r="S48" s="779" t="n"/>
      <c r="T48" s="779" t="n"/>
      <c r="U48" s="779" t="n"/>
      <c r="V48" s="779" t="n"/>
      <c r="W48" s="779" t="n"/>
      <c r="X48" s="779" t="n"/>
      <c r="Y48" s="779" t="n"/>
    </row>
    <row r="49" ht="15" customHeight="1" s="223">
      <c r="B49" s="779" t="n"/>
      <c r="C49" s="779" t="n"/>
      <c r="D49" s="779" t="n"/>
      <c r="E49" s="779" t="n"/>
      <c r="F49" s="779" t="n"/>
      <c r="G49" s="779" t="n"/>
      <c r="H49" s="779" t="n"/>
      <c r="I49" s="779" t="n"/>
      <c r="J49" s="779" t="n"/>
      <c r="K49" s="779" t="n"/>
      <c r="L49" s="779" t="n"/>
      <c r="M49" s="779" t="n"/>
      <c r="N49" s="779" t="n"/>
      <c r="O49" s="779" t="n"/>
      <c r="P49" s="779" t="n"/>
      <c r="Q49" s="779" t="n"/>
      <c r="R49" s="779" t="n"/>
      <c r="S49" s="779" t="n"/>
      <c r="T49" s="779" t="n"/>
      <c r="U49" s="779" t="n"/>
      <c r="V49" s="779" t="n"/>
      <c r="W49" s="779" t="n"/>
      <c r="X49" s="779" t="n"/>
      <c r="Y49" s="779" t="n"/>
    </row>
    <row r="50" ht="15" customHeight="1" s="223">
      <c r="B50" s="779" t="n"/>
      <c r="C50" s="779" t="n"/>
      <c r="D50" s="779" t="n"/>
      <c r="E50" s="779" t="n"/>
      <c r="F50" s="779" t="n"/>
      <c r="G50" s="779" t="n"/>
      <c r="H50" s="779" t="n"/>
      <c r="I50" s="779" t="n"/>
      <c r="J50" s="779" t="n"/>
      <c r="K50" s="779" t="n"/>
      <c r="L50" s="779" t="n"/>
      <c r="M50" s="779" t="n"/>
      <c r="N50" s="779" t="n"/>
      <c r="O50" s="779" t="n"/>
      <c r="P50" s="779" t="n"/>
      <c r="Q50" s="779" t="n"/>
      <c r="R50" s="779" t="n"/>
      <c r="S50" s="779" t="n"/>
      <c r="T50" s="779" t="n"/>
      <c r="U50" s="779" t="n"/>
      <c r="V50" s="779" t="n"/>
      <c r="W50" s="779" t="n"/>
      <c r="X50" s="779" t="n"/>
      <c r="Y50" s="779" t="n"/>
    </row>
    <row r="51" ht="15" customHeight="1" s="223">
      <c r="B51" s="779" t="n"/>
      <c r="C51" s="779" t="n"/>
      <c r="D51" s="779" t="n"/>
      <c r="E51" s="779" t="n"/>
      <c r="F51" s="779" t="n"/>
      <c r="G51" s="779" t="n"/>
      <c r="H51" s="779" t="n"/>
      <c r="I51" s="779" t="n"/>
      <c r="J51" s="779" t="n"/>
      <c r="K51" s="779" t="n"/>
      <c r="L51" s="779" t="n"/>
      <c r="M51" s="779" t="n"/>
      <c r="N51" s="779" t="n"/>
      <c r="O51" s="779" t="n"/>
      <c r="P51" s="779" t="n"/>
      <c r="Q51" s="779" t="n"/>
      <c r="R51" s="779" t="n"/>
      <c r="S51" s="779" t="n"/>
      <c r="T51" s="779" t="n"/>
      <c r="U51" s="779" t="n"/>
      <c r="V51" s="779" t="n"/>
      <c r="W51" s="779" t="n"/>
      <c r="X51" s="779" t="n"/>
      <c r="Y51" s="779" t="n"/>
    </row>
    <row r="52" ht="15" customHeight="1" s="223">
      <c r="B52" s="779" t="n"/>
      <c r="C52" s="779" t="n"/>
      <c r="D52" s="779" t="n"/>
      <c r="E52" s="779" t="n"/>
      <c r="F52" s="779" t="n"/>
      <c r="G52" s="779" t="n"/>
      <c r="H52" s="779" t="n"/>
      <c r="I52" s="779" t="n"/>
      <c r="J52" s="779" t="n"/>
      <c r="K52" s="779" t="n"/>
      <c r="L52" s="779" t="n"/>
      <c r="M52" s="779" t="n"/>
      <c r="N52" s="779" t="n"/>
      <c r="O52" s="779" t="n"/>
      <c r="P52" s="779" t="n"/>
      <c r="Q52" s="779" t="n"/>
      <c r="R52" s="779" t="n"/>
      <c r="S52" s="779" t="n"/>
      <c r="T52" s="779" t="n"/>
      <c r="U52" s="779" t="n"/>
      <c r="V52" s="779" t="n"/>
      <c r="W52" s="779" t="n"/>
      <c r="X52" s="779" t="n"/>
      <c r="Y52" s="779" t="n"/>
    </row>
    <row r="53" ht="15" customHeight="1" s="223">
      <c r="B53" s="779" t="n"/>
      <c r="C53" s="779" t="n"/>
      <c r="D53" s="779" t="n"/>
      <c r="E53" s="779" t="n"/>
      <c r="F53" s="779" t="n"/>
      <c r="G53" s="779" t="n"/>
      <c r="H53" s="779" t="n"/>
      <c r="I53" s="779" t="n"/>
      <c r="J53" s="779" t="n"/>
      <c r="K53" s="779" t="n"/>
      <c r="L53" s="779" t="n"/>
      <c r="M53" s="779" t="n"/>
      <c r="N53" s="779" t="n"/>
      <c r="O53" s="779" t="n"/>
      <c r="P53" s="779" t="n"/>
      <c r="Q53" s="779" t="n"/>
      <c r="R53" s="779" t="n"/>
      <c r="S53" s="779" t="n"/>
      <c r="T53" s="779" t="n"/>
      <c r="U53" s="779" t="n"/>
      <c r="V53" s="779" t="n"/>
      <c r="W53" s="779" t="n"/>
      <c r="X53" s="779" t="n"/>
      <c r="Y53" s="779" t="n"/>
    </row>
    <row r="54" ht="15" customHeight="1" s="223">
      <c r="B54" s="779" t="n"/>
      <c r="C54" s="779" t="n"/>
      <c r="D54" s="779" t="n"/>
      <c r="E54" s="779" t="n"/>
      <c r="F54" s="779" t="n"/>
      <c r="G54" s="779" t="n"/>
      <c r="H54" s="779" t="n"/>
      <c r="I54" s="779" t="n"/>
      <c r="J54" s="779" t="n"/>
      <c r="K54" s="779" t="n"/>
      <c r="L54" s="779" t="n"/>
      <c r="M54" s="779" t="n"/>
      <c r="N54" s="779" t="n"/>
      <c r="O54" s="779" t="n"/>
      <c r="P54" s="779" t="n"/>
      <c r="Q54" s="779" t="n"/>
      <c r="R54" s="779" t="n"/>
      <c r="S54" s="779" t="n"/>
      <c r="T54" s="779" t="n"/>
      <c r="U54" s="779" t="n"/>
      <c r="V54" s="779" t="n"/>
      <c r="W54" s="779" t="n"/>
      <c r="X54" s="779" t="n"/>
      <c r="Y54" s="779" t="n"/>
    </row>
    <row r="55" ht="15" customHeight="1" s="223">
      <c r="B55" s="779" t="n"/>
      <c r="C55" s="779" t="n"/>
      <c r="D55" s="779" t="n"/>
      <c r="E55" s="779" t="n"/>
      <c r="F55" s="779" t="n"/>
      <c r="G55" s="779" t="n"/>
      <c r="H55" s="779" t="n"/>
      <c r="I55" s="779" t="n"/>
      <c r="J55" s="779" t="n"/>
      <c r="K55" s="779" t="n"/>
      <c r="L55" s="779" t="n"/>
      <c r="M55" s="779" t="n"/>
      <c r="N55" s="779" t="n"/>
      <c r="O55" s="779" t="n"/>
      <c r="P55" s="779" t="n"/>
      <c r="Q55" s="779" t="n"/>
      <c r="R55" s="779" t="n"/>
      <c r="S55" s="779" t="n"/>
      <c r="T55" s="779" t="n"/>
      <c r="U55" s="779" t="n"/>
      <c r="V55" s="779" t="n"/>
      <c r="W55" s="779" t="n"/>
      <c r="X55" s="779" t="n"/>
      <c r="Y55" s="779" t="n"/>
    </row>
    <row r="56" ht="15" customHeight="1" s="223">
      <c r="B56" s="779" t="n"/>
      <c r="C56" s="779" t="n"/>
      <c r="D56" s="779" t="n"/>
      <c r="E56" s="779" t="n"/>
      <c r="F56" s="779" t="n"/>
      <c r="G56" s="779" t="n"/>
      <c r="H56" s="779" t="n"/>
      <c r="I56" s="779" t="n"/>
      <c r="J56" s="779" t="n"/>
      <c r="K56" s="779" t="n"/>
      <c r="L56" s="779" t="n"/>
      <c r="M56" s="779" t="n"/>
      <c r="N56" s="779" t="n"/>
      <c r="O56" s="779" t="n"/>
      <c r="P56" s="779" t="n"/>
      <c r="Q56" s="779" t="n"/>
      <c r="R56" s="779" t="n"/>
      <c r="S56" s="779" t="n"/>
      <c r="T56" s="779" t="n"/>
      <c r="U56" s="779" t="n"/>
      <c r="V56" s="779" t="n"/>
      <c r="W56" s="779" t="n"/>
      <c r="X56" s="779" t="n"/>
      <c r="Y56" s="779" t="n"/>
    </row>
    <row r="57" ht="15" customHeight="1" s="223">
      <c r="B57" s="779" t="n"/>
      <c r="C57" s="779" t="n"/>
      <c r="D57" s="779" t="n"/>
      <c r="E57" s="779" t="n"/>
      <c r="F57" s="779" t="n"/>
      <c r="G57" s="779" t="n"/>
      <c r="H57" s="779" t="n"/>
      <c r="I57" s="779" t="n"/>
      <c r="J57" s="779" t="n"/>
      <c r="K57" s="779" t="n"/>
      <c r="L57" s="779" t="n"/>
      <c r="M57" s="779" t="n"/>
      <c r="N57" s="779" t="n"/>
      <c r="O57" s="779" t="n"/>
      <c r="P57" s="779" t="n"/>
      <c r="Q57" s="779" t="n"/>
      <c r="R57" s="779" t="n"/>
      <c r="S57" s="779" t="n"/>
      <c r="T57" s="779" t="n"/>
      <c r="U57" s="779" t="n"/>
      <c r="V57" s="779" t="n"/>
      <c r="W57" s="779" t="n"/>
      <c r="X57" s="779" t="n"/>
      <c r="Y57" s="779" t="n"/>
    </row>
    <row r="58" ht="15" customHeight="1" s="223">
      <c r="B58" s="779" t="n"/>
      <c r="C58" s="779" t="n"/>
      <c r="D58" s="779" t="n"/>
      <c r="E58" s="779" t="n"/>
      <c r="F58" s="779" t="n"/>
      <c r="G58" s="779" t="n"/>
      <c r="H58" s="779" t="n"/>
      <c r="I58" s="779" t="n"/>
      <c r="J58" s="779" t="n"/>
      <c r="K58" s="779" t="n"/>
      <c r="L58" s="779" t="n"/>
      <c r="M58" s="779" t="n"/>
      <c r="N58" s="779" t="n"/>
      <c r="O58" s="779" t="n"/>
      <c r="P58" s="779" t="n"/>
      <c r="Q58" s="779" t="n"/>
      <c r="R58" s="779" t="n"/>
      <c r="S58" s="779" t="n"/>
      <c r="T58" s="779" t="n"/>
      <c r="U58" s="779" t="n"/>
      <c r="V58" s="779" t="n"/>
      <c r="W58" s="779" t="n"/>
      <c r="X58" s="779" t="n"/>
      <c r="Y58" s="779" t="n"/>
    </row>
    <row r="59" ht="15" customHeight="1" s="223">
      <c r="B59" s="779" t="n"/>
      <c r="C59" s="779" t="n"/>
      <c r="D59" s="779" t="n"/>
      <c r="E59" s="779" t="n"/>
      <c r="F59" s="779" t="n"/>
      <c r="G59" s="779" t="n"/>
      <c r="H59" s="779" t="n"/>
      <c r="I59" s="779" t="n"/>
      <c r="J59" s="779" t="n"/>
      <c r="K59" s="779" t="n"/>
      <c r="L59" s="779" t="n"/>
      <c r="M59" s="779" t="n"/>
      <c r="N59" s="779" t="n"/>
      <c r="O59" s="779" t="n"/>
      <c r="P59" s="779" t="n"/>
      <c r="Q59" s="779" t="n"/>
      <c r="R59" s="779" t="n"/>
      <c r="S59" s="779" t="n"/>
      <c r="T59" s="779" t="n"/>
      <c r="U59" s="779" t="n"/>
      <c r="V59" s="779" t="n"/>
      <c r="W59" s="779" t="n"/>
      <c r="X59" s="779" t="n"/>
      <c r="Y59" s="779" t="n"/>
    </row>
    <row r="60" ht="15" customHeight="1" s="223">
      <c r="B60" s="779" t="n"/>
      <c r="C60" s="779" t="n"/>
      <c r="D60" s="779" t="n"/>
      <c r="E60" s="779" t="n"/>
      <c r="F60" s="779" t="n"/>
      <c r="G60" s="779" t="n"/>
      <c r="H60" s="779" t="n"/>
      <c r="I60" s="779" t="n"/>
      <c r="J60" s="779" t="n"/>
      <c r="K60" s="779" t="n"/>
      <c r="L60" s="779" t="n"/>
      <c r="M60" s="779" t="n"/>
      <c r="N60" s="779" t="n"/>
      <c r="O60" s="779" t="n"/>
      <c r="P60" s="779" t="n"/>
      <c r="Q60" s="779" t="n"/>
      <c r="R60" s="779" t="n"/>
      <c r="S60" s="779" t="n"/>
      <c r="T60" s="779" t="n"/>
      <c r="U60" s="779" t="n"/>
      <c r="V60" s="779" t="n"/>
      <c r="W60" s="779" t="n"/>
      <c r="X60" s="779" t="n"/>
      <c r="Y60" s="779" t="n"/>
    </row>
    <row r="61" ht="15" customHeight="1" s="223">
      <c r="B61" s="779" t="n"/>
      <c r="C61" s="779" t="n"/>
      <c r="D61" s="779" t="n"/>
      <c r="E61" s="779" t="n"/>
      <c r="F61" s="779" t="n"/>
      <c r="G61" s="779" t="n"/>
      <c r="H61" s="779" t="n"/>
      <c r="I61" s="779" t="n"/>
      <c r="J61" s="779" t="n"/>
      <c r="K61" s="779" t="n"/>
      <c r="L61" s="779" t="n"/>
      <c r="M61" s="779" t="n"/>
      <c r="N61" s="779" t="n"/>
      <c r="O61" s="779" t="n"/>
      <c r="P61" s="779" t="n"/>
      <c r="Q61" s="779" t="n"/>
      <c r="R61" s="779" t="n"/>
      <c r="S61" s="779" t="n"/>
      <c r="T61" s="779" t="n"/>
      <c r="U61" s="779" t="n"/>
      <c r="V61" s="779" t="n"/>
      <c r="W61" s="779" t="n"/>
      <c r="X61" s="779" t="n"/>
      <c r="Y61" s="779" t="n"/>
    </row>
    <row r="62" ht="15" customHeight="1" s="223">
      <c r="B62" s="779" t="n"/>
      <c r="C62" s="779" t="n"/>
      <c r="D62" s="779" t="n"/>
      <c r="E62" s="779" t="n"/>
      <c r="F62" s="779" t="n"/>
      <c r="G62" s="779" t="n"/>
      <c r="H62" s="779" t="n"/>
      <c r="I62" s="779" t="n"/>
      <c r="J62" s="779" t="n"/>
      <c r="K62" s="779" t="n"/>
      <c r="L62" s="779" t="n"/>
      <c r="M62" s="779" t="n"/>
      <c r="N62" s="779" t="n"/>
      <c r="O62" s="779" t="n"/>
      <c r="P62" s="779" t="n"/>
      <c r="Q62" s="779" t="n"/>
      <c r="R62" s="779" t="n"/>
      <c r="S62" s="779" t="n"/>
      <c r="T62" s="779" t="n"/>
      <c r="U62" s="779" t="n"/>
      <c r="V62" s="779" t="n"/>
      <c r="W62" s="779" t="n"/>
      <c r="X62" s="779" t="n"/>
      <c r="Y62" s="779" t="n"/>
    </row>
    <row r="63" ht="15" customHeight="1" s="223">
      <c r="B63" s="779" t="n"/>
      <c r="C63" s="779" t="n"/>
      <c r="D63" s="779" t="n"/>
      <c r="E63" s="779" t="n"/>
      <c r="F63" s="779" t="n"/>
      <c r="G63" s="779" t="n"/>
      <c r="H63" s="779" t="n"/>
      <c r="I63" s="779" t="n"/>
      <c r="J63" s="779" t="n"/>
      <c r="K63" s="779" t="n"/>
      <c r="L63" s="779" t="n"/>
      <c r="M63" s="779" t="n"/>
      <c r="N63" s="779" t="n"/>
      <c r="O63" s="779" t="n"/>
      <c r="P63" s="779" t="n"/>
      <c r="Q63" s="779" t="n"/>
      <c r="R63" s="779" t="n"/>
      <c r="S63" s="779" t="n"/>
      <c r="T63" s="779" t="n"/>
      <c r="U63" s="779" t="n"/>
      <c r="V63" s="779" t="n"/>
      <c r="W63" s="779" t="n"/>
      <c r="X63" s="779" t="n"/>
      <c r="Y63" s="779" t="n"/>
    </row>
    <row r="64" ht="15" customHeight="1" s="223">
      <c r="B64" s="779" t="n"/>
      <c r="C64" s="779" t="n"/>
      <c r="D64" s="779" t="n"/>
      <c r="E64" s="779" t="n"/>
      <c r="F64" s="779" t="n"/>
      <c r="G64" s="779" t="n"/>
      <c r="H64" s="779" t="n"/>
      <c r="I64" s="779" t="n"/>
      <c r="J64" s="779" t="n"/>
      <c r="K64" s="779" t="n"/>
      <c r="L64" s="779" t="n"/>
      <c r="M64" s="779" t="n"/>
      <c r="N64" s="779" t="n"/>
      <c r="O64" s="779" t="n"/>
      <c r="P64" s="779" t="n"/>
      <c r="Q64" s="779" t="n"/>
      <c r="R64" s="779" t="n"/>
      <c r="S64" s="779" t="n"/>
      <c r="T64" s="779" t="n"/>
      <c r="U64" s="779" t="n"/>
      <c r="V64" s="779" t="n"/>
      <c r="W64" s="779" t="n"/>
      <c r="X64" s="779" t="n"/>
      <c r="Y64" s="779" t="n"/>
    </row>
    <row r="65" ht="15" customHeight="1" s="223">
      <c r="B65" s="779" t="n"/>
      <c r="C65" s="779" t="n"/>
      <c r="D65" s="779" t="n"/>
      <c r="E65" s="779" t="n"/>
      <c r="F65" s="779" t="n"/>
      <c r="G65" s="779" t="n"/>
      <c r="H65" s="779" t="n"/>
      <c r="I65" s="779" t="n"/>
      <c r="J65" s="779" t="n"/>
      <c r="K65" s="779" t="n"/>
      <c r="L65" s="779" t="n"/>
      <c r="M65" s="779" t="n"/>
      <c r="N65" s="779" t="n"/>
      <c r="O65" s="779" t="n"/>
      <c r="P65" s="779" t="n"/>
      <c r="Q65" s="779" t="n"/>
      <c r="R65" s="779" t="n"/>
      <c r="S65" s="779" t="n"/>
      <c r="T65" s="779" t="n"/>
      <c r="U65" s="779" t="n"/>
      <c r="V65" s="779" t="n"/>
      <c r="W65" s="779" t="n"/>
      <c r="X65" s="779" t="n"/>
      <c r="Y65" s="779" t="n"/>
    </row>
    <row r="66" ht="15" customHeight="1" s="223">
      <c r="B66" s="779" t="n"/>
      <c r="C66" s="779" t="n"/>
      <c r="D66" s="779" t="n"/>
      <c r="E66" s="779" t="n"/>
      <c r="F66" s="779" t="n"/>
      <c r="G66" s="779" t="n"/>
      <c r="H66" s="779" t="n"/>
      <c r="I66" s="779" t="n"/>
      <c r="J66" s="779" t="n"/>
      <c r="K66" s="779" t="n"/>
      <c r="L66" s="779" t="n"/>
      <c r="M66" s="779" t="n"/>
      <c r="N66" s="779" t="n"/>
      <c r="O66" s="779" t="n"/>
      <c r="P66" s="779" t="n"/>
      <c r="Q66" s="779" t="n"/>
      <c r="R66" s="779" t="n"/>
      <c r="S66" s="779" t="n"/>
      <c r="T66" s="779" t="n"/>
      <c r="U66" s="779" t="n"/>
      <c r="V66" s="779" t="n"/>
      <c r="W66" s="779" t="n"/>
      <c r="X66" s="779" t="n"/>
      <c r="Y66" s="779" t="n"/>
    </row>
    <row r="67" ht="15" customHeight="1" s="223">
      <c r="B67" s="779" t="n"/>
      <c r="C67" s="779" t="n"/>
      <c r="D67" s="779" t="n"/>
      <c r="E67" s="779" t="n"/>
      <c r="F67" s="779" t="n"/>
      <c r="G67" s="779" t="n"/>
      <c r="H67" s="779" t="n"/>
      <c r="I67" s="779" t="n"/>
      <c r="J67" s="779" t="n"/>
      <c r="K67" s="779" t="n"/>
      <c r="L67" s="779" t="n"/>
      <c r="M67" s="779" t="n"/>
      <c r="N67" s="779" t="n"/>
      <c r="O67" s="779" t="n"/>
      <c r="P67" s="779" t="n"/>
      <c r="Q67" s="779" t="n"/>
      <c r="R67" s="779" t="n"/>
      <c r="S67" s="779" t="n"/>
      <c r="T67" s="779" t="n"/>
      <c r="U67" s="779" t="n"/>
      <c r="V67" s="779" t="n"/>
      <c r="W67" s="779" t="n"/>
      <c r="X67" s="779" t="n"/>
      <c r="Y67" s="779" t="n"/>
    </row>
    <row r="68" ht="15" customHeight="1" s="223">
      <c r="B68" s="779" t="n"/>
      <c r="C68" s="779" t="n"/>
      <c r="D68" s="779" t="n"/>
      <c r="E68" s="779" t="n"/>
      <c r="F68" s="779" t="n"/>
      <c r="G68" s="779" t="n"/>
      <c r="H68" s="779" t="n"/>
      <c r="I68" s="779" t="n"/>
      <c r="J68" s="779" t="n"/>
      <c r="K68" s="779" t="n"/>
      <c r="L68" s="779" t="n"/>
      <c r="M68" s="779" t="n"/>
      <c r="N68" s="779" t="n"/>
      <c r="O68" s="779" t="n"/>
      <c r="P68" s="779" t="n"/>
      <c r="Q68" s="779" t="n"/>
      <c r="R68" s="779" t="n"/>
      <c r="S68" s="779" t="n"/>
      <c r="T68" s="779" t="n"/>
      <c r="U68" s="779" t="n"/>
      <c r="V68" s="779" t="n"/>
      <c r="W68" s="779" t="n"/>
      <c r="X68" s="779" t="n"/>
      <c r="Y68" s="779" t="n"/>
    </row>
    <row r="69" ht="15" customHeight="1" s="223">
      <c r="B69" s="779" t="n"/>
      <c r="C69" s="779" t="n"/>
      <c r="D69" s="779" t="n"/>
      <c r="E69" s="779" t="n"/>
      <c r="F69" s="779" t="n"/>
      <c r="G69" s="779" t="n"/>
      <c r="H69" s="779" t="n"/>
      <c r="I69" s="779" t="n"/>
      <c r="J69" s="779" t="n"/>
      <c r="K69" s="779" t="n"/>
      <c r="L69" s="779" t="n"/>
      <c r="M69" s="779" t="n"/>
      <c r="N69" s="779" t="n"/>
      <c r="O69" s="779" t="n"/>
      <c r="P69" s="779" t="n"/>
      <c r="Q69" s="779" t="n"/>
      <c r="R69" s="779" t="n"/>
      <c r="S69" s="779" t="n"/>
      <c r="T69" s="779" t="n"/>
      <c r="U69" s="779" t="n"/>
      <c r="V69" s="779" t="n"/>
      <c r="W69" s="779" t="n"/>
      <c r="X69" s="779" t="n"/>
      <c r="Y69" s="779" t="n"/>
    </row>
    <row r="70" ht="15" customHeight="1" s="223">
      <c r="B70" s="779" t="n"/>
      <c r="C70" s="779" t="n"/>
      <c r="D70" s="779" t="n"/>
      <c r="E70" s="779" t="n"/>
      <c r="F70" s="779" t="n"/>
      <c r="G70" s="779" t="n"/>
      <c r="H70" s="779" t="n"/>
      <c r="I70" s="779" t="n"/>
      <c r="J70" s="779" t="n"/>
      <c r="K70" s="779" t="n"/>
      <c r="L70" s="779" t="n"/>
      <c r="M70" s="779" t="n"/>
      <c r="N70" s="779" t="n"/>
      <c r="O70" s="779" t="n"/>
      <c r="P70" s="779" t="n"/>
      <c r="Q70" s="779" t="n"/>
      <c r="R70" s="779" t="n"/>
      <c r="S70" s="779" t="n"/>
      <c r="T70" s="779" t="n"/>
      <c r="U70" s="779" t="n"/>
      <c r="V70" s="779" t="n"/>
      <c r="W70" s="779" t="n"/>
      <c r="X70" s="779" t="n"/>
      <c r="Y70" s="779" t="n"/>
    </row>
    <row r="71" ht="15" customHeight="1" s="223">
      <c r="B71" s="779" t="n"/>
      <c r="C71" s="779" t="n"/>
      <c r="D71" s="779" t="n"/>
      <c r="E71" s="779" t="n"/>
      <c r="F71" s="779" t="n"/>
      <c r="G71" s="779" t="n"/>
      <c r="H71" s="779" t="n"/>
      <c r="I71" s="779" t="n"/>
      <c r="J71" s="779" t="n"/>
      <c r="K71" s="779" t="n"/>
      <c r="L71" s="779" t="n"/>
      <c r="M71" s="779" t="n"/>
      <c r="N71" s="779" t="n"/>
      <c r="O71" s="779" t="n"/>
      <c r="P71" s="779" t="n"/>
      <c r="Q71" s="779" t="n"/>
      <c r="R71" s="779" t="n"/>
      <c r="S71" s="779" t="n"/>
      <c r="T71" s="779" t="n"/>
      <c r="U71" s="779" t="n"/>
      <c r="V71" s="779" t="n"/>
      <c r="W71" s="779" t="n"/>
      <c r="X71" s="779" t="n"/>
      <c r="Y71" s="779" t="n"/>
    </row>
    <row r="72" ht="15" customHeight="1" s="223">
      <c r="B72" s="779" t="n"/>
      <c r="C72" s="779" t="n"/>
      <c r="D72" s="779" t="n"/>
      <c r="E72" s="779" t="n"/>
      <c r="F72" s="779" t="n"/>
      <c r="G72" s="779" t="n"/>
      <c r="H72" s="779" t="n"/>
      <c r="I72" s="779" t="n"/>
      <c r="J72" s="779" t="n"/>
      <c r="K72" s="779" t="n"/>
      <c r="L72" s="779" t="n"/>
      <c r="M72" s="779" t="n"/>
      <c r="N72" s="779" t="n"/>
      <c r="O72" s="779" t="n"/>
      <c r="P72" s="779" t="n"/>
      <c r="Q72" s="779" t="n"/>
      <c r="R72" s="779" t="n"/>
      <c r="S72" s="779" t="n"/>
      <c r="T72" s="779" t="n"/>
      <c r="U72" s="779" t="n"/>
      <c r="V72" s="779" t="n"/>
      <c r="W72" s="779" t="n"/>
      <c r="X72" s="779" t="n"/>
      <c r="Y72" s="779" t="n"/>
    </row>
    <row r="73" ht="15" customHeight="1" s="223">
      <c r="B73" s="779" t="n"/>
      <c r="C73" s="779" t="n"/>
      <c r="D73" s="779" t="n"/>
      <c r="E73" s="779" t="n"/>
      <c r="F73" s="779" t="n"/>
      <c r="G73" s="779" t="n"/>
      <c r="H73" s="779" t="n"/>
      <c r="I73" s="779" t="n"/>
      <c r="J73" s="779" t="n"/>
      <c r="K73" s="779" t="n"/>
      <c r="L73" s="779" t="n"/>
      <c r="M73" s="779" t="n"/>
      <c r="N73" s="779" t="n"/>
      <c r="O73" s="779" t="n"/>
      <c r="P73" s="779" t="n"/>
      <c r="Q73" s="779" t="n"/>
      <c r="R73" s="779" t="n"/>
      <c r="S73" s="779" t="n"/>
      <c r="T73" s="779" t="n"/>
      <c r="U73" s="779" t="n"/>
      <c r="V73" s="779" t="n"/>
      <c r="W73" s="779" t="n"/>
      <c r="X73" s="779" t="n"/>
      <c r="Y73" s="779" t="n"/>
    </row>
    <row r="74" ht="15" customHeight="1" s="223">
      <c r="B74" s="779" t="n"/>
      <c r="C74" s="779" t="n"/>
      <c r="D74" s="779" t="n"/>
      <c r="E74" s="779" t="n"/>
      <c r="F74" s="779" t="n"/>
      <c r="G74" s="779" t="n"/>
      <c r="H74" s="779" t="n"/>
      <c r="I74" s="779" t="n"/>
      <c r="J74" s="779" t="n"/>
      <c r="K74" s="779" t="n"/>
      <c r="L74" s="779" t="n"/>
      <c r="M74" s="779" t="n"/>
      <c r="N74" s="779" t="n"/>
      <c r="O74" s="779" t="n"/>
      <c r="P74" s="779" t="n"/>
      <c r="Q74" s="779" t="n"/>
      <c r="R74" s="779" t="n"/>
      <c r="S74" s="779" t="n"/>
      <c r="T74" s="779" t="n"/>
      <c r="U74" s="779" t="n"/>
      <c r="V74" s="779" t="n"/>
      <c r="W74" s="779" t="n"/>
      <c r="X74" s="779" t="n"/>
      <c r="Y74" s="779" t="n"/>
    </row>
    <row r="75" ht="15" customHeight="1" s="223">
      <c r="B75" s="779" t="n"/>
      <c r="C75" s="779" t="n"/>
      <c r="D75" s="779" t="n"/>
      <c r="E75" s="779" t="n"/>
      <c r="F75" s="779" t="n"/>
      <c r="G75" s="779" t="n"/>
      <c r="H75" s="779" t="n"/>
      <c r="I75" s="779" t="n"/>
      <c r="J75" s="779" t="n"/>
      <c r="K75" s="779" t="n"/>
      <c r="L75" s="779" t="n"/>
      <c r="M75" s="779" t="n"/>
      <c r="N75" s="779" t="n"/>
      <c r="O75" s="779" t="n"/>
      <c r="P75" s="779" t="n"/>
      <c r="Q75" s="779" t="n"/>
      <c r="R75" s="779" t="n"/>
      <c r="S75" s="779" t="n"/>
      <c r="T75" s="779" t="n"/>
      <c r="U75" s="779" t="n"/>
      <c r="V75" s="779" t="n"/>
      <c r="W75" s="779" t="n"/>
      <c r="X75" s="779" t="n"/>
      <c r="Y75" s="779" t="n"/>
    </row>
    <row r="76" ht="15" customHeight="1" s="223">
      <c r="B76" s="779" t="n"/>
      <c r="C76" s="779" t="n"/>
      <c r="D76" s="779" t="n"/>
      <c r="E76" s="779" t="n"/>
      <c r="F76" s="779" t="n"/>
      <c r="G76" s="779" t="n"/>
      <c r="H76" s="779" t="n"/>
      <c r="I76" s="779" t="n"/>
      <c r="J76" s="779" t="n"/>
      <c r="K76" s="779" t="n"/>
      <c r="L76" s="779" t="n"/>
      <c r="M76" s="779" t="n"/>
      <c r="N76" s="779" t="n"/>
      <c r="O76" s="779" t="n"/>
      <c r="P76" s="779" t="n"/>
      <c r="Q76" s="779" t="n"/>
      <c r="R76" s="779" t="n"/>
      <c r="S76" s="779" t="n"/>
      <c r="T76" s="779" t="n"/>
      <c r="U76" s="779" t="n"/>
      <c r="V76" s="779" t="n"/>
      <c r="W76" s="779" t="n"/>
      <c r="X76" s="779" t="n"/>
      <c r="Y76" s="779" t="n"/>
    </row>
    <row r="77" ht="15" customHeight="1" s="223">
      <c r="B77" s="779" t="n"/>
      <c r="C77" s="779" t="n"/>
      <c r="D77" s="779" t="n"/>
      <c r="E77" s="779" t="n"/>
      <c r="F77" s="779" t="n"/>
      <c r="G77" s="779" t="n"/>
      <c r="H77" s="779" t="n"/>
      <c r="I77" s="779" t="n"/>
      <c r="J77" s="779" t="n"/>
      <c r="K77" s="779" t="n"/>
      <c r="L77" s="779" t="n"/>
      <c r="M77" s="779" t="n"/>
      <c r="N77" s="779" t="n"/>
      <c r="O77" s="779" t="n"/>
      <c r="P77" s="779" t="n"/>
      <c r="Q77" s="779" t="n"/>
      <c r="R77" s="779" t="n"/>
      <c r="S77" s="779" t="n"/>
      <c r="T77" s="779" t="n"/>
      <c r="U77" s="779" t="n"/>
      <c r="V77" s="779" t="n"/>
      <c r="W77" s="779" t="n"/>
      <c r="X77" s="779" t="n"/>
      <c r="Y77" s="779" t="n"/>
    </row>
    <row r="78" ht="15" customHeight="1" s="223">
      <c r="B78" s="779" t="n"/>
      <c r="C78" s="779" t="n"/>
      <c r="D78" s="779" t="n"/>
      <c r="E78" s="779" t="n"/>
      <c r="F78" s="779" t="n"/>
      <c r="G78" s="779" t="n"/>
      <c r="H78" s="779" t="n"/>
      <c r="I78" s="779" t="n"/>
      <c r="J78" s="779" t="n"/>
      <c r="K78" s="779" t="n"/>
      <c r="L78" s="779" t="n"/>
      <c r="M78" s="779" t="n"/>
      <c r="N78" s="779" t="n"/>
      <c r="O78" s="779" t="n"/>
      <c r="P78" s="779" t="n"/>
      <c r="Q78" s="779" t="n"/>
      <c r="R78" s="779" t="n"/>
      <c r="S78" s="779" t="n"/>
      <c r="T78" s="779" t="n"/>
      <c r="U78" s="779" t="n"/>
      <c r="V78" s="779" t="n"/>
      <c r="W78" s="779" t="n"/>
      <c r="X78" s="779" t="n"/>
      <c r="Y78" s="779" t="n"/>
    </row>
    <row r="79" ht="15" customHeight="1" s="223">
      <c r="B79" s="779" t="n"/>
      <c r="C79" s="779" t="n"/>
      <c r="D79" s="779" t="n"/>
      <c r="E79" s="779" t="n"/>
      <c r="F79" s="779" t="n"/>
      <c r="G79" s="779" t="n"/>
      <c r="H79" s="779" t="n"/>
      <c r="I79" s="779" t="n"/>
      <c r="J79" s="779" t="n"/>
      <c r="K79" s="779" t="n"/>
      <c r="L79" s="779" t="n"/>
      <c r="M79" s="779" t="n"/>
      <c r="N79" s="779" t="n"/>
      <c r="O79" s="779" t="n"/>
      <c r="P79" s="779" t="n"/>
      <c r="Q79" s="779" t="n"/>
      <c r="R79" s="779" t="n"/>
      <c r="S79" s="779" t="n"/>
      <c r="T79" s="779" t="n"/>
      <c r="U79" s="779" t="n"/>
      <c r="V79" s="779" t="n"/>
      <c r="W79" s="779" t="n"/>
      <c r="X79" s="779" t="n"/>
      <c r="Y79" s="779" t="n"/>
    </row>
  </sheetData>
  <hyperlinks>
    <hyperlink xmlns:r="http://schemas.openxmlformats.org/officeDocument/2006/relationships" ref="B1" r:id="rId1"/>
  </hyperlink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zoomScale="100" workbookViewId="0">
      <selection activeCell="A1" sqref="A1"/>
    </sheetView>
  </sheetViews>
  <sheetFormatPr baseColWidth="8" defaultRowHeight="15"/>
  <cols>
    <col width="1.7" customWidth="1" style="223" min="1" max="1"/>
    <col width="2.5" customWidth="1" style="223" min="2" max="2"/>
    <col width="26" customWidth="1" style="223" min="3" max="3"/>
    <col width="13.2" customWidth="1" style="223" min="4" max="4"/>
    <col width="13.2" customWidth="1" style="223" min="5" max="5"/>
    <col width="13.2" customWidth="1" style="223" min="6" max="6"/>
    <col width="13.2" customWidth="1" style="223" min="7" max="7"/>
    <col width="13.2" customWidth="1" style="223" min="8" max="8"/>
    <col width="13.2" customWidth="1" style="223" min="9" max="9"/>
    <col width="13.2" customWidth="1" style="223" min="10" max="10"/>
  </cols>
  <sheetData>
    <row r="1">
      <c r="A1" s="671">
        <f>C2</f>
        <v/>
      </c>
      <c r="B1" s="597">
        <f>'Cover Page'!A1</f>
        <v/>
      </c>
    </row>
    <row r="2">
      <c r="C2" s="745" t="inlineStr">
        <is>
          <t>Debt Maturity Schedule</t>
        </is>
      </c>
      <c r="D2" s="746" t="n"/>
      <c r="E2" s="746" t="n"/>
      <c r="F2" s="746" t="n"/>
      <c r="G2" s="746" t="n"/>
      <c r="H2" s="746" t="n"/>
      <c r="I2" s="746" t="n"/>
      <c r="J2" s="747" t="n"/>
    </row>
    <row r="3">
      <c r="C3" s="748" t="inlineStr">
        <is>
          <t>Xerox Holdings Corporation – All values in $ millions (USD). As of June 30, 2026.</t>
        </is>
      </c>
      <c r="D3" s="753" t="n"/>
      <c r="E3" s="753" t="n"/>
      <c r="F3" s="753" t="n"/>
      <c r="G3" s="753" t="n"/>
      <c r="H3" s="753" t="n"/>
      <c r="I3" s="753" t="n"/>
      <c r="J3" s="784" t="n"/>
    </row>
    <row r="4">
      <c r="C4" s="753" t="n"/>
    </row>
    <row r="5">
      <c r="C5" s="748" t="n"/>
    </row>
    <row r="6" s="223">
      <c r="A6" s="582" t="inlineStr">
        <is>
          <t>x</t>
        </is>
      </c>
      <c r="C6" s="607" t="inlineStr">
        <is>
          <t>Debt Maturity Profile</t>
        </is>
      </c>
      <c r="D6" s="644" t="n"/>
      <c r="E6" s="644" t="n"/>
      <c r="F6" s="644" t="n"/>
      <c r="G6" s="644" t="n"/>
      <c r="H6" s="644" t="n"/>
      <c r="I6" s="644" t="n"/>
      <c r="J6" s="644" t="n"/>
    </row>
    <row r="7">
      <c r="C7" s="745" t="n"/>
      <c r="D7" s="613" t="inlineStr">
        <is>
          <t>Liquidity</t>
        </is>
      </c>
      <c r="E7" s="613" t="n">
        <v>2028</v>
      </c>
      <c r="F7" s="613" t="n">
        <v>2029</v>
      </c>
      <c r="G7" s="613" t="n">
        <v>2030</v>
      </c>
      <c r="H7" s="613" t="n">
        <v>2031</v>
      </c>
      <c r="I7" s="613" t="n">
        <v>2035</v>
      </c>
      <c r="J7" s="613" t="n">
        <v>2039</v>
      </c>
    </row>
    <row r="8">
      <c r="C8" s="779" t="inlineStr">
        <is>
          <t>Cash &amp; Equivalents</t>
        </is>
      </c>
      <c r="D8" s="825">
        <f>'Capital Structure'!$D$37</f>
        <v/>
      </c>
      <c r="E8" s="826" t="n"/>
      <c r="F8" s="826" t="n"/>
      <c r="G8" s="826" t="n"/>
      <c r="H8" s="826" t="n"/>
      <c r="I8" s="826" t="n"/>
      <c r="J8" s="826" t="n"/>
    </row>
    <row r="9">
      <c r="C9" s="779" t="inlineStr">
        <is>
          <t>ABL Availability</t>
        </is>
      </c>
      <c r="D9" s="827">
        <f>'Capital Structure'!$D$36</f>
        <v/>
      </c>
      <c r="E9" s="828" t="n"/>
      <c r="F9" s="828" t="n"/>
      <c r="G9" s="828" t="n"/>
      <c r="H9" s="828" t="n"/>
      <c r="I9" s="828" t="n"/>
      <c r="J9" s="828" t="n"/>
    </row>
    <row r="10">
      <c r="C10" s="779" t="inlineStr">
        <is>
          <t>Secured Term Loan</t>
        </is>
      </c>
      <c r="D10" s="828" t="n"/>
      <c r="E10" s="827">
        <f>SUMIFS('Capital Structure'!$D$12:$D$12,'Capital Structure'!$I$12:$I$12,"&gt;="&amp;DATE(E$7,1,1),'Capital Structure'!$I$12:$I$12,"&lt;="&amp;DATE(E$7,12,31))</f>
        <v/>
      </c>
      <c r="F10" s="827">
        <f>SUMIFS('Capital Structure'!$D$12:$D$12,'Capital Structure'!$I$12:$I$12,"&gt;="&amp;DATE(F$7,1,1),'Capital Structure'!$I$12:$I$12,"&lt;="&amp;DATE(F$7,12,31))</f>
        <v/>
      </c>
      <c r="G10" s="827">
        <f>SUMIFS('Capital Structure'!$D$12:$D$12,'Capital Structure'!$I$12:$I$12,"&gt;="&amp;DATE(G$7,1,1),'Capital Structure'!$I$12:$I$12,"&lt;="&amp;DATE(G$7,12,31))</f>
        <v/>
      </c>
      <c r="H10" s="827">
        <f>SUMIFS('Capital Structure'!$D$12:$D$12,'Capital Structure'!$I$12:$I$12,"&gt;="&amp;DATE(H$7,1,1),'Capital Structure'!$I$12:$I$12,"&lt;="&amp;DATE(H$7,12,31))</f>
        <v/>
      </c>
      <c r="I10" s="827">
        <f>SUMIFS('Capital Structure'!$D$12:$D$12,'Capital Structure'!$I$12:$I$12,"&gt;="&amp;DATE(I$7,1,1),'Capital Structure'!$I$12:$I$12,"&lt;="&amp;DATE(I$7,12,31))</f>
        <v/>
      </c>
      <c r="J10" s="827">
        <f>SUMIFS('Capital Structure'!$D$12:$D$12,'Capital Structure'!$I$12:$I$12,"&gt;="&amp;DATE(J$7,1,1),'Capital Structure'!$I$12:$I$12,"&lt;="&amp;DATE(J$7,12,31))</f>
        <v/>
      </c>
    </row>
    <row r="11">
      <c r="C11" s="779" t="inlineStr">
        <is>
          <t>1L Term Loan</t>
        </is>
      </c>
      <c r="D11" s="828" t="n"/>
      <c r="E11" s="827">
        <f>SUMIFS('Capital Structure'!$D$14:$D$14,'Capital Structure'!$I$14:$I$14,"&gt;="&amp;DATE(E$7,1,1),'Capital Structure'!$I$14:$I$14,"&lt;="&amp;DATE(E$7,12,31))</f>
        <v/>
      </c>
      <c r="F11" s="827">
        <f>SUMIFS('Capital Structure'!$D$14:$D$14,'Capital Structure'!$I$14:$I$14,"&gt;="&amp;DATE(F$7,1,1),'Capital Structure'!$I$14:$I$14,"&lt;="&amp;DATE(F$7,12,31))</f>
        <v/>
      </c>
      <c r="G11" s="827">
        <f>SUMIFS('Capital Structure'!$D$14:$D$14,'Capital Structure'!$I$14:$I$14,"&gt;="&amp;DATE(G$7,1,1),'Capital Structure'!$I$14:$I$14,"&lt;="&amp;DATE(G$7,12,31))</f>
        <v/>
      </c>
      <c r="H11" s="827">
        <f>SUMIFS('Capital Structure'!$D$14:$D$14,'Capital Structure'!$I$14:$I$14,"&gt;="&amp;DATE(H$7,1,1),'Capital Structure'!$I$14:$I$14,"&lt;="&amp;DATE(H$7,12,31))</f>
        <v/>
      </c>
      <c r="I11" s="827">
        <f>SUMIFS('Capital Structure'!$D$14:$D$14,'Capital Structure'!$I$14:$I$14,"&gt;="&amp;DATE(I$7,1,1),'Capital Structure'!$I$14:$I$14,"&lt;="&amp;DATE(I$7,12,31))</f>
        <v/>
      </c>
      <c r="J11" s="827">
        <f>SUMIFS('Capital Structure'!$D$14:$D$14,'Capital Structure'!$I$14:$I$14,"&gt;="&amp;DATE(J$7,1,1),'Capital Structure'!$I$14:$I$14,"&lt;="&amp;DATE(J$7,12,31))</f>
        <v/>
      </c>
    </row>
    <row r="12">
      <c r="C12" s="779" t="inlineStr">
        <is>
          <t>1L Notes</t>
        </is>
      </c>
      <c r="D12" s="828" t="n"/>
      <c r="E12" s="827">
        <f>SUMIFS('Capital Structure'!$D$15:$D$15,'Capital Structure'!$I$15:$I$15,"&gt;="&amp;DATE(E$7,1,1),'Capital Structure'!$I$15:$I$15,"&lt;="&amp;DATE(E$7,12,31))</f>
        <v/>
      </c>
      <c r="F12" s="827">
        <f>SUMIFS('Capital Structure'!$D$15:$D$15,'Capital Structure'!$I$15:$I$15,"&gt;="&amp;DATE(F$7,1,1),'Capital Structure'!$I$15:$I$15,"&lt;="&amp;DATE(F$7,12,31))</f>
        <v/>
      </c>
      <c r="G12" s="827">
        <f>SUMIFS('Capital Structure'!$D$15:$D$15,'Capital Structure'!$I$15:$I$15,"&gt;="&amp;DATE(G$7,1,1),'Capital Structure'!$I$15:$I$15,"&lt;="&amp;DATE(G$7,12,31))</f>
        <v/>
      </c>
      <c r="H12" s="827">
        <f>SUMIFS('Capital Structure'!$D$15:$D$15,'Capital Structure'!$I$15:$I$15,"&gt;="&amp;DATE(H$7,1,1),'Capital Structure'!$I$15:$I$15,"&lt;="&amp;DATE(H$7,12,31))</f>
        <v/>
      </c>
      <c r="I12" s="827">
        <f>SUMIFS('Capital Structure'!$D$15:$D$15,'Capital Structure'!$I$15:$I$15,"&gt;="&amp;DATE(I$7,1,1),'Capital Structure'!$I$15:$I$15,"&lt;="&amp;DATE(I$7,12,31))</f>
        <v/>
      </c>
      <c r="J12" s="827">
        <f>SUMIFS('Capital Structure'!$D$15:$D$15,'Capital Structure'!$I$15:$I$15,"&gt;="&amp;DATE(J$7,1,1),'Capital Structure'!$I$15:$I$15,"&lt;="&amp;DATE(J$7,12,31))</f>
        <v/>
      </c>
    </row>
    <row r="13">
      <c r="C13" s="779" t="inlineStr">
        <is>
          <t>2L Notes</t>
        </is>
      </c>
      <c r="D13" s="828" t="n"/>
      <c r="E13" s="827">
        <f>SUMIFS('Capital Structure'!$D$16:$D$16,'Capital Structure'!$I$16:$I$16,"&gt;="&amp;DATE(E$7,1,1),'Capital Structure'!$I$16:$I$16,"&lt;="&amp;DATE(E$7,12,31))</f>
        <v/>
      </c>
      <c r="F13" s="827">
        <f>SUMIFS('Capital Structure'!$D$16:$D$16,'Capital Structure'!$I$16:$I$16,"&gt;="&amp;DATE(F$7,1,1),'Capital Structure'!$I$16:$I$16,"&lt;="&amp;DATE(F$7,12,31))</f>
        <v/>
      </c>
      <c r="G13" s="827">
        <f>SUMIFS('Capital Structure'!$D$16:$D$16,'Capital Structure'!$I$16:$I$16,"&gt;="&amp;DATE(G$7,1,1),'Capital Structure'!$I$16:$I$16,"&lt;="&amp;DATE(G$7,12,31))</f>
        <v/>
      </c>
      <c r="H13" s="827">
        <f>SUMIFS('Capital Structure'!$D$16:$D$16,'Capital Structure'!$I$16:$I$16,"&gt;="&amp;DATE(H$7,1,1),'Capital Structure'!$I$16:$I$16,"&lt;="&amp;DATE(H$7,12,31))</f>
        <v/>
      </c>
      <c r="I13" s="827">
        <f>SUMIFS('Capital Structure'!$D$16:$D$16,'Capital Structure'!$I$16:$I$16,"&gt;="&amp;DATE(I$7,1,1),'Capital Structure'!$I$16:$I$16,"&lt;="&amp;DATE(I$7,12,31))</f>
        <v/>
      </c>
      <c r="J13" s="827">
        <f>SUMIFS('Capital Structure'!$D$16:$D$16,'Capital Structure'!$I$16:$I$16,"&gt;="&amp;DATE(J$7,1,1),'Capital Structure'!$I$16:$I$16,"&lt;="&amp;DATE(J$7,12,31))</f>
        <v/>
      </c>
    </row>
    <row r="14">
      <c r="C14" s="779" t="inlineStr">
        <is>
          <t>Senior Unsecured Notes</t>
        </is>
      </c>
      <c r="D14" s="828" t="n"/>
      <c r="E14" s="827">
        <f>SUMIFS('Capital Structure'!$D$18:$D$23,'Capital Structure'!$I$18:$I$23,"&gt;="&amp;DATE(E$7,1,1),'Capital Structure'!$I$18:$I$23,"&lt;="&amp;DATE(E$7,12,31))</f>
        <v/>
      </c>
      <c r="F14" s="827">
        <f>SUMIFS('Capital Structure'!$D$18:$D$23,'Capital Structure'!$I$18:$I$23,"&gt;="&amp;DATE(F$7,1,1),'Capital Structure'!$I$18:$I$23,"&lt;="&amp;DATE(F$7,12,31))</f>
        <v/>
      </c>
      <c r="G14" s="827">
        <f>SUMIFS('Capital Structure'!$D$18:$D$23,'Capital Structure'!$I$18:$I$23,"&gt;="&amp;DATE(G$7,1,1),'Capital Structure'!$I$18:$I$23,"&lt;="&amp;DATE(G$7,12,31))</f>
        <v/>
      </c>
      <c r="H14" s="827">
        <f>SUMIFS('Capital Structure'!$D$18:$D$23,'Capital Structure'!$I$18:$I$23,"&gt;="&amp;DATE(H$7,1,1),'Capital Structure'!$I$18:$I$23,"&lt;="&amp;DATE(H$7,12,31))</f>
        <v/>
      </c>
      <c r="I14" s="827">
        <f>SUMIFS('Capital Structure'!$D$18:$D$23,'Capital Structure'!$I$18:$I$23,"&gt;="&amp;DATE(I$7,1,1),'Capital Structure'!$I$18:$I$23,"&lt;="&amp;DATE(I$7,12,31))</f>
        <v/>
      </c>
      <c r="J14" s="827">
        <f>SUMIFS('Capital Structure'!$D$18:$D$23,'Capital Structure'!$I$18:$I$23,"&gt;="&amp;DATE(J$7,1,1),'Capital Structure'!$I$18:$I$23,"&lt;="&amp;DATE(J$7,12,31))</f>
        <v/>
      </c>
    </row>
    <row r="15">
      <c r="C15" s="783" t="inlineStr">
        <is>
          <t>Total</t>
        </is>
      </c>
      <c r="D15" s="829">
        <f>SUM(D8:D14)</f>
        <v/>
      </c>
      <c r="E15" s="829">
        <f>SUM(E8:E14)</f>
        <v/>
      </c>
      <c r="F15" s="829">
        <f>SUM(F8:F14)</f>
        <v/>
      </c>
      <c r="G15" s="829">
        <f>SUM(G8:G14)</f>
        <v/>
      </c>
      <c r="H15" s="829">
        <f>SUM(H8:H14)</f>
        <v/>
      </c>
      <c r="I15" s="829">
        <f>SUM(I8:I14)</f>
        <v/>
      </c>
      <c r="J15" s="829">
        <f>SUM(J8:J14)</f>
        <v/>
      </c>
    </row>
  </sheetData>
  <hyperlinks>
    <hyperlink xmlns:r="http://schemas.openxmlformats.org/officeDocument/2006/relationships" ref="B1" r:id="rId1"/>
  </hyperlinks>
  <pageMargins left="0.75" right="0.75" top="1" bottom="1" header="0.5" footer="0.5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2"/>
  <sheetViews>
    <sheetView showGridLines="0" zoomScale="100" workbookViewId="0">
      <selection activeCell="A1" sqref="A1"/>
    </sheetView>
  </sheetViews>
  <sheetFormatPr baseColWidth="8" defaultRowHeight="15"/>
  <cols>
    <col width="1.7" customWidth="1" style="223" min="1" max="1"/>
    <col width="13.26953125" customWidth="1" style="223" min="2" max="2"/>
    <col width="12.9" customWidth="1" style="223" min="3" max="3"/>
    <col width="10.5" customWidth="1" style="223" min="4" max="4"/>
    <col width="15.3" customWidth="1" style="223" min="5" max="5"/>
    <col width="10.5" customWidth="1" style="223" min="6" max="6"/>
    <col width="10.5" customWidth="1" style="223" min="7" max="7"/>
    <col width="10.5" customWidth="1" style="223" min="8" max="8"/>
  </cols>
  <sheetData>
    <row r="1">
      <c r="A1" s="671">
        <f>B2</f>
        <v/>
      </c>
      <c r="B1" s="597">
        <f>'Cover Page'!A1</f>
        <v/>
      </c>
    </row>
    <row r="2">
      <c r="B2" s="745" t="inlineStr">
        <is>
          <t>Debt &amp; Equity Pricing</t>
        </is>
      </c>
      <c r="C2" s="746" t="n"/>
      <c r="D2" s="746" t="n"/>
      <c r="E2" s="746" t="n"/>
      <c r="F2" s="746" t="n"/>
      <c r="G2" s="746" t="n"/>
      <c r="H2" s="746" t="n"/>
    </row>
    <row r="3" ht="13" customHeight="1" s="223">
      <c r="B3" s="830" t="inlineStr">
        <is>
          <t>NA - pricing pending (analyst to supply daily price CSV; run pricing_chart.py)</t>
        </is>
      </c>
      <c r="C3" s="831" t="n"/>
      <c r="D3" s="831" t="n"/>
      <c r="E3" s="831" t="n"/>
      <c r="F3" s="831" t="n"/>
      <c r="G3" s="831" t="n"/>
      <c r="H3" s="831" t="n"/>
    </row>
    <row r="4"/>
    <row r="5" ht="26" customHeight="1" s="223">
      <c r="B5" s="832" t="n"/>
      <c r="C5" s="833" t="n"/>
      <c r="D5" s="833" t="n"/>
      <c r="E5" s="833" t="n"/>
    </row>
    <row r="6" ht="14.5" customHeight="1" s="223">
      <c r="B6" s="834" t="n"/>
      <c r="C6" s="835" t="n"/>
      <c r="D6" s="835" t="n"/>
      <c r="E6" s="835" t="n"/>
    </row>
    <row r="7">
      <c r="B7" s="836" t="n"/>
      <c r="C7" s="763" t="n"/>
      <c r="D7" s="763" t="n"/>
      <c r="E7" s="763" t="n"/>
    </row>
    <row r="8">
      <c r="B8" s="836" t="n"/>
      <c r="C8" s="763" t="n"/>
      <c r="D8" s="763" t="n"/>
      <c r="E8" s="763" t="n"/>
    </row>
    <row r="9">
      <c r="B9" s="836" t="n"/>
      <c r="C9" s="763" t="n"/>
      <c r="D9" s="763" t="n"/>
      <c r="E9" s="763" t="n"/>
    </row>
    <row r="10">
      <c r="B10" s="836" t="n"/>
      <c r="C10" s="763" t="n"/>
      <c r="D10" s="763" t="n"/>
      <c r="E10" s="763" t="n"/>
    </row>
    <row r="11">
      <c r="B11" s="836" t="n"/>
      <c r="C11" s="763" t="n"/>
      <c r="D11" s="763" t="n"/>
      <c r="E11" s="763" t="n"/>
    </row>
    <row r="12">
      <c r="B12" s="836" t="n"/>
      <c r="C12" s="763" t="n"/>
      <c r="D12" s="763" t="n"/>
      <c r="E12" s="763" t="n"/>
    </row>
    <row r="13">
      <c r="B13" s="836" t="n"/>
      <c r="C13" s="763" t="n"/>
      <c r="D13" s="763" t="n"/>
      <c r="E13" s="763" t="n"/>
    </row>
    <row r="14">
      <c r="B14" s="836" t="n"/>
      <c r="C14" s="763" t="n"/>
      <c r="D14" s="763" t="n"/>
      <c r="E14" s="763" t="n"/>
    </row>
    <row r="15">
      <c r="B15" s="836" t="n"/>
      <c r="C15" s="763" t="n"/>
      <c r="D15" s="763" t="n"/>
      <c r="E15" s="763" t="n"/>
    </row>
    <row r="16">
      <c r="B16" s="836" t="n"/>
      <c r="C16" s="763" t="n"/>
      <c r="D16" s="763" t="n"/>
      <c r="E16" s="763" t="n"/>
    </row>
    <row r="17">
      <c r="B17" s="836" t="n"/>
      <c r="C17" s="763" t="n"/>
      <c r="D17" s="763" t="n"/>
      <c r="E17" s="763" t="n"/>
    </row>
    <row r="18">
      <c r="B18" s="836" t="n"/>
      <c r="C18" s="763" t="n"/>
      <c r="D18" s="763" t="n"/>
      <c r="E18" s="763" t="n"/>
    </row>
    <row r="19">
      <c r="B19" s="836" t="n"/>
      <c r="C19" s="763" t="n"/>
      <c r="D19" s="763" t="n"/>
      <c r="E19" s="763" t="n"/>
    </row>
    <row r="20">
      <c r="B20" s="836" t="n"/>
      <c r="C20" s="763" t="n"/>
      <c r="D20" s="763" t="n"/>
      <c r="E20" s="763" t="n"/>
    </row>
    <row r="21">
      <c r="B21" s="836" t="n"/>
      <c r="C21" s="763" t="n"/>
      <c r="D21" s="763" t="n"/>
      <c r="E21" s="763" t="n"/>
    </row>
    <row r="22">
      <c r="B22" s="836" t="n"/>
      <c r="C22" s="763" t="n"/>
      <c r="D22" s="763" t="n"/>
      <c r="E22" s="763" t="n"/>
    </row>
    <row r="23">
      <c r="B23" s="836" t="n"/>
      <c r="C23" s="763" t="n"/>
      <c r="D23" s="763" t="n"/>
      <c r="E23" s="763" t="n"/>
    </row>
    <row r="24">
      <c r="B24" s="836" t="n"/>
      <c r="C24" s="763" t="n"/>
      <c r="D24" s="763" t="n"/>
      <c r="E24" s="763" t="n"/>
    </row>
    <row r="25">
      <c r="B25" s="836" t="n"/>
      <c r="C25" s="763" t="n"/>
      <c r="D25" s="763" t="n"/>
      <c r="E25" s="763" t="n"/>
    </row>
    <row r="26">
      <c r="B26" s="836" t="n"/>
      <c r="C26" s="763" t="n"/>
      <c r="D26" s="763" t="n"/>
      <c r="E26" s="763" t="n"/>
    </row>
    <row r="27">
      <c r="B27" s="836" t="n"/>
      <c r="C27" s="763" t="n"/>
      <c r="D27" s="763" t="n"/>
      <c r="E27" s="763" t="n"/>
    </row>
    <row r="28">
      <c r="B28" s="836" t="n"/>
      <c r="C28" s="763" t="n"/>
      <c r="D28" s="763" t="n"/>
      <c r="E28" s="763" t="n"/>
    </row>
    <row r="29">
      <c r="B29" s="836" t="n"/>
      <c r="C29" s="763" t="n"/>
      <c r="D29" s="763" t="n"/>
      <c r="E29" s="763" t="n"/>
    </row>
    <row r="30">
      <c r="B30" s="836" t="n"/>
      <c r="C30" s="763" t="n"/>
      <c r="D30" s="763" t="n"/>
      <c r="E30" s="763" t="n"/>
    </row>
    <row r="31">
      <c r="B31" s="836" t="n"/>
      <c r="C31" s="763" t="n"/>
      <c r="D31" s="763" t="n"/>
      <c r="E31" s="763" t="n"/>
    </row>
    <row r="32">
      <c r="B32" s="836" t="n"/>
      <c r="C32" s="763" t="n"/>
      <c r="D32" s="763" t="n"/>
      <c r="E32" s="763" t="n"/>
    </row>
    <row r="33">
      <c r="B33" s="836" t="n"/>
      <c r="C33" s="763" t="n"/>
      <c r="D33" s="763" t="n"/>
      <c r="E33" s="763" t="n"/>
    </row>
    <row r="34">
      <c r="B34" s="836" t="n"/>
      <c r="C34" s="763" t="n"/>
      <c r="D34" s="763" t="n"/>
      <c r="E34" s="763" t="n"/>
    </row>
    <row r="35">
      <c r="B35" s="836" t="n"/>
      <c r="C35" s="763" t="n"/>
      <c r="D35" s="763" t="n"/>
      <c r="E35" s="763" t="n"/>
    </row>
    <row r="36">
      <c r="B36" s="836" t="n"/>
      <c r="C36" s="763" t="n"/>
      <c r="D36" s="763" t="n"/>
      <c r="E36" s="763" t="n"/>
    </row>
    <row r="37">
      <c r="B37" s="836" t="n"/>
      <c r="C37" s="763" t="n"/>
      <c r="D37" s="763" t="n"/>
      <c r="E37" s="763" t="n"/>
    </row>
    <row r="38">
      <c r="B38" s="836" t="n"/>
      <c r="C38" s="763" t="n"/>
      <c r="D38" s="763" t="n"/>
      <c r="E38" s="763" t="n"/>
    </row>
    <row r="39">
      <c r="B39" s="836" t="n"/>
      <c r="C39" s="763" t="n"/>
      <c r="D39" s="763" t="n"/>
      <c r="E39" s="763" t="n"/>
    </row>
    <row r="40">
      <c r="B40" s="836" t="n"/>
      <c r="C40" s="763" t="n"/>
      <c r="D40" s="763" t="n"/>
      <c r="E40" s="763" t="n"/>
    </row>
    <row r="41">
      <c r="B41" s="836" t="n"/>
      <c r="C41" s="763" t="n"/>
      <c r="D41" s="763" t="n"/>
      <c r="E41" s="763" t="n"/>
    </row>
    <row r="42">
      <c r="B42" s="836" t="n"/>
      <c r="C42" s="763" t="n"/>
      <c r="D42" s="763" t="n"/>
      <c r="E42" s="763" t="n"/>
    </row>
    <row r="43">
      <c r="B43" s="836" t="n"/>
      <c r="C43" s="763" t="n"/>
      <c r="D43" s="763" t="n"/>
      <c r="E43" s="763" t="n"/>
    </row>
    <row r="44">
      <c r="B44" s="836" t="n"/>
      <c r="C44" s="763" t="n"/>
      <c r="D44" s="763" t="n"/>
      <c r="E44" s="763" t="n"/>
    </row>
    <row r="45">
      <c r="B45" s="836" t="n"/>
      <c r="C45" s="763" t="n"/>
      <c r="D45" s="763" t="n"/>
      <c r="E45" s="763" t="n"/>
    </row>
    <row r="46">
      <c r="B46" s="836" t="n"/>
      <c r="C46" s="763" t="n"/>
      <c r="D46" s="763" t="n"/>
      <c r="E46" s="763" t="n"/>
    </row>
    <row r="47">
      <c r="B47" s="836" t="n"/>
      <c r="C47" s="763" t="n"/>
      <c r="D47" s="763" t="n"/>
      <c r="E47" s="763" t="n"/>
    </row>
    <row r="48">
      <c r="B48" s="836" t="n"/>
      <c r="C48" s="763" t="n"/>
      <c r="D48" s="763" t="n"/>
      <c r="E48" s="763" t="n"/>
    </row>
    <row r="49">
      <c r="B49" s="836" t="n"/>
      <c r="C49" s="763" t="n"/>
      <c r="D49" s="763" t="n"/>
      <c r="E49" s="763" t="n"/>
    </row>
    <row r="50">
      <c r="B50" s="836" t="n"/>
      <c r="C50" s="763" t="n"/>
      <c r="D50" s="763" t="n"/>
      <c r="E50" s="763" t="n"/>
    </row>
    <row r="51">
      <c r="B51" s="836" t="n"/>
      <c r="C51" s="763" t="n"/>
      <c r="D51" s="763" t="n"/>
      <c r="E51" s="763" t="n"/>
    </row>
    <row r="52">
      <c r="B52" s="836" t="n"/>
      <c r="C52" s="763" t="n"/>
      <c r="D52" s="763" t="n"/>
      <c r="E52" s="763" t="n"/>
    </row>
    <row r="53">
      <c r="B53" s="836" t="n"/>
      <c r="C53" s="763" t="n"/>
      <c r="D53" s="763" t="n"/>
      <c r="E53" s="763" t="n"/>
    </row>
    <row r="54">
      <c r="B54" s="836" t="n"/>
      <c r="C54" s="763" t="n"/>
      <c r="D54" s="763" t="n"/>
      <c r="E54" s="763" t="n"/>
    </row>
    <row r="55">
      <c r="B55" s="836" t="n"/>
      <c r="C55" s="763" t="n"/>
      <c r="D55" s="763" t="n"/>
      <c r="E55" s="763" t="n"/>
    </row>
    <row r="56">
      <c r="B56" s="836" t="n"/>
      <c r="C56" s="763" t="n"/>
      <c r="D56" s="763" t="n"/>
      <c r="E56" s="763" t="n"/>
    </row>
    <row r="57">
      <c r="B57" s="836" t="n"/>
      <c r="C57" s="763" t="n"/>
      <c r="D57" s="763" t="n"/>
      <c r="E57" s="763" t="n"/>
    </row>
    <row r="58">
      <c r="B58" s="836" t="n"/>
      <c r="C58" s="763" t="n"/>
      <c r="D58" s="763" t="n"/>
      <c r="E58" s="763" t="n"/>
    </row>
    <row r="59">
      <c r="B59" s="836" t="n"/>
      <c r="C59" s="763" t="n"/>
      <c r="D59" s="763" t="n"/>
      <c r="E59" s="763" t="n"/>
    </row>
    <row r="60">
      <c r="B60" s="836" t="n"/>
      <c r="C60" s="763" t="n"/>
      <c r="D60" s="763" t="n"/>
      <c r="E60" s="763" t="n"/>
    </row>
    <row r="61">
      <c r="B61" s="836" t="n"/>
      <c r="C61" s="763" t="n"/>
      <c r="D61" s="763" t="n"/>
      <c r="E61" s="763" t="n"/>
    </row>
    <row r="62">
      <c r="B62" s="836" t="n"/>
      <c r="C62" s="763" t="n"/>
      <c r="D62" s="763" t="n"/>
      <c r="E62" s="763" t="n"/>
    </row>
    <row r="63">
      <c r="B63" s="836" t="n"/>
      <c r="C63" s="763" t="n"/>
      <c r="D63" s="763" t="n"/>
      <c r="E63" s="763" t="n"/>
    </row>
    <row r="64">
      <c r="B64" s="836" t="n"/>
      <c r="C64" s="763" t="n"/>
      <c r="D64" s="763" t="n"/>
      <c r="E64" s="763" t="n"/>
    </row>
    <row r="65">
      <c r="B65" s="836" t="n"/>
      <c r="C65" s="763" t="n"/>
      <c r="D65" s="763" t="n"/>
      <c r="E65" s="763" t="n"/>
    </row>
    <row r="66">
      <c r="B66" s="836" t="n"/>
      <c r="C66" s="763" t="n"/>
      <c r="D66" s="763" t="n"/>
      <c r="E66" s="763" t="n"/>
    </row>
    <row r="67">
      <c r="B67" s="836" t="n"/>
      <c r="C67" s="763" t="n"/>
      <c r="D67" s="763" t="n"/>
      <c r="E67" s="763" t="n"/>
    </row>
    <row r="68">
      <c r="B68" s="836" t="n"/>
      <c r="C68" s="763" t="n"/>
      <c r="D68" s="763" t="n"/>
      <c r="E68" s="763" t="n"/>
    </row>
    <row r="69">
      <c r="B69" s="836" t="n"/>
      <c r="C69" s="763" t="n"/>
      <c r="D69" s="763" t="n"/>
      <c r="E69" s="763" t="n"/>
    </row>
    <row r="70">
      <c r="B70" s="836" t="n"/>
      <c r="C70" s="763" t="n"/>
      <c r="D70" s="763" t="n"/>
      <c r="E70" s="763" t="n"/>
    </row>
    <row r="71">
      <c r="B71" s="836" t="n"/>
      <c r="C71" s="763" t="n"/>
      <c r="D71" s="763" t="n"/>
      <c r="E71" s="763" t="n"/>
    </row>
    <row r="72">
      <c r="B72" s="836" t="n"/>
      <c r="C72" s="763" t="n"/>
      <c r="D72" s="763" t="n"/>
      <c r="E72" s="763" t="n"/>
    </row>
    <row r="73">
      <c r="B73" s="836" t="n"/>
      <c r="C73" s="763" t="n"/>
      <c r="D73" s="763" t="n"/>
      <c r="E73" s="763" t="n"/>
    </row>
    <row r="74">
      <c r="B74" s="836" t="n"/>
      <c r="C74" s="763" t="n"/>
      <c r="D74" s="763" t="n"/>
      <c r="E74" s="763" t="n"/>
    </row>
    <row r="75">
      <c r="B75" s="836" t="n"/>
      <c r="C75" s="763" t="n"/>
      <c r="D75" s="763" t="n"/>
      <c r="E75" s="763" t="n"/>
    </row>
    <row r="76">
      <c r="B76" s="836" t="n"/>
      <c r="C76" s="763" t="n"/>
      <c r="D76" s="763" t="n"/>
      <c r="E76" s="763" t="n"/>
    </row>
    <row r="77">
      <c r="B77" s="836" t="n"/>
      <c r="C77" s="763" t="n"/>
      <c r="D77" s="763" t="n"/>
      <c r="E77" s="763" t="n"/>
    </row>
    <row r="78">
      <c r="B78" s="836" t="n"/>
      <c r="C78" s="763" t="n"/>
      <c r="D78" s="763" t="n"/>
      <c r="E78" s="763" t="n"/>
    </row>
    <row r="79">
      <c r="B79" s="836" t="n"/>
      <c r="C79" s="763" t="n"/>
      <c r="D79" s="763" t="n"/>
      <c r="E79" s="763" t="n"/>
    </row>
    <row r="80">
      <c r="B80" s="836" t="n"/>
      <c r="C80" s="763" t="n"/>
      <c r="D80" s="763" t="n"/>
      <c r="E80" s="763" t="n"/>
    </row>
    <row r="81">
      <c r="B81" s="836" t="n"/>
      <c r="C81" s="763" t="n"/>
      <c r="D81" s="763" t="n"/>
      <c r="E81" s="763" t="n"/>
    </row>
    <row r="82">
      <c r="B82" s="836" t="n"/>
      <c r="C82" s="763" t="n"/>
      <c r="D82" s="763" t="n"/>
      <c r="E82" s="763" t="n"/>
    </row>
    <row r="83">
      <c r="B83" s="836" t="n"/>
      <c r="C83" s="763" t="n"/>
      <c r="D83" s="763" t="n"/>
      <c r="E83" s="763" t="n"/>
    </row>
    <row r="84">
      <c r="B84" s="836" t="n"/>
      <c r="C84" s="763" t="n"/>
      <c r="D84" s="763" t="n"/>
      <c r="E84" s="763" t="n"/>
    </row>
    <row r="85">
      <c r="B85" s="836" t="n"/>
      <c r="C85" s="763" t="n"/>
      <c r="D85" s="763" t="n"/>
      <c r="E85" s="763" t="n"/>
    </row>
    <row r="86">
      <c r="B86" s="836" t="n"/>
      <c r="C86" s="763" t="n"/>
      <c r="D86" s="763" t="n"/>
      <c r="E86" s="763" t="n"/>
    </row>
    <row r="87">
      <c r="B87" s="836" t="n"/>
      <c r="C87" s="763" t="n"/>
      <c r="D87" s="763" t="n"/>
      <c r="E87" s="763" t="n"/>
    </row>
    <row r="88">
      <c r="B88" s="836" t="n"/>
      <c r="C88" s="763" t="n"/>
      <c r="D88" s="763" t="n"/>
      <c r="E88" s="763" t="n"/>
    </row>
    <row r="89">
      <c r="B89" s="836" t="n"/>
      <c r="C89" s="763" t="n"/>
      <c r="D89" s="763" t="n"/>
      <c r="E89" s="763" t="n"/>
    </row>
    <row r="90">
      <c r="B90" s="836" t="n"/>
      <c r="C90" s="763" t="n"/>
      <c r="D90" s="763" t="n"/>
      <c r="E90" s="763" t="n"/>
    </row>
    <row r="91">
      <c r="B91" s="836" t="n"/>
      <c r="C91" s="763" t="n"/>
      <c r="D91" s="763" t="n"/>
      <c r="E91" s="763" t="n"/>
    </row>
    <row r="92">
      <c r="B92" s="836" t="n"/>
      <c r="C92" s="763" t="n"/>
      <c r="D92" s="763" t="n"/>
      <c r="E92" s="763" t="n"/>
    </row>
    <row r="93">
      <c r="B93" s="836" t="n"/>
      <c r="C93" s="763" t="n"/>
      <c r="D93" s="763" t="n"/>
      <c r="E93" s="763" t="n"/>
    </row>
    <row r="94">
      <c r="B94" s="836" t="n"/>
      <c r="C94" s="763" t="n"/>
      <c r="D94" s="763" t="n"/>
      <c r="E94" s="763" t="n"/>
    </row>
    <row r="95">
      <c r="B95" s="836" t="n"/>
      <c r="C95" s="763" t="n"/>
      <c r="D95" s="763" t="n"/>
      <c r="E95" s="763" t="n"/>
    </row>
    <row r="96">
      <c r="B96" s="836" t="n"/>
      <c r="C96" s="763" t="n"/>
      <c r="D96" s="763" t="n"/>
      <c r="E96" s="763" t="n"/>
    </row>
    <row r="97">
      <c r="B97" s="836" t="n"/>
      <c r="C97" s="763" t="n"/>
      <c r="D97" s="763" t="n"/>
      <c r="E97" s="763" t="n"/>
    </row>
    <row r="98">
      <c r="B98" s="836" t="n"/>
      <c r="C98" s="763" t="n"/>
      <c r="D98" s="763" t="n"/>
      <c r="E98" s="763" t="n"/>
    </row>
    <row r="99">
      <c r="B99" s="836" t="n"/>
      <c r="C99" s="763" t="n"/>
      <c r="D99" s="763" t="n"/>
      <c r="E99" s="763" t="n"/>
    </row>
    <row r="100">
      <c r="B100" s="836" t="n"/>
      <c r="C100" s="763" t="n"/>
      <c r="D100" s="763" t="n"/>
      <c r="E100" s="763" t="n"/>
    </row>
    <row r="101">
      <c r="B101" s="836" t="n"/>
      <c r="C101" s="763" t="n"/>
      <c r="D101" s="763" t="n"/>
      <c r="E101" s="763" t="n"/>
    </row>
    <row r="102">
      <c r="B102" s="836" t="n"/>
      <c r="C102" s="763" t="n"/>
      <c r="D102" s="763" t="n"/>
      <c r="E102" s="763" t="n"/>
    </row>
    <row r="103">
      <c r="B103" s="836" t="n"/>
      <c r="C103" s="763" t="n"/>
      <c r="D103" s="763" t="n"/>
      <c r="E103" s="763" t="n"/>
    </row>
    <row r="104">
      <c r="B104" s="836" t="n"/>
      <c r="C104" s="763" t="n"/>
      <c r="D104" s="763" t="n"/>
      <c r="E104" s="763" t="n"/>
    </row>
    <row r="105">
      <c r="B105" s="836" t="n"/>
      <c r="C105" s="763" t="n"/>
      <c r="D105" s="763" t="n"/>
      <c r="E105" s="763" t="n"/>
    </row>
    <row r="106">
      <c r="B106" s="836" t="n"/>
      <c r="C106" s="763" t="n"/>
      <c r="D106" s="763" t="n"/>
      <c r="E106" s="763" t="n"/>
    </row>
    <row r="107">
      <c r="B107" s="836" t="n"/>
      <c r="C107" s="763" t="n"/>
      <c r="D107" s="763" t="n"/>
      <c r="E107" s="763" t="n"/>
    </row>
    <row r="108">
      <c r="B108" s="836" t="n"/>
      <c r="C108" s="763" t="n"/>
      <c r="D108" s="763" t="n"/>
      <c r="E108" s="763" t="n"/>
    </row>
    <row r="109">
      <c r="B109" s="836" t="n"/>
      <c r="C109" s="763" t="n"/>
      <c r="D109" s="763" t="n"/>
      <c r="E109" s="763" t="n"/>
    </row>
    <row r="110">
      <c r="B110" s="836" t="n"/>
      <c r="C110" s="763" t="n"/>
      <c r="D110" s="763" t="n"/>
      <c r="E110" s="763" t="n"/>
    </row>
    <row r="111">
      <c r="B111" s="836" t="n"/>
      <c r="C111" s="763" t="n"/>
      <c r="D111" s="763" t="n"/>
      <c r="E111" s="763" t="n"/>
    </row>
    <row r="112">
      <c r="B112" s="836" t="n"/>
      <c r="C112" s="763" t="n"/>
      <c r="D112" s="763" t="n"/>
      <c r="E112" s="763" t="n"/>
    </row>
    <row r="113">
      <c r="B113" s="836" t="n"/>
      <c r="C113" s="763" t="n"/>
      <c r="D113" s="763" t="n"/>
      <c r="E113" s="763" t="n"/>
    </row>
    <row r="114">
      <c r="B114" s="836" t="n"/>
      <c r="C114" s="763" t="n"/>
      <c r="D114" s="763" t="n"/>
      <c r="E114" s="763" t="n"/>
    </row>
    <row r="115">
      <c r="B115" s="836" t="n"/>
      <c r="C115" s="763" t="n"/>
      <c r="D115" s="763" t="n"/>
      <c r="E115" s="763" t="n"/>
    </row>
    <row r="116">
      <c r="B116" s="836" t="n"/>
      <c r="C116" s="763" t="n"/>
      <c r="D116" s="763" t="n"/>
      <c r="E116" s="763" t="n"/>
    </row>
    <row r="117">
      <c r="B117" s="836" t="n"/>
      <c r="C117" s="763" t="n"/>
      <c r="D117" s="763" t="n"/>
      <c r="E117" s="763" t="n"/>
    </row>
    <row r="118">
      <c r="B118" s="836" t="n"/>
      <c r="C118" s="763" t="n"/>
      <c r="D118" s="763" t="n"/>
      <c r="E118" s="763" t="n"/>
    </row>
    <row r="119">
      <c r="B119" s="836" t="n"/>
      <c r="C119" s="763" t="n"/>
      <c r="D119" s="763" t="n"/>
      <c r="E119" s="763" t="n"/>
    </row>
    <row r="120">
      <c r="B120" s="836" t="n"/>
      <c r="C120" s="763" t="n"/>
      <c r="D120" s="763" t="n"/>
      <c r="E120" s="763" t="n"/>
    </row>
    <row r="121">
      <c r="B121" s="836" t="n"/>
      <c r="C121" s="763" t="n"/>
      <c r="D121" s="763" t="n"/>
      <c r="E121" s="763" t="n"/>
    </row>
    <row r="122">
      <c r="B122" s="836" t="n"/>
      <c r="C122" s="763" t="n"/>
      <c r="D122" s="763" t="n"/>
      <c r="E122" s="763" t="n"/>
    </row>
    <row r="123">
      <c r="B123" s="836" t="n"/>
      <c r="C123" s="763" t="n"/>
      <c r="D123" s="763" t="n"/>
      <c r="E123" s="763" t="n"/>
    </row>
    <row r="124">
      <c r="B124" s="836" t="n"/>
      <c r="C124" s="763" t="n"/>
      <c r="D124" s="763" t="n"/>
      <c r="E124" s="763" t="n"/>
    </row>
    <row r="125">
      <c r="B125" s="836" t="n"/>
      <c r="C125" s="763" t="n"/>
      <c r="D125" s="763" t="n"/>
      <c r="E125" s="763" t="n"/>
    </row>
    <row r="126">
      <c r="B126" s="836" t="n"/>
      <c r="C126" s="763" t="n"/>
      <c r="D126" s="763" t="n"/>
      <c r="E126" s="763" t="n"/>
    </row>
    <row r="127">
      <c r="B127" s="836" t="n"/>
      <c r="C127" s="763" t="n"/>
      <c r="D127" s="763" t="n"/>
      <c r="E127" s="763" t="n"/>
    </row>
    <row r="128">
      <c r="B128" s="836" t="n"/>
      <c r="C128" s="763" t="n"/>
      <c r="D128" s="763" t="n"/>
      <c r="E128" s="763" t="n"/>
    </row>
    <row r="129">
      <c r="B129" s="836" t="n"/>
      <c r="C129" s="763" t="n"/>
      <c r="D129" s="763" t="n"/>
      <c r="E129" s="763" t="n"/>
    </row>
    <row r="130">
      <c r="B130" s="836" t="n"/>
      <c r="C130" s="763" t="n"/>
      <c r="D130" s="763" t="n"/>
      <c r="E130" s="763" t="n"/>
    </row>
    <row r="131">
      <c r="B131" s="836" t="n"/>
      <c r="C131" s="763" t="n"/>
      <c r="D131" s="763" t="n"/>
      <c r="E131" s="763" t="n"/>
    </row>
    <row r="132">
      <c r="B132" s="836" t="n"/>
      <c r="C132" s="763" t="n"/>
      <c r="D132" s="763" t="n"/>
      <c r="E132" s="763" t="n"/>
    </row>
    <row r="133">
      <c r="B133" s="836" t="n"/>
      <c r="C133" s="763" t="n"/>
      <c r="D133" s="763" t="n"/>
      <c r="E133" s="763" t="n"/>
    </row>
    <row r="134">
      <c r="B134" s="836" t="n"/>
      <c r="C134" s="763" t="n"/>
      <c r="D134" s="763" t="n"/>
      <c r="E134" s="763" t="n"/>
    </row>
    <row r="135">
      <c r="B135" s="836" t="n"/>
      <c r="C135" s="763" t="n"/>
      <c r="D135" s="763" t="n"/>
      <c r="E135" s="763" t="n"/>
    </row>
    <row r="136">
      <c r="B136" s="836" t="n"/>
      <c r="C136" s="763" t="n"/>
      <c r="D136" s="763" t="n"/>
      <c r="E136" s="763" t="n"/>
    </row>
    <row r="137">
      <c r="B137" s="836" t="n"/>
      <c r="C137" s="763" t="n"/>
      <c r="D137" s="763" t="n"/>
      <c r="E137" s="763" t="n"/>
    </row>
    <row r="138">
      <c r="B138" s="836" t="n"/>
      <c r="C138" s="763" t="n"/>
      <c r="D138" s="763" t="n"/>
      <c r="E138" s="763" t="n"/>
    </row>
    <row r="139">
      <c r="B139" s="836" t="n"/>
      <c r="C139" s="763" t="n"/>
      <c r="D139" s="763" t="n"/>
      <c r="E139" s="763" t="n"/>
    </row>
    <row r="140">
      <c r="B140" s="836" t="n"/>
      <c r="C140" s="763" t="n"/>
      <c r="D140" s="763" t="n"/>
      <c r="E140" s="763" t="n"/>
    </row>
    <row r="141">
      <c r="B141" s="836" t="n"/>
      <c r="C141" s="763" t="n"/>
      <c r="D141" s="763" t="n"/>
      <c r="E141" s="763" t="n"/>
    </row>
    <row r="142">
      <c r="B142" s="836" t="n"/>
      <c r="C142" s="763" t="n"/>
      <c r="D142" s="763" t="n"/>
      <c r="E142" s="763" t="n"/>
    </row>
    <row r="143">
      <c r="B143" s="836" t="n"/>
      <c r="C143" s="763" t="n"/>
      <c r="D143" s="763" t="n"/>
      <c r="E143" s="763" t="n"/>
    </row>
    <row r="144">
      <c r="B144" s="836" t="n"/>
      <c r="C144" s="763" t="n"/>
      <c r="D144" s="763" t="n"/>
      <c r="E144" s="763" t="n"/>
    </row>
    <row r="145">
      <c r="B145" s="836" t="n"/>
      <c r="C145" s="763" t="n"/>
      <c r="D145" s="763" t="n"/>
      <c r="E145" s="763" t="n"/>
    </row>
    <row r="146">
      <c r="B146" s="836" t="n"/>
      <c r="C146" s="763" t="n"/>
      <c r="D146" s="763" t="n"/>
      <c r="E146" s="763" t="n"/>
    </row>
    <row r="147">
      <c r="B147" s="836" t="n"/>
      <c r="C147" s="763" t="n"/>
      <c r="D147" s="763" t="n"/>
      <c r="E147" s="763" t="n"/>
    </row>
    <row r="148">
      <c r="B148" s="836" t="n"/>
      <c r="C148" s="763" t="n"/>
      <c r="D148" s="763" t="n"/>
      <c r="E148" s="763" t="n"/>
    </row>
    <row r="149">
      <c r="B149" s="836" t="n"/>
      <c r="C149" s="763" t="n"/>
      <c r="D149" s="763" t="n"/>
      <c r="E149" s="763" t="n"/>
    </row>
    <row r="150">
      <c r="B150" s="836" t="n"/>
      <c r="C150" s="763" t="n"/>
      <c r="D150" s="763" t="n"/>
      <c r="E150" s="763" t="n"/>
    </row>
    <row r="151">
      <c r="B151" s="836" t="n"/>
      <c r="C151" s="763" t="n"/>
      <c r="D151" s="763" t="n"/>
      <c r="E151" s="763" t="n"/>
    </row>
    <row r="152">
      <c r="B152" s="836" t="n"/>
      <c r="C152" s="763" t="n"/>
      <c r="D152" s="763" t="n"/>
      <c r="E152" s="763" t="n"/>
    </row>
    <row r="153">
      <c r="B153" s="836" t="n"/>
      <c r="C153" s="763" t="n"/>
      <c r="D153" s="763" t="n"/>
      <c r="E153" s="763" t="n"/>
    </row>
    <row r="154">
      <c r="B154" s="836" t="n"/>
      <c r="C154" s="763" t="n"/>
      <c r="D154" s="763" t="n"/>
      <c r="E154" s="763" t="n"/>
    </row>
    <row r="155">
      <c r="B155" s="836" t="n"/>
      <c r="C155" s="763" t="n"/>
      <c r="D155" s="763" t="n"/>
      <c r="E155" s="763" t="n"/>
    </row>
    <row r="156">
      <c r="B156" s="836" t="n"/>
      <c r="C156" s="763" t="n"/>
      <c r="D156" s="763" t="n"/>
      <c r="E156" s="763" t="n"/>
    </row>
    <row r="157">
      <c r="B157" s="836" t="n"/>
      <c r="C157" s="763" t="n"/>
      <c r="D157" s="763" t="n"/>
      <c r="E157" s="763" t="n"/>
    </row>
    <row r="158">
      <c r="B158" s="836" t="n"/>
      <c r="C158" s="763" t="n"/>
      <c r="D158" s="763" t="n"/>
      <c r="E158" s="763" t="n"/>
    </row>
    <row r="159">
      <c r="B159" s="836" t="n"/>
      <c r="C159" s="763" t="n"/>
      <c r="D159" s="763" t="n"/>
      <c r="E159" s="763" t="n"/>
    </row>
    <row r="160">
      <c r="B160" s="836" t="n"/>
      <c r="C160" s="763" t="n"/>
      <c r="D160" s="763" t="n"/>
      <c r="E160" s="763" t="n"/>
    </row>
    <row r="161">
      <c r="B161" s="836" t="n"/>
      <c r="C161" s="763" t="n"/>
      <c r="D161" s="763" t="n"/>
      <c r="E161" s="763" t="n"/>
    </row>
    <row r="162">
      <c r="B162" s="836" t="n"/>
      <c r="C162" s="763" t="n"/>
      <c r="D162" s="763" t="n"/>
      <c r="E162" s="763" t="n"/>
    </row>
    <row r="163">
      <c r="B163" s="836" t="n"/>
      <c r="C163" s="763" t="n"/>
      <c r="D163" s="763" t="n"/>
      <c r="E163" s="763" t="n"/>
    </row>
    <row r="164">
      <c r="B164" s="836" t="n"/>
      <c r="C164" s="763" t="n"/>
      <c r="D164" s="763" t="n"/>
      <c r="E164" s="763" t="n"/>
    </row>
    <row r="165">
      <c r="B165" s="836" t="n"/>
      <c r="C165" s="763" t="n"/>
      <c r="D165" s="763" t="n"/>
      <c r="E165" s="763" t="n"/>
    </row>
    <row r="166">
      <c r="B166" s="836" t="n"/>
      <c r="C166" s="763" t="n"/>
      <c r="D166" s="763" t="n"/>
      <c r="E166" s="763" t="n"/>
    </row>
    <row r="167">
      <c r="B167" s="836" t="n"/>
      <c r="C167" s="763" t="n"/>
      <c r="D167" s="763" t="n"/>
      <c r="E167" s="763" t="n"/>
    </row>
    <row r="168">
      <c r="B168" s="836" t="n"/>
      <c r="C168" s="763" t="n"/>
      <c r="D168" s="763" t="n"/>
      <c r="E168" s="763" t="n"/>
    </row>
    <row r="169">
      <c r="B169" s="836" t="n"/>
      <c r="C169" s="763" t="n"/>
      <c r="D169" s="763" t="n"/>
      <c r="E169" s="763" t="n"/>
    </row>
    <row r="170">
      <c r="B170" s="836" t="n"/>
      <c r="C170" s="763" t="n"/>
      <c r="D170" s="763" t="n"/>
      <c r="E170" s="763" t="n"/>
    </row>
    <row r="171">
      <c r="B171" s="836" t="n"/>
      <c r="C171" s="763" t="n"/>
      <c r="D171" s="763" t="n"/>
      <c r="E171" s="763" t="n"/>
    </row>
    <row r="172">
      <c r="B172" s="836" t="n"/>
      <c r="C172" s="763" t="n"/>
      <c r="D172" s="763" t="n"/>
      <c r="E172" s="763" t="n"/>
    </row>
    <row r="173">
      <c r="B173" s="836" t="n"/>
      <c r="C173" s="763" t="n"/>
      <c r="D173" s="763" t="n"/>
      <c r="E173" s="763" t="n"/>
    </row>
    <row r="174">
      <c r="B174" s="836" t="n"/>
      <c r="C174" s="763" t="n"/>
      <c r="D174" s="763" t="n"/>
      <c r="E174" s="763" t="n"/>
    </row>
    <row r="175">
      <c r="B175" s="836" t="n"/>
      <c r="C175" s="763" t="n"/>
      <c r="D175" s="763" t="n"/>
      <c r="E175" s="763" t="n"/>
    </row>
    <row r="176">
      <c r="B176" s="836" t="n"/>
      <c r="C176" s="763" t="n"/>
      <c r="D176" s="763" t="n"/>
      <c r="E176" s="763" t="n"/>
    </row>
    <row r="177">
      <c r="B177" s="836" t="n"/>
      <c r="C177" s="763" t="n"/>
      <c r="D177" s="763" t="n"/>
      <c r="E177" s="763" t="n"/>
    </row>
    <row r="178">
      <c r="B178" s="836" t="n"/>
      <c r="C178" s="763" t="n"/>
      <c r="D178" s="763" t="n"/>
      <c r="E178" s="763" t="n"/>
    </row>
    <row r="179">
      <c r="B179" s="836" t="n"/>
      <c r="C179" s="763" t="n"/>
      <c r="D179" s="763" t="n"/>
      <c r="E179" s="763" t="n"/>
    </row>
    <row r="180">
      <c r="B180" s="836" t="n"/>
      <c r="C180" s="763" t="n"/>
      <c r="D180" s="763" t="n"/>
      <c r="E180" s="763" t="n"/>
    </row>
    <row r="181">
      <c r="B181" s="836" t="n"/>
      <c r="C181" s="763" t="n"/>
      <c r="D181" s="763" t="n"/>
      <c r="E181" s="763" t="n"/>
    </row>
    <row r="182">
      <c r="B182" s="836" t="n"/>
      <c r="C182" s="763" t="n"/>
      <c r="D182" s="763" t="n"/>
      <c r="E182" s="763" t="n"/>
    </row>
    <row r="183">
      <c r="B183" s="836" t="n"/>
      <c r="C183" s="763" t="n"/>
      <c r="D183" s="763" t="n"/>
      <c r="E183" s="763" t="n"/>
    </row>
    <row r="184">
      <c r="B184" s="836" t="n"/>
      <c r="C184" s="763" t="n"/>
      <c r="D184" s="763" t="n"/>
      <c r="E184" s="763" t="n"/>
    </row>
    <row r="185">
      <c r="B185" s="836" t="n"/>
      <c r="C185" s="763" t="n"/>
      <c r="D185" s="763" t="n"/>
      <c r="E185" s="763" t="n"/>
    </row>
    <row r="186">
      <c r="B186" s="836" t="n"/>
      <c r="C186" s="763" t="n"/>
      <c r="D186" s="763" t="n"/>
      <c r="E186" s="763" t="n"/>
    </row>
    <row r="187">
      <c r="B187" s="836" t="n"/>
      <c r="C187" s="763" t="n"/>
      <c r="D187" s="763" t="n"/>
      <c r="E187" s="763" t="n"/>
    </row>
    <row r="188">
      <c r="B188" s="836" t="n"/>
      <c r="C188" s="763" t="n"/>
      <c r="D188" s="763" t="n"/>
      <c r="E188" s="763" t="n"/>
    </row>
    <row r="189">
      <c r="B189" s="836" t="n"/>
      <c r="C189" s="763" t="n"/>
      <c r="D189" s="763" t="n"/>
      <c r="E189" s="763" t="n"/>
    </row>
    <row r="190">
      <c r="B190" s="836" t="n"/>
      <c r="C190" s="763" t="n"/>
      <c r="D190" s="763" t="n"/>
      <c r="E190" s="763" t="n"/>
    </row>
    <row r="191">
      <c r="B191" s="836" t="n"/>
      <c r="C191" s="763" t="n"/>
      <c r="D191" s="763" t="n"/>
      <c r="E191" s="763" t="n"/>
    </row>
    <row r="192">
      <c r="B192" s="836" t="n"/>
      <c r="C192" s="763" t="n"/>
      <c r="D192" s="763" t="n"/>
      <c r="E192" s="763" t="n"/>
    </row>
    <row r="193">
      <c r="B193" s="836" t="n"/>
      <c r="C193" s="763" t="n"/>
      <c r="D193" s="763" t="n"/>
      <c r="E193" s="763" t="n"/>
    </row>
    <row r="194">
      <c r="B194" s="836" t="n"/>
      <c r="C194" s="763" t="n"/>
      <c r="D194" s="763" t="n"/>
      <c r="E194" s="763" t="n"/>
    </row>
    <row r="195">
      <c r="B195" s="836" t="n"/>
      <c r="C195" s="763" t="n"/>
      <c r="D195" s="763" t="n"/>
      <c r="E195" s="763" t="n"/>
    </row>
    <row r="196">
      <c r="B196" s="836" t="n"/>
      <c r="C196" s="763" t="n"/>
      <c r="D196" s="763" t="n"/>
      <c r="E196" s="763" t="n"/>
    </row>
    <row r="197">
      <c r="B197" s="836" t="n"/>
      <c r="C197" s="763" t="n"/>
      <c r="D197" s="763" t="n"/>
      <c r="E197" s="763" t="n"/>
    </row>
    <row r="198">
      <c r="B198" s="836" t="n"/>
      <c r="C198" s="763" t="n"/>
      <c r="D198" s="763" t="n"/>
      <c r="E198" s="763" t="n"/>
    </row>
    <row r="199">
      <c r="B199" s="836" t="n"/>
      <c r="C199" s="763" t="n"/>
      <c r="D199" s="763" t="n"/>
      <c r="E199" s="763" t="n"/>
    </row>
    <row r="200">
      <c r="B200" s="836" t="n"/>
      <c r="C200" s="763" t="n"/>
      <c r="D200" s="763" t="n"/>
      <c r="E200" s="763" t="n"/>
    </row>
    <row r="201">
      <c r="B201" s="836" t="n"/>
      <c r="C201" s="763" t="n"/>
      <c r="D201" s="763" t="n"/>
      <c r="E201" s="763" t="n"/>
    </row>
    <row r="202">
      <c r="B202" s="836" t="n"/>
      <c r="C202" s="763" t="n"/>
      <c r="D202" s="763" t="n"/>
      <c r="E202" s="763" t="n"/>
    </row>
    <row r="203">
      <c r="B203" s="836" t="n"/>
      <c r="C203" s="763" t="n"/>
      <c r="D203" s="763" t="n"/>
      <c r="E203" s="763" t="n"/>
    </row>
    <row r="204">
      <c r="B204" s="836" t="n"/>
      <c r="C204" s="763" t="n"/>
      <c r="D204" s="763" t="n"/>
      <c r="E204" s="763" t="n"/>
    </row>
    <row r="205">
      <c r="B205" s="836" t="n"/>
      <c r="C205" s="763" t="n"/>
      <c r="D205" s="763" t="n"/>
      <c r="E205" s="763" t="n"/>
    </row>
    <row r="206">
      <c r="B206" s="836" t="n"/>
      <c r="C206" s="763" t="n"/>
      <c r="D206" s="763" t="n"/>
      <c r="E206" s="763" t="n"/>
    </row>
    <row r="207">
      <c r="B207" s="836" t="n"/>
      <c r="C207" s="763" t="n"/>
      <c r="D207" s="763" t="n"/>
      <c r="E207" s="763" t="n"/>
    </row>
    <row r="208">
      <c r="B208" s="836" t="n"/>
      <c r="C208" s="763" t="n"/>
      <c r="D208" s="763" t="n"/>
      <c r="E208" s="763" t="n"/>
    </row>
    <row r="209">
      <c r="B209" s="836" t="n"/>
      <c r="C209" s="763" t="n"/>
      <c r="D209" s="763" t="n"/>
      <c r="E209" s="763" t="n"/>
    </row>
    <row r="210">
      <c r="B210" s="836" t="n"/>
      <c r="C210" s="763" t="n"/>
      <c r="D210" s="763" t="n"/>
      <c r="E210" s="763" t="n"/>
    </row>
    <row r="211">
      <c r="B211" s="836" t="n"/>
      <c r="C211" s="763" t="n"/>
      <c r="D211" s="763" t="n"/>
      <c r="E211" s="763" t="n"/>
    </row>
    <row r="212">
      <c r="B212" s="836" t="n"/>
      <c r="C212" s="763" t="n"/>
      <c r="D212" s="763" t="n"/>
      <c r="E212" s="763" t="n"/>
    </row>
    <row r="213">
      <c r="B213" s="836" t="n"/>
      <c r="C213" s="763" t="n"/>
      <c r="D213" s="763" t="n"/>
      <c r="E213" s="763" t="n"/>
    </row>
    <row r="214">
      <c r="B214" s="836" t="n"/>
      <c r="C214" s="763" t="n"/>
      <c r="D214" s="763" t="n"/>
      <c r="E214" s="763" t="n"/>
    </row>
    <row r="215">
      <c r="B215" s="836" t="n"/>
      <c r="C215" s="763" t="n"/>
      <c r="D215" s="763" t="n"/>
      <c r="E215" s="763" t="n"/>
    </row>
    <row r="216">
      <c r="B216" s="836" t="n"/>
      <c r="C216" s="763" t="n"/>
      <c r="D216" s="763" t="n"/>
      <c r="E216" s="763" t="n"/>
    </row>
    <row r="217">
      <c r="B217" s="836" t="n"/>
      <c r="C217" s="763" t="n"/>
      <c r="D217" s="763" t="n"/>
      <c r="E217" s="763" t="n"/>
    </row>
    <row r="218">
      <c r="B218" s="836" t="n"/>
      <c r="C218" s="763" t="n"/>
      <c r="D218" s="763" t="n"/>
      <c r="E218" s="763" t="n"/>
    </row>
    <row r="219">
      <c r="B219" s="836" t="n"/>
      <c r="C219" s="763" t="n"/>
      <c r="D219" s="763" t="n"/>
      <c r="E219" s="763" t="n"/>
    </row>
    <row r="220">
      <c r="B220" s="836" t="n"/>
      <c r="C220" s="763" t="n"/>
      <c r="D220" s="763" t="n"/>
      <c r="E220" s="763" t="n"/>
    </row>
    <row r="221">
      <c r="B221" s="836" t="n"/>
      <c r="C221" s="763" t="n"/>
      <c r="D221" s="763" t="n"/>
      <c r="E221" s="763" t="n"/>
    </row>
    <row r="222">
      <c r="B222" s="836" t="n"/>
      <c r="C222" s="763" t="n"/>
      <c r="D222" s="763" t="n"/>
      <c r="E222" s="763" t="n"/>
    </row>
    <row r="223">
      <c r="B223" s="836" t="n"/>
      <c r="C223" s="763" t="n"/>
      <c r="D223" s="763" t="n"/>
      <c r="E223" s="763" t="n"/>
    </row>
    <row r="224">
      <c r="B224" s="836" t="n"/>
      <c r="C224" s="763" t="n"/>
      <c r="D224" s="763" t="n"/>
      <c r="E224" s="763" t="n"/>
    </row>
    <row r="225">
      <c r="B225" s="836" t="n"/>
      <c r="C225" s="763" t="n"/>
      <c r="D225" s="763" t="n"/>
      <c r="E225" s="763" t="n"/>
    </row>
    <row r="226">
      <c r="B226" s="836" t="n"/>
      <c r="C226" s="763" t="n"/>
      <c r="D226" s="763" t="n"/>
      <c r="E226" s="763" t="n"/>
    </row>
    <row r="227">
      <c r="B227" s="836" t="n"/>
      <c r="C227" s="763" t="n"/>
      <c r="D227" s="763" t="n"/>
      <c r="E227" s="763" t="n"/>
    </row>
    <row r="228">
      <c r="B228" s="836" t="n"/>
      <c r="C228" s="763" t="n"/>
      <c r="D228" s="763" t="n"/>
      <c r="E228" s="763" t="n"/>
    </row>
    <row r="229">
      <c r="B229" s="836" t="n"/>
      <c r="C229" s="763" t="n"/>
      <c r="D229" s="763" t="n"/>
      <c r="E229" s="763" t="n"/>
    </row>
    <row r="230">
      <c r="B230" s="836" t="n"/>
      <c r="C230" s="763" t="n"/>
      <c r="D230" s="763" t="n"/>
      <c r="E230" s="763" t="n"/>
    </row>
    <row r="231">
      <c r="B231" s="836" t="n"/>
      <c r="C231" s="763" t="n"/>
      <c r="D231" s="763" t="n"/>
      <c r="E231" s="763" t="n"/>
    </row>
    <row r="232">
      <c r="B232" s="836" t="n"/>
      <c r="C232" s="763" t="n"/>
      <c r="D232" s="763" t="n"/>
      <c r="E232" s="763" t="n"/>
    </row>
    <row r="233">
      <c r="B233" s="836" t="n"/>
      <c r="C233" s="763" t="n"/>
      <c r="D233" s="763" t="n"/>
      <c r="E233" s="763" t="n"/>
    </row>
    <row r="234">
      <c r="B234" s="836" t="n"/>
      <c r="C234" s="763" t="n"/>
      <c r="D234" s="763" t="n"/>
      <c r="E234" s="763" t="n"/>
    </row>
    <row r="235">
      <c r="B235" s="836" t="n"/>
      <c r="C235" s="763" t="n"/>
      <c r="D235" s="763" t="n"/>
      <c r="E235" s="763" t="n"/>
    </row>
    <row r="236">
      <c r="B236" s="836" t="n"/>
      <c r="C236" s="763" t="n"/>
      <c r="D236" s="763" t="n"/>
      <c r="E236" s="763" t="n"/>
    </row>
    <row r="237">
      <c r="B237" s="836" t="n"/>
      <c r="C237" s="763" t="n"/>
      <c r="D237" s="763" t="n"/>
      <c r="E237" s="763" t="n"/>
    </row>
    <row r="238">
      <c r="B238" s="836" t="n"/>
      <c r="C238" s="763" t="n"/>
      <c r="D238" s="763" t="n"/>
      <c r="E238" s="763" t="n"/>
    </row>
    <row r="239">
      <c r="B239" s="836" t="n"/>
      <c r="C239" s="763" t="n"/>
      <c r="D239" s="763" t="n"/>
      <c r="E239" s="763" t="n"/>
    </row>
    <row r="240">
      <c r="B240" s="836" t="n"/>
      <c r="C240" s="763" t="n"/>
      <c r="D240" s="763" t="n"/>
      <c r="E240" s="763" t="n"/>
    </row>
    <row r="241">
      <c r="B241" s="836" t="n"/>
      <c r="C241" s="763" t="n"/>
      <c r="D241" s="763" t="n"/>
      <c r="E241" s="763" t="n"/>
    </row>
    <row r="242">
      <c r="B242" s="836" t="n"/>
      <c r="C242" s="763" t="n"/>
      <c r="D242" s="763" t="n"/>
      <c r="E242" s="763" t="n"/>
    </row>
    <row r="243">
      <c r="B243" s="836" t="n"/>
      <c r="C243" s="763" t="n"/>
      <c r="D243" s="763" t="n"/>
      <c r="E243" s="763" t="n"/>
    </row>
    <row r="244">
      <c r="B244" s="836" t="n"/>
      <c r="C244" s="763" t="n"/>
      <c r="D244" s="763" t="n"/>
      <c r="E244" s="763" t="n"/>
    </row>
    <row r="245">
      <c r="B245" s="836" t="n"/>
      <c r="C245" s="763" t="n"/>
      <c r="D245" s="763" t="n"/>
      <c r="E245" s="763" t="n"/>
    </row>
    <row r="246">
      <c r="B246" s="836" t="n"/>
      <c r="C246" s="763" t="n"/>
      <c r="D246" s="763" t="n"/>
      <c r="E246" s="763" t="n"/>
    </row>
    <row r="247">
      <c r="B247" s="836" t="n"/>
      <c r="C247" s="763" t="n"/>
      <c r="D247" s="763" t="n"/>
      <c r="E247" s="763" t="n"/>
    </row>
    <row r="248">
      <c r="B248" s="836" t="n"/>
      <c r="C248" s="763" t="n"/>
      <c r="D248" s="763" t="n"/>
      <c r="E248" s="763" t="n"/>
    </row>
    <row r="249">
      <c r="B249" s="836" t="n"/>
      <c r="C249" s="763" t="n"/>
      <c r="D249" s="763" t="n"/>
      <c r="E249" s="763" t="n"/>
    </row>
    <row r="250">
      <c r="B250" s="836" t="n"/>
      <c r="C250" s="763" t="n"/>
      <c r="D250" s="763" t="n"/>
      <c r="E250" s="763" t="n"/>
    </row>
    <row r="251">
      <c r="B251" s="836" t="n"/>
      <c r="C251" s="763" t="n"/>
      <c r="D251" s="763" t="n"/>
      <c r="E251" s="763" t="n"/>
    </row>
    <row r="252">
      <c r="B252" s="836" t="n"/>
      <c r="C252" s="763" t="n"/>
      <c r="D252" s="763" t="n"/>
      <c r="E252" s="763" t="n"/>
    </row>
    <row r="253">
      <c r="B253" s="836" t="n"/>
      <c r="C253" s="763" t="n"/>
      <c r="D253" s="763" t="n"/>
      <c r="E253" s="763" t="n"/>
    </row>
    <row r="254">
      <c r="B254" s="836" t="n"/>
      <c r="C254" s="763" t="n"/>
      <c r="D254" s="763" t="n"/>
      <c r="E254" s="763" t="n"/>
    </row>
    <row r="255">
      <c r="B255" s="836" t="n"/>
      <c r="C255" s="763" t="n"/>
      <c r="D255" s="763" t="n"/>
      <c r="E255" s="763" t="n"/>
    </row>
    <row r="256">
      <c r="B256" s="836" t="n"/>
      <c r="C256" s="763" t="n"/>
      <c r="D256" s="763" t="n"/>
      <c r="E256" s="763" t="n"/>
    </row>
    <row r="257">
      <c r="B257" s="836" t="n"/>
      <c r="C257" s="763" t="n"/>
      <c r="D257" s="763" t="n"/>
      <c r="E257" s="763" t="n"/>
    </row>
    <row r="258">
      <c r="B258" s="836" t="n"/>
      <c r="C258" s="763" t="n"/>
      <c r="D258" s="763" t="n"/>
      <c r="E258" s="763" t="n"/>
    </row>
    <row r="259">
      <c r="B259" s="836" t="n"/>
      <c r="C259" s="763" t="n"/>
      <c r="D259" s="763" t="n"/>
      <c r="E259" s="763" t="n"/>
    </row>
    <row r="260">
      <c r="B260" s="836" t="n"/>
      <c r="C260" s="763" t="n"/>
      <c r="D260" s="763" t="n"/>
      <c r="E260" s="763" t="n"/>
    </row>
    <row r="261">
      <c r="B261" s="836" t="n"/>
      <c r="C261" s="763" t="n"/>
      <c r="D261" s="763" t="n"/>
      <c r="E261" s="763" t="n"/>
    </row>
    <row r="262">
      <c r="B262" s="836" t="n"/>
      <c r="C262" s="763" t="n"/>
      <c r="D262" s="763" t="n"/>
      <c r="E262" s="763" t="n"/>
    </row>
    <row r="263">
      <c r="B263" s="836" t="n"/>
      <c r="C263" s="763" t="n"/>
      <c r="D263" s="763" t="n"/>
      <c r="E263" s="763" t="n"/>
    </row>
    <row r="264">
      <c r="B264" s="836" t="n"/>
      <c r="C264" s="763" t="n"/>
      <c r="D264" s="763" t="n"/>
      <c r="E264" s="763" t="n"/>
    </row>
    <row r="265">
      <c r="B265" s="836" t="n"/>
      <c r="C265" s="763" t="n"/>
      <c r="D265" s="763" t="n"/>
      <c r="E265" s="763" t="n"/>
    </row>
    <row r="266">
      <c r="B266" s="836" t="n"/>
      <c r="C266" s="763" t="n"/>
      <c r="D266" s="763" t="n"/>
      <c r="E266" s="763" t="n"/>
    </row>
    <row r="267">
      <c r="B267" s="836" t="n"/>
      <c r="C267" s="763" t="n"/>
      <c r="D267" s="763" t="n"/>
      <c r="E267" s="763" t="n"/>
    </row>
    <row r="268">
      <c r="B268" s="836" t="n"/>
      <c r="C268" s="763" t="n"/>
    </row>
    <row r="269">
      <c r="B269" s="837" t="n"/>
      <c r="C269" s="838" t="n"/>
    </row>
    <row r="270">
      <c r="B270" s="837" t="n"/>
      <c r="C270" s="838" t="n"/>
    </row>
    <row r="271">
      <c r="B271" s="837" t="n"/>
      <c r="C271" s="838" t="n"/>
    </row>
    <row r="272">
      <c r="B272" s="837" t="n"/>
      <c r="C272" s="838" t="n"/>
    </row>
    <row r="273">
      <c r="B273" s="837" t="n"/>
      <c r="C273" s="838" t="n"/>
    </row>
    <row r="274">
      <c r="B274" s="837" t="n"/>
      <c r="C274" s="838" t="n"/>
    </row>
    <row r="275">
      <c r="B275" s="837" t="n"/>
      <c r="C275" s="838" t="n"/>
    </row>
    <row r="276">
      <c r="B276" s="837" t="n"/>
      <c r="C276" s="838" t="n"/>
    </row>
    <row r="277">
      <c r="B277" s="837" t="n"/>
      <c r="C277" s="838" t="n"/>
    </row>
    <row r="278">
      <c r="B278" s="837" t="n"/>
      <c r="C278" s="838" t="n"/>
    </row>
    <row r="279">
      <c r="B279" s="837" t="n"/>
      <c r="C279" s="838" t="n"/>
    </row>
    <row r="280">
      <c r="B280" s="837" t="n"/>
      <c r="C280" s="838" t="n"/>
    </row>
    <row r="281">
      <c r="B281" s="837" t="n"/>
      <c r="C281" s="838" t="n"/>
    </row>
    <row r="282">
      <c r="B282" s="837" t="n"/>
      <c r="C282" s="838" t="n"/>
    </row>
    <row r="283">
      <c r="B283" s="837" t="n"/>
      <c r="C283" s="838" t="n"/>
    </row>
    <row r="284">
      <c r="B284" s="837" t="n"/>
      <c r="C284" s="838" t="n"/>
    </row>
    <row r="285">
      <c r="B285" s="837" t="n"/>
      <c r="C285" s="838" t="n"/>
    </row>
    <row r="286">
      <c r="B286" s="837" t="n"/>
      <c r="C286" s="838" t="n"/>
    </row>
    <row r="287">
      <c r="B287" s="837" t="n"/>
      <c r="C287" s="838" t="n"/>
    </row>
    <row r="288">
      <c r="B288" s="837" t="n"/>
      <c r="C288" s="838" t="n"/>
    </row>
    <row r="289">
      <c r="B289" s="837" t="n"/>
      <c r="C289" s="838" t="n"/>
    </row>
    <row r="290">
      <c r="B290" s="837" t="n"/>
      <c r="C290" s="838" t="n"/>
    </row>
    <row r="291">
      <c r="B291" s="837" t="n"/>
      <c r="C291" s="838" t="n"/>
    </row>
    <row r="292">
      <c r="B292" s="837" t="n"/>
      <c r="C292" s="838" t="n"/>
    </row>
    <row r="293">
      <c r="B293" s="837" t="n"/>
      <c r="C293" s="838" t="n"/>
    </row>
    <row r="294">
      <c r="B294" s="837" t="n"/>
      <c r="C294" s="838" t="n"/>
    </row>
    <row r="295">
      <c r="B295" s="837" t="n"/>
      <c r="C295" s="838" t="n"/>
    </row>
    <row r="296">
      <c r="B296" s="837" t="n"/>
      <c r="C296" s="838" t="n"/>
    </row>
    <row r="297">
      <c r="B297" s="837" t="n"/>
      <c r="C297" s="838" t="n"/>
    </row>
    <row r="298">
      <c r="B298" s="837" t="n"/>
      <c r="C298" s="838" t="n"/>
    </row>
    <row r="299">
      <c r="B299" s="837" t="n"/>
      <c r="C299" s="838" t="n"/>
    </row>
    <row r="300">
      <c r="B300" s="837" t="n"/>
      <c r="C300" s="838" t="n"/>
    </row>
    <row r="301">
      <c r="B301" s="837" t="n"/>
      <c r="C301" s="838" t="n"/>
    </row>
    <row r="302">
      <c r="B302" s="837" t="n"/>
      <c r="C302" s="838" t="n"/>
      <c r="F302" s="839" t="n"/>
    </row>
    <row r="303">
      <c r="B303" s="837" t="n"/>
      <c r="C303" s="838" t="n"/>
      <c r="F303" s="839" t="n"/>
    </row>
    <row r="304">
      <c r="B304" s="837" t="n"/>
      <c r="C304" s="838" t="n"/>
      <c r="F304" s="839" t="n"/>
    </row>
    <row r="305">
      <c r="B305" s="837" t="n"/>
      <c r="C305" s="838" t="n"/>
      <c r="F305" s="839" t="n"/>
    </row>
    <row r="306">
      <c r="B306" s="837" t="n"/>
      <c r="C306" s="838" t="n"/>
      <c r="F306" s="839" t="n"/>
    </row>
    <row r="307">
      <c r="B307" s="837" t="n"/>
      <c r="C307" s="838" t="n"/>
      <c r="F307" s="839" t="n"/>
    </row>
    <row r="308">
      <c r="B308" s="837" t="n"/>
      <c r="C308" s="838" t="n"/>
      <c r="F308" s="839" t="n"/>
    </row>
    <row r="309">
      <c r="B309" s="837" t="n"/>
      <c r="C309" s="838" t="n"/>
      <c r="F309" s="839" t="n"/>
    </row>
    <row r="310">
      <c r="B310" s="837" t="n"/>
      <c r="C310" s="838" t="n"/>
      <c r="F310" s="839" t="n"/>
    </row>
    <row r="311">
      <c r="B311" s="837" t="n"/>
      <c r="C311" s="838" t="n"/>
      <c r="F311" s="839" t="n"/>
    </row>
    <row r="312">
      <c r="B312" s="837" t="n"/>
      <c r="C312" s="838" t="n"/>
      <c r="F312" s="839" t="n"/>
    </row>
    <row r="313">
      <c r="B313" s="837" t="n"/>
      <c r="C313" s="838" t="n"/>
      <c r="F313" s="839" t="n"/>
    </row>
    <row r="314">
      <c r="B314" s="837" t="n"/>
      <c r="C314" s="838" t="n"/>
      <c r="F314" s="839" t="n"/>
    </row>
    <row r="315">
      <c r="B315" s="837" t="n"/>
      <c r="C315" s="838" t="n"/>
      <c r="F315" s="839" t="n"/>
    </row>
    <row r="316">
      <c r="B316" s="837" t="n"/>
      <c r="C316" s="838" t="n"/>
      <c r="F316" s="839" t="n"/>
    </row>
    <row r="317">
      <c r="B317" s="837" t="n"/>
      <c r="C317" s="838" t="n"/>
      <c r="F317" s="839" t="n"/>
    </row>
    <row r="318">
      <c r="B318" s="837" t="n"/>
      <c r="C318" s="838" t="n"/>
      <c r="F318" s="839" t="n"/>
    </row>
    <row r="319">
      <c r="B319" s="837" t="n"/>
      <c r="C319" s="838" t="n"/>
      <c r="F319" s="839" t="n"/>
    </row>
    <row r="320">
      <c r="B320" s="837" t="n"/>
      <c r="C320" s="838" t="n"/>
    </row>
    <row r="321">
      <c r="B321" s="837" t="n"/>
      <c r="C321" s="838" t="n"/>
    </row>
    <row r="322">
      <c r="B322" s="837" t="n"/>
      <c r="C322" s="838" t="n"/>
    </row>
    <row r="323">
      <c r="B323" s="837" t="n"/>
      <c r="C323" s="838" t="n"/>
      <c r="E323" s="839" t="n"/>
    </row>
    <row r="324">
      <c r="B324" s="837" t="n"/>
      <c r="C324" s="838" t="n"/>
      <c r="E324" s="839" t="n"/>
    </row>
    <row r="325">
      <c r="B325" s="837" t="n"/>
      <c r="C325" s="838" t="n"/>
      <c r="E325" s="839" t="n"/>
    </row>
    <row r="326">
      <c r="B326" s="837" t="n"/>
      <c r="C326" s="838" t="n"/>
      <c r="E326" s="839" t="n"/>
    </row>
    <row r="327">
      <c r="B327" s="837" t="n"/>
      <c r="C327" s="838" t="n"/>
      <c r="E327" s="839" t="n"/>
    </row>
    <row r="328">
      <c r="B328" s="837" t="n"/>
      <c r="C328" s="838" t="n"/>
      <c r="E328" s="839" t="n"/>
    </row>
    <row r="329">
      <c r="B329" s="837" t="n"/>
      <c r="C329" s="838" t="n"/>
      <c r="E329" s="839" t="n"/>
    </row>
    <row r="330">
      <c r="B330" s="837" t="n"/>
      <c r="C330" s="838" t="n"/>
      <c r="E330" s="839" t="n"/>
    </row>
    <row r="331">
      <c r="B331" s="837" t="n"/>
      <c r="C331" s="838" t="n"/>
      <c r="E331" s="839" t="n"/>
    </row>
    <row r="332">
      <c r="B332" s="837" t="n"/>
      <c r="C332" s="838" t="n"/>
      <c r="E332" s="839" t="n"/>
    </row>
    <row r="333">
      <c r="B333" s="837" t="n"/>
      <c r="C333" s="838" t="n"/>
      <c r="E333" s="839" t="n"/>
    </row>
    <row r="334">
      <c r="B334" s="837" t="n"/>
      <c r="C334" s="838" t="n"/>
      <c r="E334" s="839" t="n"/>
    </row>
    <row r="335">
      <c r="B335" s="837" t="n"/>
      <c r="C335" s="838" t="n"/>
      <c r="E335" s="839" t="n"/>
    </row>
    <row r="336">
      <c r="B336" s="837" t="n"/>
      <c r="C336" s="838" t="n"/>
      <c r="E336" s="839" t="n"/>
    </row>
    <row r="337">
      <c r="B337" s="837" t="n"/>
      <c r="C337" s="838" t="n"/>
      <c r="E337" s="839" t="n"/>
    </row>
    <row r="338">
      <c r="B338" s="837" t="n"/>
      <c r="C338" s="838" t="n"/>
      <c r="E338" s="839" t="n"/>
    </row>
    <row r="339">
      <c r="B339" s="837" t="n"/>
      <c r="C339" s="838" t="n"/>
      <c r="E339" s="839" t="n"/>
    </row>
    <row r="340">
      <c r="B340" s="837" t="n"/>
      <c r="C340" s="838" t="n"/>
      <c r="E340" s="839" t="n"/>
    </row>
    <row r="341">
      <c r="B341" s="837" t="n"/>
      <c r="C341" s="838" t="n"/>
      <c r="E341" s="839" t="n"/>
    </row>
    <row r="342">
      <c r="B342" s="837" t="n"/>
      <c r="C342" s="838" t="n"/>
      <c r="E342" s="839" t="n"/>
    </row>
    <row r="343">
      <c r="B343" s="837" t="n"/>
      <c r="C343" s="838" t="n"/>
      <c r="E343" s="839" t="n"/>
    </row>
    <row r="344">
      <c r="B344" s="837" t="n"/>
      <c r="C344" s="838" t="n"/>
      <c r="E344" s="839" t="n"/>
    </row>
    <row r="345">
      <c r="B345" s="837" t="n"/>
      <c r="C345" s="838" t="n"/>
      <c r="E345" s="839" t="n"/>
    </row>
    <row r="346">
      <c r="B346" s="837" t="n"/>
      <c r="C346" s="838" t="n"/>
      <c r="E346" s="839" t="n"/>
    </row>
    <row r="347">
      <c r="B347" s="837" t="n"/>
      <c r="C347" s="838" t="n"/>
      <c r="E347" s="839" t="n"/>
    </row>
    <row r="348">
      <c r="B348" s="837" t="n"/>
      <c r="C348" s="838" t="n"/>
      <c r="E348" s="839" t="n"/>
    </row>
    <row r="349">
      <c r="B349" s="837" t="n"/>
      <c r="C349" s="838" t="n"/>
      <c r="E349" s="839" t="n"/>
    </row>
    <row r="350">
      <c r="B350" s="837" t="n"/>
      <c r="C350" s="838" t="n"/>
      <c r="E350" s="839" t="n"/>
    </row>
    <row r="351">
      <c r="B351" s="837" t="n"/>
      <c r="C351" s="838" t="n"/>
      <c r="E351" s="839" t="n"/>
    </row>
    <row r="352">
      <c r="B352" s="837" t="n"/>
      <c r="C352" s="838" t="n"/>
      <c r="E352" s="839" t="n"/>
    </row>
    <row r="353">
      <c r="B353" s="837" t="n"/>
      <c r="C353" s="838" t="n"/>
      <c r="E353" s="839" t="n"/>
    </row>
    <row r="354">
      <c r="B354" s="837" t="n"/>
      <c r="C354" s="838" t="n"/>
      <c r="E354" s="839" t="n"/>
    </row>
    <row r="355">
      <c r="B355" s="837" t="n"/>
      <c r="C355" s="838" t="n"/>
      <c r="E355" s="839" t="n"/>
    </row>
    <row r="356">
      <c r="B356" s="837" t="n"/>
      <c r="C356" s="838" t="n"/>
      <c r="E356" s="839" t="n"/>
    </row>
    <row r="357">
      <c r="B357" s="837" t="n"/>
      <c r="C357" s="838" t="n"/>
      <c r="E357" s="839" t="n"/>
    </row>
    <row r="358">
      <c r="B358" s="837" t="n"/>
      <c r="C358" s="838" t="n"/>
      <c r="E358" s="839" t="n"/>
    </row>
    <row r="359">
      <c r="B359" s="837" t="n"/>
      <c r="C359" s="838" t="n"/>
      <c r="D359" s="840" t="n"/>
      <c r="E359" s="841" t="n"/>
      <c r="G359" s="840" t="n"/>
      <c r="H359" s="841" t="n"/>
    </row>
    <row r="360">
      <c r="B360" s="837" t="n"/>
      <c r="C360" s="838" t="n"/>
      <c r="D360" s="840" t="n"/>
      <c r="E360" s="841" t="n"/>
      <c r="G360" s="840" t="n"/>
      <c r="H360" s="841" t="n"/>
    </row>
    <row r="361">
      <c r="B361" s="837" t="n"/>
      <c r="C361" s="838" t="n"/>
      <c r="D361" s="840" t="n"/>
      <c r="E361" s="841" t="n"/>
      <c r="G361" s="840" t="n"/>
      <c r="H361" s="841" t="n"/>
    </row>
    <row r="362">
      <c r="B362" s="837" t="n"/>
      <c r="C362" s="838" t="n"/>
      <c r="D362" s="840" t="n"/>
      <c r="E362" s="841" t="n"/>
      <c r="G362" s="840" t="n"/>
      <c r="H362" s="841" t="n"/>
    </row>
    <row r="363">
      <c r="B363" s="837" t="n"/>
      <c r="C363" s="838" t="n"/>
      <c r="D363" s="840" t="n"/>
      <c r="E363" s="841" t="n"/>
      <c r="G363" s="840" t="n"/>
      <c r="H363" s="841" t="n"/>
    </row>
    <row r="364">
      <c r="B364" s="837" t="n"/>
      <c r="C364" s="838" t="n"/>
      <c r="D364" s="840" t="n"/>
      <c r="E364" s="841" t="n"/>
      <c r="G364" s="840" t="n"/>
      <c r="H364" s="841" t="n"/>
    </row>
    <row r="365">
      <c r="B365" s="837" t="n"/>
      <c r="C365" s="838" t="n"/>
      <c r="D365" s="840" t="n"/>
      <c r="E365" s="841" t="n"/>
      <c r="G365" s="840" t="n"/>
      <c r="H365" s="841" t="n"/>
    </row>
    <row r="366">
      <c r="B366" s="837" t="n"/>
      <c r="C366" s="838" t="n"/>
      <c r="D366" s="840" t="n"/>
      <c r="E366" s="841" t="n"/>
      <c r="G366" s="840" t="n"/>
      <c r="H366" s="841" t="n"/>
    </row>
    <row r="367">
      <c r="B367" s="837" t="n"/>
      <c r="C367" s="838" t="n"/>
      <c r="D367" s="840" t="n"/>
      <c r="E367" s="841" t="n"/>
      <c r="G367" s="840" t="n"/>
      <c r="H367" s="841" t="n"/>
    </row>
    <row r="368">
      <c r="B368" s="837" t="n"/>
      <c r="C368" s="838" t="n"/>
      <c r="D368" s="840" t="n"/>
      <c r="E368" s="841" t="n"/>
      <c r="G368" s="840" t="n"/>
      <c r="H368" s="841" t="n"/>
    </row>
    <row r="369">
      <c r="B369" s="837" t="n"/>
      <c r="C369" s="838" t="n"/>
      <c r="D369" s="840" t="n"/>
      <c r="E369" s="841" t="n"/>
      <c r="G369" s="840" t="n"/>
      <c r="H369" s="841" t="n"/>
    </row>
    <row r="370">
      <c r="B370" s="837" t="n"/>
      <c r="C370" s="838" t="n"/>
      <c r="D370" s="840" t="n"/>
      <c r="E370" s="841" t="n"/>
      <c r="G370" s="840" t="n"/>
      <c r="H370" s="841" t="n"/>
    </row>
    <row r="371">
      <c r="B371" s="837" t="n"/>
      <c r="C371" s="838" t="n"/>
      <c r="D371" s="840" t="n"/>
      <c r="E371" s="841" t="n"/>
      <c r="G371" s="840" t="n"/>
      <c r="H371" s="841" t="n"/>
    </row>
    <row r="372">
      <c r="B372" s="837" t="n"/>
      <c r="C372" s="838" t="n"/>
      <c r="D372" s="840" t="n"/>
      <c r="E372" s="841" t="n"/>
      <c r="G372" s="840" t="n"/>
      <c r="H372" s="841" t="n"/>
    </row>
    <row r="373">
      <c r="B373" s="837" t="n"/>
      <c r="C373" s="838" t="n"/>
      <c r="D373" s="840" t="n"/>
      <c r="E373" s="841" t="n"/>
      <c r="G373" s="840" t="n"/>
      <c r="H373" s="841" t="n"/>
    </row>
    <row r="374">
      <c r="B374" s="837" t="n"/>
      <c r="C374" s="838" t="n"/>
      <c r="D374" s="840" t="n"/>
      <c r="E374" s="841" t="n"/>
      <c r="G374" s="840" t="n"/>
      <c r="H374" s="841" t="n"/>
    </row>
    <row r="375">
      <c r="B375" s="837" t="n"/>
      <c r="C375" s="838" t="n"/>
      <c r="D375" s="840" t="n"/>
      <c r="E375" s="841" t="n"/>
      <c r="G375" s="840" t="n"/>
      <c r="H375" s="841" t="n"/>
    </row>
    <row r="376">
      <c r="B376" s="837" t="n"/>
      <c r="C376" s="838" t="n"/>
      <c r="D376" s="840" t="n"/>
      <c r="E376" s="841" t="n"/>
      <c r="G376" s="840" t="n"/>
      <c r="H376" s="841" t="n"/>
    </row>
    <row r="377">
      <c r="B377" s="837" t="n"/>
      <c r="C377" s="838" t="n"/>
      <c r="D377" s="840" t="n"/>
      <c r="E377" s="841" t="n"/>
      <c r="G377" s="840" t="n"/>
      <c r="H377" s="841" t="n"/>
    </row>
    <row r="378">
      <c r="B378" s="837" t="n"/>
      <c r="C378" s="838" t="n"/>
      <c r="D378" s="840" t="n"/>
      <c r="E378" s="841" t="n"/>
      <c r="G378" s="840" t="n"/>
      <c r="H378" s="841" t="n"/>
    </row>
    <row r="379">
      <c r="B379" s="837" t="n"/>
      <c r="C379" s="838" t="n"/>
      <c r="D379" s="840" t="n"/>
      <c r="E379" s="841" t="n"/>
      <c r="G379" s="840" t="n"/>
      <c r="H379" s="841" t="n"/>
    </row>
    <row r="380">
      <c r="B380" s="837" t="n"/>
      <c r="C380" s="838" t="n"/>
      <c r="D380" s="840" t="n"/>
      <c r="E380" s="841" t="n"/>
      <c r="G380" s="840" t="n"/>
      <c r="H380" s="841" t="n"/>
    </row>
    <row r="381">
      <c r="B381" s="837" t="n"/>
      <c r="C381" s="838" t="n"/>
      <c r="D381" s="840" t="n"/>
      <c r="E381" s="841" t="n"/>
      <c r="G381" s="840" t="n"/>
      <c r="H381" s="841" t="n"/>
    </row>
    <row r="382">
      <c r="B382" s="837" t="n"/>
      <c r="C382" s="838" t="n"/>
      <c r="D382" s="840" t="n"/>
      <c r="E382" s="841" t="n"/>
      <c r="G382" s="840" t="n"/>
      <c r="H382" s="841" t="n"/>
    </row>
    <row r="383">
      <c r="B383" s="837" t="n"/>
      <c r="C383" s="838" t="n"/>
      <c r="D383" s="840" t="n"/>
      <c r="E383" s="841" t="n"/>
      <c r="G383" s="840" t="n"/>
      <c r="H383" s="841" t="n"/>
    </row>
    <row r="384">
      <c r="B384" s="837" t="n"/>
      <c r="C384" s="838" t="n"/>
      <c r="D384" s="840" t="n"/>
      <c r="E384" s="841" t="n"/>
      <c r="G384" s="840" t="n"/>
      <c r="H384" s="841" t="n"/>
    </row>
    <row r="385">
      <c r="B385" s="837" t="n"/>
      <c r="C385" s="838" t="n"/>
      <c r="D385" s="840" t="n"/>
      <c r="E385" s="841" t="n"/>
      <c r="G385" s="840" t="n"/>
      <c r="H385" s="841" t="n"/>
    </row>
    <row r="386">
      <c r="B386" s="837" t="n"/>
      <c r="C386" s="838" t="n"/>
      <c r="D386" s="840" t="n"/>
      <c r="E386" s="841" t="n"/>
      <c r="G386" s="840" t="n"/>
      <c r="H386" s="841" t="n"/>
    </row>
    <row r="387">
      <c r="B387" s="837" t="n"/>
      <c r="C387" s="838" t="n"/>
      <c r="D387" s="840" t="n"/>
      <c r="E387" s="841" t="n"/>
      <c r="G387" s="840" t="n"/>
      <c r="H387" s="841" t="n"/>
    </row>
    <row r="388">
      <c r="B388" s="837" t="n"/>
      <c r="C388" s="838" t="n"/>
      <c r="D388" s="840" t="n"/>
      <c r="E388" s="840" t="n"/>
      <c r="F388" s="841" t="n"/>
      <c r="G388" s="840" t="n"/>
      <c r="H388" s="841" t="n"/>
    </row>
    <row r="389">
      <c r="B389" s="837" t="n"/>
      <c r="C389" s="838" t="n"/>
      <c r="D389" s="840" t="n"/>
      <c r="E389" s="840" t="n"/>
      <c r="F389" s="841" t="n"/>
      <c r="G389" s="840" t="n"/>
      <c r="H389" s="841" t="n"/>
    </row>
    <row r="390">
      <c r="B390" s="837" t="n"/>
      <c r="C390" s="838" t="n"/>
      <c r="D390" s="840" t="n"/>
      <c r="E390" s="840" t="n"/>
      <c r="F390" s="841" t="n"/>
      <c r="G390" s="840" t="n"/>
      <c r="H390" s="841" t="n"/>
    </row>
    <row r="391">
      <c r="B391" s="837" t="n"/>
      <c r="C391" s="838" t="n"/>
      <c r="D391" s="840" t="n"/>
      <c r="E391" s="840" t="n"/>
      <c r="F391" s="841" t="n"/>
      <c r="G391" s="840" t="n"/>
      <c r="H391" s="841" t="n"/>
    </row>
    <row r="392">
      <c r="B392" s="837" t="n"/>
      <c r="C392" s="838" t="n"/>
      <c r="D392" s="840" t="n"/>
      <c r="E392" s="840" t="n"/>
      <c r="F392" s="841" t="n"/>
      <c r="G392" s="840" t="n"/>
      <c r="H392" s="841" t="n"/>
    </row>
    <row r="393">
      <c r="B393" s="837" t="n"/>
      <c r="C393" s="838" t="n"/>
      <c r="D393" s="840" t="n"/>
      <c r="E393" s="840" t="n"/>
      <c r="F393" s="841" t="n"/>
      <c r="G393" s="840" t="n"/>
      <c r="H393" s="841" t="n"/>
    </row>
    <row r="394">
      <c r="B394" s="837" t="n"/>
      <c r="C394" s="838" t="n"/>
      <c r="D394" s="840" t="n"/>
      <c r="E394" s="840" t="n"/>
      <c r="F394" s="841" t="n"/>
      <c r="G394" s="840" t="n"/>
      <c r="H394" s="841" t="n"/>
    </row>
    <row r="395">
      <c r="B395" s="837" t="n"/>
      <c r="C395" s="838" t="n"/>
      <c r="D395" s="840" t="n"/>
      <c r="E395" s="840" t="n"/>
      <c r="F395" s="841" t="n"/>
      <c r="G395" s="840" t="n"/>
      <c r="H395" s="841" t="n"/>
    </row>
    <row r="396">
      <c r="B396" s="837" t="n"/>
      <c r="C396" s="838" t="n"/>
      <c r="D396" s="840" t="n"/>
      <c r="E396" s="840" t="n"/>
      <c r="F396" s="841" t="n"/>
      <c r="G396" s="840" t="n"/>
      <c r="H396" s="841" t="n"/>
    </row>
    <row r="397">
      <c r="B397" s="837" t="n"/>
      <c r="C397" s="838" t="n"/>
      <c r="D397" s="840" t="n"/>
      <c r="E397" s="840" t="n"/>
      <c r="F397" s="841" t="n"/>
      <c r="G397" s="840" t="n"/>
      <c r="H397" s="841" t="n"/>
    </row>
    <row r="398">
      <c r="B398" s="837" t="n"/>
      <c r="C398" s="838" t="n"/>
      <c r="D398" s="840" t="n"/>
      <c r="E398" s="840" t="n"/>
      <c r="F398" s="841" t="n"/>
      <c r="G398" s="840" t="n"/>
      <c r="H398" s="841" t="n"/>
    </row>
    <row r="399">
      <c r="B399" s="837" t="n"/>
      <c r="C399" s="838" t="n"/>
      <c r="D399" s="840" t="n"/>
      <c r="E399" s="840" t="n"/>
      <c r="F399" s="841" t="n"/>
      <c r="G399" s="840" t="n"/>
      <c r="H399" s="841" t="n"/>
    </row>
    <row r="400">
      <c r="B400" s="837" t="n"/>
      <c r="C400" s="838" t="n"/>
      <c r="D400" s="840" t="n"/>
      <c r="E400" s="841" t="n"/>
      <c r="G400" s="840" t="n"/>
      <c r="H400" s="841" t="n"/>
    </row>
    <row r="401">
      <c r="B401" s="837" t="n"/>
      <c r="C401" s="838" t="n"/>
      <c r="D401" s="840" t="n"/>
      <c r="E401" s="841" t="n"/>
      <c r="G401" s="840" t="n"/>
      <c r="H401" s="842" t="n"/>
    </row>
    <row r="402">
      <c r="B402" s="837" t="n"/>
      <c r="C402" s="838" t="n"/>
      <c r="D402" s="840" t="n"/>
      <c r="E402" s="841" t="n"/>
      <c r="G402" s="840" t="n"/>
      <c r="H402" s="841" t="n"/>
    </row>
    <row r="403">
      <c r="B403" s="837" t="n"/>
      <c r="C403" s="838" t="n"/>
      <c r="D403" s="840" t="n"/>
      <c r="E403" s="841" t="n"/>
      <c r="G403" s="840" t="n"/>
      <c r="H403" s="841" t="n"/>
    </row>
    <row r="404">
      <c r="B404" s="837" t="n"/>
      <c r="C404" s="838" t="n"/>
      <c r="D404" s="840" t="n"/>
      <c r="E404" s="841" t="n"/>
      <c r="G404" s="840" t="n"/>
      <c r="H404" s="841" t="n"/>
    </row>
    <row r="405">
      <c r="B405" s="837" t="n"/>
      <c r="C405" s="838" t="n"/>
      <c r="D405" s="840" t="n"/>
      <c r="E405" s="841" t="n"/>
      <c r="G405" s="840" t="n"/>
      <c r="H405" s="841" t="n"/>
    </row>
    <row r="406">
      <c r="B406" s="837" t="n"/>
      <c r="C406" s="838" t="n"/>
      <c r="D406" s="840" t="n"/>
      <c r="E406" s="841" t="n"/>
      <c r="G406" s="840" t="n"/>
      <c r="H406" s="841" t="n"/>
    </row>
    <row r="407">
      <c r="B407" s="837" t="n"/>
      <c r="C407" s="838" t="n"/>
      <c r="D407" s="840" t="n"/>
      <c r="E407" s="841" t="n"/>
      <c r="G407" s="840" t="n"/>
      <c r="H407" s="841" t="n"/>
    </row>
    <row r="408">
      <c r="B408" s="837" t="n"/>
      <c r="C408" s="838" t="n"/>
      <c r="D408" s="840" t="n"/>
      <c r="E408" s="840" t="n"/>
      <c r="G408" s="840" t="n"/>
      <c r="H408" s="841" t="n"/>
    </row>
    <row r="409">
      <c r="B409" s="837" t="n"/>
      <c r="C409" s="838" t="n"/>
      <c r="D409" s="840" t="n"/>
      <c r="E409" s="840" t="n"/>
      <c r="G409" s="840" t="n"/>
      <c r="H409" s="841" t="n"/>
    </row>
    <row r="410">
      <c r="B410" s="837" t="n"/>
      <c r="C410" s="838" t="n"/>
      <c r="D410" s="840" t="n"/>
      <c r="E410" s="840" t="n"/>
      <c r="G410" s="840" t="n"/>
      <c r="H410" s="841" t="n"/>
    </row>
    <row r="411">
      <c r="B411" s="837" t="n"/>
      <c r="C411" s="838" t="n"/>
      <c r="D411" s="840" t="n"/>
      <c r="E411" s="840" t="n"/>
      <c r="G411" s="840" t="n"/>
      <c r="H411" s="841" t="n"/>
    </row>
    <row r="412">
      <c r="B412" s="837" t="n"/>
      <c r="C412" s="838" t="n"/>
      <c r="D412" s="840" t="n"/>
      <c r="E412" s="840" t="n"/>
      <c r="G412" s="840" t="n"/>
      <c r="H412" s="841" t="n"/>
    </row>
    <row r="413">
      <c r="B413" s="837" t="n"/>
      <c r="C413" s="838" t="n"/>
      <c r="D413" s="840" t="n"/>
      <c r="E413" s="840" t="n"/>
      <c r="G413" s="840" t="n"/>
      <c r="H413" s="841" t="n"/>
    </row>
    <row r="414">
      <c r="B414" s="837" t="n"/>
      <c r="C414" s="838" t="n"/>
      <c r="D414" s="840" t="n"/>
      <c r="E414" s="840" t="n"/>
      <c r="G414" s="840" t="n"/>
      <c r="H414" s="841" t="n"/>
    </row>
    <row r="415">
      <c r="B415" s="837" t="n"/>
      <c r="C415" s="838" t="n"/>
      <c r="D415" s="840" t="n"/>
      <c r="E415" s="840" t="n"/>
      <c r="G415" s="840" t="n"/>
      <c r="H415" s="841" t="n"/>
    </row>
    <row r="416">
      <c r="B416" s="837" t="n"/>
      <c r="C416" s="838" t="n"/>
      <c r="D416" s="840" t="n"/>
      <c r="E416" s="840" t="n"/>
      <c r="G416" s="840" t="n"/>
      <c r="H416" s="841" t="n"/>
    </row>
    <row r="417">
      <c r="B417" s="837" t="n"/>
      <c r="C417" s="838" t="n"/>
      <c r="D417" s="840" t="n"/>
      <c r="E417" s="840" t="n"/>
      <c r="G417" s="840" t="n"/>
      <c r="H417" s="841" t="n"/>
    </row>
    <row r="418">
      <c r="B418" s="837" t="n"/>
      <c r="C418" s="838" t="n"/>
      <c r="D418" s="840" t="n"/>
      <c r="E418" s="841" t="n"/>
      <c r="G418" s="840" t="n"/>
      <c r="H418" s="841" t="n"/>
    </row>
    <row r="419">
      <c r="B419" s="837" t="n"/>
      <c r="C419" s="838" t="n"/>
      <c r="D419" s="840" t="n"/>
      <c r="E419" s="841" t="n"/>
      <c r="G419" s="840" t="n"/>
      <c r="H419" s="841" t="n"/>
    </row>
    <row r="420">
      <c r="B420" s="837" t="n"/>
      <c r="C420" s="838" t="n"/>
      <c r="D420" s="840" t="n"/>
      <c r="E420" s="841" t="n"/>
      <c r="G420" s="840" t="n"/>
      <c r="H420" s="841" t="n"/>
    </row>
    <row r="421">
      <c r="B421" s="837" t="n"/>
      <c r="C421" s="838" t="n"/>
      <c r="D421" s="840" t="n"/>
      <c r="E421" s="841" t="n"/>
      <c r="G421" s="840" t="n"/>
      <c r="H421" s="841" t="n"/>
    </row>
    <row r="422">
      <c r="B422" s="837" t="n"/>
      <c r="C422" s="838" t="n"/>
      <c r="D422" s="840" t="n"/>
      <c r="E422" s="841" t="n"/>
      <c r="G422" s="840" t="n"/>
      <c r="H422" s="841" t="n"/>
    </row>
    <row r="423">
      <c r="B423" s="837" t="n"/>
      <c r="C423" s="838" t="n"/>
      <c r="D423" s="840" t="n"/>
      <c r="E423" s="841" t="n"/>
      <c r="G423" s="840" t="n"/>
      <c r="H423" s="841" t="n"/>
    </row>
    <row r="424">
      <c r="B424" s="837" t="n"/>
      <c r="C424" s="838" t="n"/>
      <c r="D424" s="840" t="n"/>
      <c r="E424" s="841" t="n"/>
      <c r="G424" s="840" t="n"/>
      <c r="H424" s="841" t="n"/>
    </row>
    <row r="425">
      <c r="B425" s="837" t="n"/>
      <c r="C425" s="838" t="n"/>
      <c r="D425" s="840" t="n"/>
      <c r="E425" s="841" t="n"/>
      <c r="G425" s="840" t="n"/>
      <c r="H425" s="841" t="n"/>
    </row>
    <row r="426">
      <c r="B426" s="837" t="n"/>
      <c r="C426" s="838" t="n"/>
      <c r="D426" s="840" t="n"/>
      <c r="E426" s="841" t="n"/>
      <c r="G426" s="840" t="n"/>
      <c r="H426" s="841" t="n"/>
    </row>
    <row r="427">
      <c r="B427" s="837" t="n"/>
      <c r="C427" s="838" t="n"/>
      <c r="D427" s="840" t="n"/>
      <c r="E427" s="841" t="n"/>
      <c r="G427" s="840" t="n"/>
      <c r="H427" s="841" t="n"/>
    </row>
    <row r="428">
      <c r="B428" s="837" t="n"/>
      <c r="C428" s="838" t="n"/>
      <c r="D428" s="840" t="n"/>
      <c r="E428" s="841" t="n"/>
      <c r="G428" s="840" t="n"/>
      <c r="H428" s="841" t="n"/>
    </row>
    <row r="429">
      <c r="B429" s="837" t="n"/>
      <c r="C429" s="838" t="n"/>
      <c r="D429" s="840" t="n"/>
      <c r="E429" s="841" t="n"/>
      <c r="G429" s="840" t="n"/>
      <c r="H429" s="841" t="n"/>
    </row>
    <row r="430">
      <c r="B430" s="837" t="n"/>
      <c r="C430" s="838" t="n"/>
      <c r="D430" s="840" t="n"/>
      <c r="E430" s="841" t="n"/>
      <c r="G430" s="840" t="n"/>
      <c r="H430" s="841" t="n"/>
    </row>
    <row r="431">
      <c r="B431" s="837" t="n"/>
      <c r="C431" s="838" t="n"/>
      <c r="D431" s="840" t="n"/>
      <c r="E431" s="841" t="n"/>
      <c r="G431" s="840" t="n"/>
      <c r="H431" s="841" t="n"/>
    </row>
    <row r="432">
      <c r="B432" s="837" t="n"/>
      <c r="C432" s="838" t="n"/>
      <c r="D432" s="840" t="n"/>
      <c r="E432" s="841" t="n"/>
      <c r="G432" s="840" t="n"/>
      <c r="H432" s="841" t="n"/>
    </row>
    <row r="433">
      <c r="B433" s="837" t="n"/>
      <c r="C433" s="838" t="n"/>
      <c r="D433" s="840" t="n"/>
      <c r="E433" s="841" t="n"/>
      <c r="G433" s="840" t="n"/>
      <c r="H433" s="841" t="n"/>
    </row>
    <row r="434">
      <c r="B434" s="837" t="n"/>
      <c r="C434" s="838" t="n"/>
      <c r="D434" s="840" t="n"/>
      <c r="E434" s="841" t="n"/>
      <c r="G434" s="840" t="n"/>
      <c r="H434" s="841" t="n"/>
    </row>
    <row r="435">
      <c r="B435" s="837" t="n"/>
      <c r="C435" s="838" t="n"/>
      <c r="D435" s="840" t="n"/>
      <c r="E435" s="841" t="n"/>
      <c r="G435" s="840" t="n"/>
      <c r="H435" s="841" t="n"/>
    </row>
    <row r="436">
      <c r="B436" s="837" t="n"/>
      <c r="C436" s="838" t="n"/>
      <c r="D436" s="840" t="n"/>
      <c r="E436" s="840" t="n"/>
      <c r="G436" s="840" t="n"/>
      <c r="H436" s="840" t="n"/>
    </row>
    <row r="437">
      <c r="B437" s="837" t="n"/>
      <c r="C437" s="838" t="n"/>
      <c r="D437" s="840" t="n"/>
      <c r="E437" s="840" t="n"/>
      <c r="G437" s="840" t="n"/>
      <c r="H437" s="840" t="n"/>
    </row>
    <row r="438">
      <c r="B438" s="837" t="n"/>
      <c r="C438" s="838" t="n"/>
      <c r="D438" s="840" t="n"/>
      <c r="E438" s="840" t="n"/>
      <c r="G438" s="840" t="n"/>
      <c r="H438" s="840" t="n"/>
    </row>
    <row r="439">
      <c r="B439" s="837" t="n"/>
      <c r="C439" s="838" t="n"/>
      <c r="D439" s="840" t="n"/>
      <c r="E439" s="840" t="n"/>
      <c r="G439" s="840" t="n"/>
      <c r="H439" s="840" t="n"/>
    </row>
    <row r="440">
      <c r="B440" s="837" t="n"/>
      <c r="C440" s="838" t="n"/>
      <c r="D440" s="840" t="n"/>
      <c r="E440" s="840" t="n"/>
      <c r="G440" s="840" t="n"/>
      <c r="H440" s="840" t="n"/>
    </row>
    <row r="441">
      <c r="B441" s="837" t="n"/>
      <c r="C441" s="838" t="n"/>
      <c r="D441" s="840" t="n"/>
      <c r="E441" s="840" t="n"/>
      <c r="G441" s="840" t="n"/>
      <c r="H441" s="840" t="n"/>
    </row>
    <row r="442">
      <c r="B442" s="837" t="n"/>
      <c r="C442" s="838" t="n"/>
      <c r="D442" s="840" t="n"/>
      <c r="E442" s="840" t="n"/>
      <c r="G442" s="840" t="n"/>
      <c r="H442" s="840" t="n"/>
    </row>
    <row r="443">
      <c r="B443" s="837" t="n"/>
      <c r="C443" s="838" t="n"/>
      <c r="D443" s="840" t="n"/>
      <c r="E443" s="840" t="n"/>
      <c r="G443" s="840" t="n"/>
      <c r="H443" s="840" t="n"/>
    </row>
    <row r="444">
      <c r="B444" s="837" t="n"/>
      <c r="C444" s="838" t="n"/>
      <c r="D444" s="840" t="n"/>
      <c r="E444" s="840" t="n"/>
      <c r="G444" s="840" t="n"/>
      <c r="H444" s="840" t="n"/>
    </row>
    <row r="445">
      <c r="B445" s="837" t="n"/>
      <c r="C445" s="838" t="n"/>
      <c r="D445" s="840" t="n"/>
      <c r="E445" s="840" t="n"/>
      <c r="G445" s="840" t="n"/>
      <c r="H445" s="840" t="n"/>
    </row>
    <row r="446">
      <c r="B446" s="837" t="n"/>
      <c r="C446" s="838" t="n"/>
      <c r="D446" s="840" t="n"/>
      <c r="E446" s="840" t="n"/>
      <c r="G446" s="840" t="n"/>
      <c r="H446" s="840" t="n"/>
    </row>
    <row r="447">
      <c r="B447" s="837" t="n"/>
      <c r="C447" s="838" t="n"/>
      <c r="D447" s="840" t="n"/>
      <c r="E447" s="840" t="n"/>
      <c r="G447" s="840" t="n"/>
      <c r="H447" s="840" t="n"/>
    </row>
    <row r="448">
      <c r="B448" s="837" t="n"/>
      <c r="C448" s="838" t="n"/>
      <c r="D448" s="840" t="n"/>
      <c r="E448" s="840" t="n"/>
      <c r="G448" s="840" t="n"/>
      <c r="H448" s="840" t="n"/>
    </row>
    <row r="449">
      <c r="B449" s="837" t="n"/>
      <c r="C449" s="838" t="n"/>
      <c r="D449" s="840" t="n"/>
      <c r="E449" s="840" t="n"/>
      <c r="G449" s="840" t="n"/>
      <c r="H449" s="840" t="n"/>
    </row>
    <row r="450">
      <c r="B450" s="837" t="n"/>
      <c r="C450" s="838" t="n"/>
      <c r="D450" s="840" t="n"/>
      <c r="E450" s="840" t="n"/>
      <c r="G450" s="840" t="n"/>
      <c r="H450" s="840" t="n"/>
    </row>
    <row r="451">
      <c r="B451" s="837" t="n"/>
      <c r="C451" s="838" t="n"/>
      <c r="D451" s="840" t="n"/>
      <c r="E451" s="840" t="n"/>
      <c r="G451" s="840" t="n"/>
      <c r="H451" s="840" t="n"/>
    </row>
    <row r="452">
      <c r="B452" s="837" t="n"/>
      <c r="C452" s="838" t="n"/>
      <c r="D452" s="840" t="n"/>
      <c r="E452" s="840" t="n"/>
      <c r="G452" s="840" t="n"/>
      <c r="H452" s="840" t="n"/>
    </row>
    <row r="453">
      <c r="B453" s="837" t="n"/>
      <c r="C453" s="838" t="n"/>
      <c r="D453" s="840" t="n"/>
      <c r="E453" s="840" t="n"/>
      <c r="G453" s="840" t="n"/>
      <c r="H453" s="840" t="n"/>
    </row>
    <row r="454">
      <c r="B454" s="837" t="n"/>
      <c r="C454" s="838" t="n"/>
      <c r="D454" s="840" t="n"/>
      <c r="E454" s="840" t="n"/>
      <c r="G454" s="840" t="n"/>
      <c r="H454" s="840" t="n"/>
    </row>
    <row r="455">
      <c r="B455" s="837" t="n"/>
      <c r="C455" s="838" t="n"/>
      <c r="D455" s="840" t="n"/>
      <c r="E455" s="841" t="n"/>
      <c r="G455" s="840" t="n"/>
      <c r="H455" s="840" t="n"/>
    </row>
    <row r="456">
      <c r="B456" s="837" t="n"/>
      <c r="C456" s="838" t="n"/>
      <c r="D456" s="840" t="n"/>
      <c r="E456" s="841" t="n"/>
      <c r="G456" s="840" t="n"/>
      <c r="H456" s="840" t="n"/>
    </row>
    <row r="457">
      <c r="B457" s="837" t="n"/>
      <c r="C457" s="838" t="n"/>
      <c r="D457" s="840" t="n"/>
      <c r="E457" s="841" t="n"/>
      <c r="G457" s="840" t="n"/>
      <c r="H457" s="840" t="n"/>
    </row>
    <row r="458">
      <c r="B458" s="837" t="n"/>
      <c r="C458" s="838" t="n"/>
      <c r="D458" s="840" t="n"/>
      <c r="E458" s="841" t="n"/>
      <c r="G458" s="840" t="n"/>
      <c r="H458" s="840" t="n"/>
    </row>
    <row r="459">
      <c r="B459" s="837" t="n"/>
      <c r="C459" s="838" t="n"/>
      <c r="D459" s="840" t="n"/>
      <c r="E459" s="841" t="n"/>
      <c r="G459" s="840" t="n"/>
      <c r="H459" s="840" t="n"/>
    </row>
    <row r="460">
      <c r="B460" s="837" t="n"/>
      <c r="C460" s="838" t="n"/>
      <c r="D460" s="840" t="n"/>
      <c r="E460" s="841" t="n"/>
      <c r="G460" s="840" t="n"/>
      <c r="H460" s="840" t="n"/>
    </row>
    <row r="461">
      <c r="B461" s="837" t="n"/>
      <c r="C461" s="838" t="n"/>
      <c r="D461" s="840" t="n"/>
      <c r="E461" s="841" t="n"/>
      <c r="G461" s="840" t="n"/>
      <c r="H461" s="840" t="n"/>
    </row>
    <row r="462">
      <c r="B462" s="837" t="n"/>
      <c r="C462" s="838" t="n"/>
      <c r="D462" s="840" t="n"/>
      <c r="E462" s="841" t="n"/>
      <c r="G462" s="840" t="n"/>
      <c r="H462" s="840" t="n"/>
    </row>
    <row r="463">
      <c r="B463" s="837" t="n"/>
      <c r="C463" s="838" t="n"/>
      <c r="D463" s="840" t="n"/>
      <c r="E463" s="841" t="n"/>
      <c r="G463" s="840" t="n"/>
      <c r="H463" s="840" t="n"/>
    </row>
    <row r="464">
      <c r="B464" s="837" t="n"/>
      <c r="C464" s="838" t="n"/>
      <c r="D464" s="840" t="n"/>
      <c r="E464" s="841" t="n"/>
      <c r="G464" s="840" t="n"/>
      <c r="H464" s="840" t="n"/>
    </row>
    <row r="465">
      <c r="B465" s="837" t="n"/>
      <c r="C465" s="838" t="n"/>
      <c r="D465" s="840" t="n"/>
      <c r="E465" s="841" t="n"/>
      <c r="G465" s="840" t="n"/>
      <c r="H465" s="840" t="n"/>
    </row>
    <row r="466">
      <c r="B466" s="837" t="n"/>
      <c r="C466" s="838" t="n"/>
      <c r="D466" s="840" t="n"/>
      <c r="E466" s="841" t="n"/>
      <c r="G466" s="840" t="n"/>
      <c r="H466" s="840" t="n"/>
    </row>
    <row r="467">
      <c r="B467" s="837" t="n"/>
      <c r="C467" s="838" t="n"/>
      <c r="D467" s="840" t="n"/>
      <c r="E467" s="841" t="n"/>
      <c r="G467" s="840" t="n"/>
      <c r="H467" s="841" t="n"/>
    </row>
    <row r="468">
      <c r="B468" s="837" t="n"/>
      <c r="C468" s="838" t="n"/>
      <c r="D468" s="840" t="n"/>
      <c r="E468" s="841" t="n"/>
      <c r="G468" s="840" t="n"/>
      <c r="H468" s="841" t="n"/>
    </row>
    <row r="469">
      <c r="B469" s="837" t="n"/>
      <c r="C469" s="838" t="n"/>
      <c r="D469" s="840" t="n"/>
      <c r="E469" s="841" t="n"/>
      <c r="G469" s="840" t="n"/>
      <c r="H469" s="841" t="n"/>
    </row>
    <row r="470">
      <c r="B470" s="837" t="n"/>
      <c r="C470" s="838" t="n"/>
      <c r="D470" s="840" t="n"/>
      <c r="E470" s="841" t="n"/>
      <c r="G470" s="840" t="n"/>
      <c r="H470" s="841" t="n"/>
    </row>
    <row r="471">
      <c r="B471" s="837" t="n"/>
      <c r="C471" s="838" t="n"/>
      <c r="D471" s="840" t="n"/>
      <c r="E471" s="841" t="n"/>
      <c r="G471" s="840" t="n"/>
      <c r="H471" s="841" t="n"/>
    </row>
    <row r="472">
      <c r="B472" s="837" t="n"/>
      <c r="C472" s="838" t="n"/>
      <c r="D472" s="840" t="n"/>
      <c r="E472" s="841" t="n"/>
      <c r="G472" s="840" t="n"/>
      <c r="H472" s="841" t="n"/>
    </row>
    <row r="473">
      <c r="B473" s="837" t="n"/>
      <c r="C473" s="838" t="n"/>
      <c r="D473" s="840" t="n"/>
      <c r="E473" s="841" t="n"/>
      <c r="G473" s="840" t="n"/>
      <c r="H473" s="841" t="n"/>
    </row>
    <row r="474">
      <c r="B474" s="837" t="n"/>
      <c r="C474" s="838" t="n"/>
      <c r="D474" s="840" t="n"/>
      <c r="E474" s="841" t="n"/>
      <c r="G474" s="840" t="n"/>
      <c r="H474" s="841" t="n"/>
    </row>
    <row r="475">
      <c r="B475" s="837" t="n"/>
      <c r="C475" s="838" t="n"/>
      <c r="D475" s="840" t="n"/>
      <c r="E475" s="841" t="n"/>
      <c r="G475" s="840" t="n"/>
      <c r="H475" s="841" t="n"/>
    </row>
    <row r="476">
      <c r="B476" s="837" t="n"/>
      <c r="C476" s="838" t="n"/>
      <c r="D476" s="840" t="n"/>
      <c r="E476" s="841" t="n"/>
      <c r="G476" s="840" t="n"/>
      <c r="H476" s="841" t="n"/>
    </row>
    <row r="477">
      <c r="B477" s="837" t="n"/>
      <c r="C477" s="838" t="n"/>
      <c r="D477" s="840" t="n"/>
      <c r="E477" s="841" t="n"/>
      <c r="G477" s="840" t="n"/>
      <c r="H477" s="841" t="n"/>
    </row>
    <row r="478">
      <c r="B478" s="837" t="n"/>
      <c r="C478" s="838" t="n"/>
      <c r="D478" s="840" t="n"/>
      <c r="E478" s="841" t="n"/>
      <c r="G478" s="840" t="n"/>
      <c r="H478" s="841" t="n"/>
    </row>
    <row r="479">
      <c r="B479" s="837" t="n"/>
      <c r="C479" s="838" t="n"/>
      <c r="D479" s="840" t="n"/>
      <c r="E479" s="841" t="n"/>
      <c r="G479" s="840" t="n"/>
      <c r="H479" s="841" t="n"/>
    </row>
    <row r="480">
      <c r="B480" s="837" t="n"/>
      <c r="C480" s="838" t="n"/>
      <c r="D480" s="840" t="n"/>
      <c r="E480" s="841" t="n"/>
      <c r="G480" s="840" t="n"/>
      <c r="H480" s="841" t="n"/>
    </row>
    <row r="481">
      <c r="B481" s="837" t="n"/>
      <c r="C481" s="838" t="n"/>
      <c r="D481" s="840" t="n"/>
      <c r="E481" s="841" t="n"/>
      <c r="G481" s="840" t="n"/>
      <c r="H481" s="841" t="n"/>
    </row>
    <row r="482">
      <c r="B482" s="837" t="n"/>
      <c r="C482" s="838" t="n"/>
      <c r="D482" s="840" t="n"/>
      <c r="E482" s="841" t="n"/>
      <c r="G482" s="840" t="n"/>
      <c r="H482" s="841" t="n"/>
    </row>
    <row r="483">
      <c r="B483" s="837" t="n"/>
      <c r="C483" s="838" t="n"/>
      <c r="D483" s="840" t="n"/>
      <c r="E483" s="841" t="n"/>
      <c r="G483" s="840" t="n"/>
      <c r="H483" s="841" t="n"/>
    </row>
    <row r="484">
      <c r="B484" s="837" t="n"/>
      <c r="C484" s="838" t="n"/>
      <c r="D484" s="840" t="n"/>
      <c r="E484" s="841" t="n"/>
      <c r="G484" s="840" t="n"/>
      <c r="H484" s="841" t="n"/>
    </row>
    <row r="485">
      <c r="B485" s="837" t="n"/>
      <c r="C485" s="838" t="n"/>
      <c r="D485" s="840" t="n"/>
      <c r="E485" s="841" t="n"/>
      <c r="G485" s="840" t="n"/>
      <c r="H485" s="841" t="n"/>
    </row>
    <row r="486">
      <c r="B486" s="837" t="n"/>
      <c r="C486" s="838" t="n"/>
      <c r="D486" s="840" t="n"/>
      <c r="E486" s="841" t="n"/>
      <c r="G486" s="840" t="n"/>
      <c r="H486" s="841" t="n"/>
    </row>
    <row r="487">
      <c r="B487" s="837" t="n"/>
      <c r="C487" s="838" t="n"/>
      <c r="D487" s="840" t="n"/>
      <c r="E487" s="841" t="n"/>
      <c r="G487" s="840" t="n"/>
      <c r="H487" s="841" t="n"/>
    </row>
    <row r="488">
      <c r="B488" s="837" t="n"/>
      <c r="C488" s="838" t="n"/>
      <c r="D488" s="840" t="n"/>
      <c r="E488" s="841" t="n"/>
      <c r="G488" s="840" t="n"/>
      <c r="H488" s="841" t="n"/>
    </row>
    <row r="489">
      <c r="B489" s="837" t="n"/>
      <c r="C489" s="838" t="n"/>
      <c r="D489" s="840" t="n"/>
      <c r="E489" s="841" t="n"/>
      <c r="G489" s="840" t="n"/>
      <c r="H489" s="841" t="n"/>
    </row>
    <row r="490">
      <c r="B490" s="837" t="n"/>
      <c r="C490" s="838" t="n"/>
      <c r="D490" s="840" t="n"/>
      <c r="E490" s="841" t="n"/>
      <c r="G490" s="840" t="n"/>
      <c r="H490" s="841" t="n"/>
    </row>
    <row r="491">
      <c r="B491" s="837" t="n"/>
      <c r="C491" s="838" t="n"/>
      <c r="D491" s="840" t="n"/>
      <c r="E491" s="841" t="n"/>
      <c r="G491" s="840" t="n"/>
      <c r="H491" s="841" t="n"/>
    </row>
    <row r="492">
      <c r="B492" s="837" t="n"/>
      <c r="C492" s="838" t="n"/>
      <c r="D492" s="840" t="n"/>
      <c r="E492" s="841" t="n"/>
      <c r="G492" s="840" t="n"/>
      <c r="H492" s="841" t="n"/>
    </row>
    <row r="493">
      <c r="B493" s="837" t="n"/>
      <c r="C493" s="838" t="n"/>
      <c r="D493" s="840" t="n"/>
      <c r="E493" s="841" t="n"/>
      <c r="G493" s="840" t="n"/>
      <c r="H493" s="841" t="n"/>
    </row>
    <row r="494">
      <c r="B494" s="837" t="n"/>
      <c r="C494" s="838" t="n"/>
      <c r="D494" s="840" t="n"/>
      <c r="E494" s="841" t="n"/>
      <c r="G494" s="840" t="n"/>
      <c r="H494" s="841" t="n"/>
    </row>
    <row r="495">
      <c r="B495" s="837" t="n"/>
      <c r="C495" s="838" t="n"/>
      <c r="G495" s="840" t="n"/>
      <c r="H495" s="841" t="n"/>
    </row>
    <row r="496">
      <c r="B496" s="837" t="n"/>
      <c r="C496" s="838" t="n"/>
      <c r="G496" s="840" t="n"/>
      <c r="H496" s="841" t="n"/>
    </row>
    <row r="497">
      <c r="B497" s="837" t="n"/>
      <c r="C497" s="838" t="n"/>
      <c r="G497" s="840" t="n"/>
      <c r="H497" s="841" t="n"/>
    </row>
    <row r="498">
      <c r="B498" s="837" t="n"/>
      <c r="C498" s="838" t="n"/>
      <c r="G498" s="840" t="n"/>
      <c r="H498" s="841" t="n"/>
    </row>
    <row r="499">
      <c r="B499" s="837" t="n"/>
      <c r="C499" s="838" t="n"/>
      <c r="G499" s="840" t="n"/>
      <c r="H499" s="841" t="n"/>
    </row>
    <row r="500">
      <c r="B500" s="837" t="n"/>
      <c r="C500" s="838" t="n"/>
      <c r="G500" s="840" t="n"/>
      <c r="H500" s="841" t="n"/>
    </row>
    <row r="501">
      <c r="B501" s="837" t="n"/>
      <c r="C501" s="838" t="n"/>
      <c r="G501" s="840" t="n"/>
      <c r="H501" s="841" t="n"/>
    </row>
    <row r="502">
      <c r="B502" s="837" t="n"/>
      <c r="C502" s="838" t="n"/>
      <c r="G502" s="840" t="n"/>
      <c r="H502" s="841" t="n"/>
    </row>
    <row r="503">
      <c r="B503" s="837" t="n"/>
      <c r="C503" s="838" t="n"/>
      <c r="G503" s="840" t="n"/>
      <c r="H503" s="841" t="n"/>
    </row>
    <row r="504">
      <c r="B504" s="837" t="n"/>
      <c r="C504" s="838" t="n"/>
      <c r="G504" s="840" t="n"/>
      <c r="H504" s="841" t="n"/>
    </row>
    <row r="505">
      <c r="B505" s="837" t="n"/>
      <c r="C505" s="838" t="n"/>
      <c r="G505" s="840" t="n"/>
      <c r="H505" s="841" t="n"/>
    </row>
    <row r="506">
      <c r="B506" s="837" t="n"/>
      <c r="C506" s="838" t="n"/>
      <c r="G506" s="840" t="n"/>
      <c r="H506" s="841" t="n"/>
    </row>
    <row r="507">
      <c r="B507" s="837" t="n"/>
      <c r="C507" s="838" t="n"/>
      <c r="G507" s="840" t="n"/>
      <c r="H507" s="841" t="n"/>
    </row>
    <row r="508">
      <c r="B508" s="837" t="n"/>
      <c r="C508" s="838" t="n"/>
      <c r="G508" s="840" t="n"/>
      <c r="H508" s="841" t="n"/>
    </row>
    <row r="509">
      <c r="B509" s="837" t="n"/>
      <c r="C509" s="838" t="n"/>
      <c r="G509" s="840" t="n"/>
      <c r="H509" s="841" t="n"/>
    </row>
    <row r="510">
      <c r="B510" s="837" t="n"/>
      <c r="C510" s="838" t="n"/>
      <c r="G510" s="840" t="n"/>
      <c r="H510" s="841" t="n"/>
    </row>
    <row r="511">
      <c r="B511" s="837" t="n"/>
      <c r="C511" s="838" t="n"/>
      <c r="G511" s="840" t="n"/>
      <c r="H511" s="841" t="n"/>
    </row>
    <row r="512">
      <c r="B512" s="837" t="n"/>
      <c r="C512" s="838" t="n"/>
      <c r="G512" s="840" t="n"/>
      <c r="H512" s="841" t="n"/>
    </row>
    <row r="513">
      <c r="B513" s="837" t="n"/>
      <c r="C513" s="838" t="n"/>
      <c r="G513" s="840" t="n"/>
      <c r="H513" s="841" t="n"/>
    </row>
    <row r="514">
      <c r="B514" s="837" t="n"/>
      <c r="C514" s="838" t="n"/>
      <c r="G514" s="840" t="n"/>
      <c r="H514" s="841" t="n"/>
    </row>
    <row r="515">
      <c r="B515" s="837" t="n"/>
      <c r="C515" s="838" t="n"/>
      <c r="G515" s="840" t="n"/>
      <c r="H515" s="841" t="n"/>
    </row>
    <row r="516">
      <c r="B516" s="837" t="n"/>
      <c r="C516" s="838" t="n"/>
      <c r="G516" s="840" t="n"/>
      <c r="H516" s="841" t="n"/>
    </row>
    <row r="517">
      <c r="B517" s="837" t="n"/>
      <c r="C517" s="838" t="n"/>
      <c r="G517" s="840" t="n"/>
      <c r="H517" s="841" t="n"/>
    </row>
    <row r="518">
      <c r="B518" s="837" t="n"/>
      <c r="C518" s="838" t="n"/>
      <c r="G518" s="840" t="n"/>
      <c r="H518" s="841" t="n"/>
    </row>
    <row r="519">
      <c r="B519" s="837" t="n"/>
      <c r="C519" s="838" t="n"/>
      <c r="G519" s="840" t="n"/>
      <c r="H519" s="841" t="n"/>
    </row>
    <row r="520">
      <c r="B520" s="837" t="n"/>
      <c r="C520" s="838" t="n"/>
      <c r="G520" s="840" t="n"/>
      <c r="H520" s="841" t="n"/>
    </row>
    <row r="521">
      <c r="B521" s="837" t="n"/>
      <c r="C521" s="838" t="n"/>
      <c r="G521" s="840" t="n"/>
      <c r="H521" s="841" t="n"/>
    </row>
    <row r="522">
      <c r="B522" s="837" t="n"/>
      <c r="C522" s="838" t="n"/>
      <c r="G522" s="840" t="n"/>
      <c r="H522" s="841" t="n"/>
    </row>
    <row r="523">
      <c r="B523" s="837" t="n"/>
      <c r="C523" s="838" t="n"/>
      <c r="G523" s="840" t="n"/>
      <c r="H523" s="841" t="n"/>
    </row>
    <row r="524">
      <c r="B524" s="837" t="n"/>
      <c r="C524" s="838" t="n"/>
      <c r="G524" s="840" t="n"/>
      <c r="H524" s="841" t="n"/>
    </row>
    <row r="525">
      <c r="B525" s="837" t="n"/>
      <c r="C525" s="838" t="n"/>
      <c r="G525" s="840" t="n"/>
      <c r="H525" s="841" t="n"/>
    </row>
    <row r="526">
      <c r="B526" s="837" t="n"/>
      <c r="C526" s="838" t="n"/>
      <c r="G526" s="840" t="n"/>
      <c r="H526" s="841" t="n"/>
    </row>
    <row r="527">
      <c r="B527" s="837" t="n"/>
      <c r="C527" s="838" t="n"/>
      <c r="G527" s="840" t="n"/>
      <c r="H527" s="841" t="n"/>
    </row>
    <row r="528">
      <c r="B528" s="837" t="n"/>
      <c r="C528" s="838" t="n"/>
      <c r="G528" s="840" t="n"/>
      <c r="H528" s="841" t="n"/>
    </row>
    <row r="529">
      <c r="B529" s="837" t="n"/>
      <c r="C529" s="838" t="n"/>
      <c r="G529" s="840" t="n"/>
      <c r="H529" s="841" t="n"/>
    </row>
    <row r="530">
      <c r="B530" s="837" t="n"/>
      <c r="C530" s="838" t="n"/>
      <c r="G530" s="840" t="n"/>
      <c r="H530" s="841" t="n"/>
    </row>
    <row r="531">
      <c r="B531" s="837" t="n"/>
      <c r="C531" s="838" t="n"/>
      <c r="G531" s="840" t="n"/>
      <c r="H531" s="841" t="n"/>
    </row>
    <row r="532">
      <c r="B532" s="837" t="n"/>
      <c r="C532" s="838" t="n"/>
      <c r="G532" s="840" t="n"/>
      <c r="H532" s="841" t="n"/>
    </row>
    <row r="533">
      <c r="B533" s="837" t="n"/>
      <c r="C533" s="838" t="n"/>
      <c r="G533" s="840" t="n"/>
      <c r="H533" s="841" t="n"/>
    </row>
    <row r="534">
      <c r="B534" s="837" t="n"/>
      <c r="C534" s="838" t="n"/>
      <c r="G534" s="840" t="n"/>
      <c r="H534" s="841" t="n"/>
    </row>
    <row r="535">
      <c r="B535" s="837" t="n"/>
      <c r="C535" s="838" t="n"/>
    </row>
    <row r="536">
      <c r="B536" s="837" t="n"/>
      <c r="C536" s="838" t="n"/>
    </row>
    <row r="537">
      <c r="B537" s="837" t="n"/>
      <c r="C537" s="838" t="n"/>
    </row>
    <row r="538">
      <c r="B538" s="837" t="n"/>
      <c r="C538" s="838" t="n"/>
    </row>
    <row r="539">
      <c r="B539" s="837" t="n"/>
      <c r="C539" s="838" t="n"/>
    </row>
    <row r="540">
      <c r="B540" s="837" t="n"/>
      <c r="C540" s="838" t="n"/>
    </row>
    <row r="541">
      <c r="B541" s="837" t="n"/>
      <c r="C541" s="838" t="n"/>
    </row>
    <row r="542">
      <c r="B542" s="837" t="n"/>
      <c r="C542" s="838" t="n"/>
    </row>
    <row r="543">
      <c r="B543" s="837" t="n"/>
      <c r="C543" s="838" t="n"/>
    </row>
    <row r="544">
      <c r="B544" s="837" t="n"/>
      <c r="C544" s="838" t="n"/>
    </row>
    <row r="545">
      <c r="B545" s="837" t="n"/>
      <c r="C545" s="838" t="n"/>
    </row>
    <row r="546">
      <c r="B546" s="837" t="n"/>
      <c r="C546" s="838" t="n"/>
    </row>
    <row r="547">
      <c r="B547" s="837" t="n"/>
      <c r="C547" s="838" t="n"/>
    </row>
    <row r="548">
      <c r="B548" s="837" t="n"/>
      <c r="C548" s="838" t="n"/>
    </row>
    <row r="549">
      <c r="B549" s="837" t="n"/>
      <c r="C549" s="838" t="n"/>
    </row>
    <row r="550">
      <c r="B550" s="837" t="n"/>
      <c r="C550" s="838" t="n"/>
    </row>
    <row r="551">
      <c r="B551" s="837" t="n"/>
      <c r="C551" s="838" t="n"/>
    </row>
    <row r="552">
      <c r="B552" s="837" t="n"/>
      <c r="C552" s="838" t="n"/>
    </row>
    <row r="553">
      <c r="B553" s="837" t="n"/>
      <c r="C553" s="838" t="n"/>
    </row>
    <row r="554">
      <c r="B554" s="837" t="n"/>
      <c r="C554" s="838" t="n"/>
    </row>
    <row r="555">
      <c r="B555" s="837" t="n"/>
      <c r="C555" s="838" t="n"/>
    </row>
    <row r="556">
      <c r="B556" s="837" t="n"/>
      <c r="C556" s="838" t="n"/>
    </row>
    <row r="557">
      <c r="B557" s="837" t="n"/>
      <c r="C557" s="838" t="n"/>
    </row>
    <row r="558">
      <c r="B558" s="837" t="n"/>
      <c r="C558" s="838" t="n"/>
    </row>
    <row r="559">
      <c r="B559" s="837" t="n"/>
      <c r="C559" s="838" t="n"/>
    </row>
    <row r="560">
      <c r="B560" s="837" t="n"/>
      <c r="C560" s="838" t="n"/>
    </row>
    <row r="561">
      <c r="B561" s="837" t="n"/>
      <c r="C561" s="838" t="n"/>
    </row>
    <row r="562">
      <c r="B562" s="837" t="n"/>
      <c r="C562" s="838" t="n"/>
    </row>
    <row r="563">
      <c r="B563" s="837" t="n"/>
      <c r="C563" s="838" t="n"/>
    </row>
    <row r="564">
      <c r="B564" s="837" t="n"/>
      <c r="C564" s="838" t="n"/>
    </row>
    <row r="565">
      <c r="B565" s="837" t="n"/>
      <c r="C565" s="838" t="n"/>
    </row>
    <row r="566">
      <c r="B566" s="837" t="n"/>
      <c r="C566" s="838" t="n"/>
    </row>
    <row r="567">
      <c r="B567" s="837" t="n"/>
      <c r="C567" s="838" t="n"/>
    </row>
    <row r="568">
      <c r="B568" s="837" t="n"/>
      <c r="C568" s="838" t="n"/>
    </row>
    <row r="569">
      <c r="B569" s="837" t="n"/>
      <c r="C569" s="838" t="n"/>
    </row>
    <row r="570">
      <c r="B570" s="837" t="n"/>
      <c r="C570" s="838" t="n"/>
    </row>
    <row r="571">
      <c r="B571" s="837" t="n"/>
      <c r="C571" s="838" t="n"/>
    </row>
    <row r="572">
      <c r="B572" s="837" t="n"/>
      <c r="C572" s="838" t="n"/>
    </row>
    <row r="573">
      <c r="B573" s="837" t="n"/>
      <c r="C573" s="838" t="n"/>
    </row>
    <row r="574">
      <c r="B574" s="837" t="n"/>
      <c r="C574" s="838" t="n"/>
    </row>
    <row r="575">
      <c r="B575" s="837" t="n"/>
      <c r="C575" s="838" t="n"/>
    </row>
    <row r="576">
      <c r="B576" s="837" t="n"/>
      <c r="C576" s="838" t="n"/>
    </row>
    <row r="577">
      <c r="B577" s="837" t="n"/>
      <c r="C577" s="838" t="n"/>
    </row>
    <row r="578">
      <c r="B578" s="837" t="n"/>
      <c r="C578" s="838" t="n"/>
    </row>
    <row r="579">
      <c r="B579" s="837" t="n"/>
      <c r="C579" s="838" t="n"/>
    </row>
    <row r="580">
      <c r="B580" s="837" t="n"/>
      <c r="C580" s="838" t="n"/>
    </row>
    <row r="581">
      <c r="B581" s="837" t="n"/>
      <c r="C581" s="838" t="n"/>
    </row>
    <row r="582">
      <c r="B582" s="837" t="n"/>
      <c r="C582" s="838" t="n"/>
    </row>
    <row r="583">
      <c r="B583" s="837" t="n"/>
      <c r="C583" s="838" t="n"/>
    </row>
    <row r="584">
      <c r="B584" s="837" t="n"/>
      <c r="C584" s="838" t="n"/>
    </row>
    <row r="585">
      <c r="B585" s="837" t="n"/>
      <c r="C585" s="838" t="n"/>
    </row>
    <row r="586">
      <c r="B586" s="837" t="n"/>
      <c r="C586" s="838" t="n"/>
    </row>
    <row r="587">
      <c r="B587" s="837" t="n"/>
      <c r="C587" s="838" t="n"/>
    </row>
    <row r="588">
      <c r="B588" s="837" t="n"/>
      <c r="C588" s="838" t="n"/>
    </row>
    <row r="589">
      <c r="B589" s="837" t="n"/>
      <c r="C589" s="838" t="n"/>
    </row>
    <row r="590">
      <c r="B590" s="837" t="n"/>
      <c r="C590" s="838" t="n"/>
    </row>
    <row r="591">
      <c r="B591" s="837" t="n"/>
      <c r="C591" s="838" t="n"/>
    </row>
    <row r="592">
      <c r="B592" s="837" t="n"/>
      <c r="C592" s="838" t="n"/>
    </row>
    <row r="593">
      <c r="B593" s="837" t="n"/>
      <c r="C593" s="838" t="n"/>
    </row>
    <row r="594">
      <c r="B594" s="837" t="n"/>
      <c r="C594" s="838" t="n"/>
    </row>
    <row r="595">
      <c r="B595" s="837" t="n"/>
      <c r="C595" s="838" t="n"/>
    </row>
    <row r="596">
      <c r="B596" s="837" t="n"/>
      <c r="C596" s="838" t="n"/>
    </row>
    <row r="597">
      <c r="B597" s="837" t="n"/>
      <c r="C597" s="838" t="n"/>
    </row>
    <row r="598">
      <c r="B598" s="837" t="n"/>
      <c r="C598" s="838" t="n"/>
    </row>
    <row r="599">
      <c r="B599" s="837" t="n"/>
      <c r="C599" s="838" t="n"/>
    </row>
    <row r="600">
      <c r="B600" s="837" t="n"/>
      <c r="C600" s="838" t="n"/>
    </row>
    <row r="601">
      <c r="B601" s="837" t="n"/>
      <c r="C601" s="838" t="n"/>
    </row>
    <row r="602">
      <c r="B602" s="837" t="n"/>
      <c r="C602" s="838" t="n"/>
    </row>
    <row r="603">
      <c r="B603" s="837" t="n"/>
      <c r="C603" s="838" t="n"/>
    </row>
    <row r="604">
      <c r="B604" s="837" t="n"/>
      <c r="C604" s="838" t="n"/>
    </row>
    <row r="605">
      <c r="B605" s="837" t="n"/>
      <c r="C605" s="838" t="n"/>
    </row>
    <row r="606">
      <c r="B606" s="837" t="n"/>
      <c r="C606" s="838" t="n"/>
    </row>
    <row r="607">
      <c r="B607" s="837" t="n"/>
      <c r="C607" s="838" t="n"/>
    </row>
    <row r="608">
      <c r="B608" s="837" t="n"/>
      <c r="C608" s="838" t="n"/>
    </row>
    <row r="609">
      <c r="B609" s="837" t="n"/>
      <c r="C609" s="838" t="n"/>
    </row>
    <row r="610">
      <c r="B610" s="837" t="n"/>
      <c r="C610" s="838" t="n"/>
    </row>
    <row r="611">
      <c r="B611" s="837" t="n"/>
      <c r="C611" s="838" t="n"/>
    </row>
    <row r="612">
      <c r="B612" s="837" t="n"/>
      <c r="C612" s="838" t="n"/>
    </row>
    <row r="613">
      <c r="B613" s="837" t="n"/>
      <c r="C613" s="838" t="n"/>
    </row>
    <row r="614">
      <c r="B614" s="837" t="n"/>
      <c r="C614" s="838" t="n"/>
    </row>
    <row r="615">
      <c r="B615" s="837" t="n"/>
      <c r="C615" s="838" t="n"/>
    </row>
    <row r="616">
      <c r="B616" s="837" t="n"/>
      <c r="C616" s="838" t="n"/>
    </row>
    <row r="617">
      <c r="B617" s="837" t="n"/>
      <c r="C617" s="838" t="n"/>
    </row>
    <row r="618">
      <c r="B618" s="837" t="n"/>
      <c r="C618" s="838" t="n"/>
    </row>
    <row r="619">
      <c r="B619" s="837" t="n"/>
      <c r="C619" s="838" t="n"/>
    </row>
    <row r="620">
      <c r="B620" s="837" t="n"/>
      <c r="C620" s="838" t="n"/>
    </row>
    <row r="621">
      <c r="B621" s="837" t="n"/>
      <c r="C621" s="838" t="n"/>
    </row>
    <row r="622">
      <c r="B622" s="837" t="n"/>
      <c r="C622" s="838" t="n"/>
    </row>
    <row r="623">
      <c r="B623" s="837" t="n"/>
      <c r="C623" s="838" t="n"/>
    </row>
    <row r="624">
      <c r="B624" s="837" t="n"/>
      <c r="C624" s="838" t="n"/>
    </row>
    <row r="625">
      <c r="B625" s="837" t="n"/>
      <c r="C625" s="838" t="n"/>
    </row>
    <row r="626">
      <c r="B626" s="837" t="n"/>
      <c r="C626" s="838" t="n"/>
    </row>
    <row r="627">
      <c r="B627" s="837" t="n"/>
      <c r="C627" s="838" t="n"/>
    </row>
    <row r="628">
      <c r="B628" s="837" t="n"/>
      <c r="C628" s="838" t="n"/>
    </row>
    <row r="629">
      <c r="B629" s="837" t="n"/>
      <c r="C629" s="838" t="n"/>
    </row>
    <row r="630">
      <c r="B630" s="837" t="n"/>
      <c r="C630" s="838" t="n"/>
    </row>
    <row r="631">
      <c r="B631" s="837" t="n"/>
      <c r="C631" s="838" t="n"/>
    </row>
    <row r="632">
      <c r="B632" s="837" t="n"/>
      <c r="C632" s="838" t="n"/>
    </row>
    <row r="633">
      <c r="B633" s="837" t="n"/>
      <c r="C633" s="838" t="n"/>
    </row>
    <row r="634">
      <c r="B634" s="837" t="n"/>
      <c r="C634" s="838" t="n"/>
    </row>
    <row r="635">
      <c r="B635" s="837" t="n"/>
      <c r="C635" s="838" t="n"/>
    </row>
    <row r="636">
      <c r="B636" s="837" t="n"/>
      <c r="C636" s="838" t="n"/>
    </row>
    <row r="637">
      <c r="B637" s="837" t="n"/>
      <c r="C637" s="838" t="n"/>
    </row>
    <row r="638">
      <c r="B638" s="837" t="n"/>
      <c r="C638" s="838" t="n"/>
    </row>
    <row r="639">
      <c r="B639" s="837" t="n"/>
      <c r="C639" s="838" t="n"/>
    </row>
    <row r="640">
      <c r="B640" s="837" t="n"/>
      <c r="C640" s="838" t="n"/>
    </row>
    <row r="641">
      <c r="B641" s="837" t="n"/>
      <c r="C641" s="838" t="n"/>
    </row>
    <row r="642">
      <c r="B642" s="837" t="n"/>
      <c r="C642" s="838" t="n"/>
    </row>
    <row r="643">
      <c r="B643" s="837" t="n"/>
      <c r="C643" s="838" t="n"/>
    </row>
    <row r="644">
      <c r="B644" s="837" t="n"/>
      <c r="C644" s="838" t="n"/>
    </row>
    <row r="645">
      <c r="B645" s="837" t="n"/>
      <c r="C645" s="838" t="n"/>
    </row>
    <row r="646">
      <c r="B646" s="837" t="n"/>
      <c r="C646" s="838" t="n"/>
    </row>
    <row r="647">
      <c r="B647" s="837" t="n"/>
      <c r="C647" s="838" t="n"/>
    </row>
    <row r="648">
      <c r="B648" s="837" t="n"/>
      <c r="C648" s="838" t="n"/>
    </row>
    <row r="649">
      <c r="B649" s="837" t="n"/>
      <c r="C649" s="838" t="n"/>
    </row>
    <row r="650">
      <c r="B650" s="837" t="n"/>
      <c r="C650" s="838" t="n"/>
    </row>
    <row r="651">
      <c r="B651" s="837" t="n"/>
      <c r="C651" s="838" t="n"/>
    </row>
    <row r="652">
      <c r="B652" s="837" t="n"/>
      <c r="C652" s="838" t="n"/>
    </row>
    <row r="653">
      <c r="B653" s="837" t="n"/>
      <c r="C653" s="838" t="n"/>
    </row>
    <row r="654">
      <c r="B654" s="837" t="n"/>
      <c r="C654" s="838" t="n"/>
    </row>
    <row r="655">
      <c r="B655" s="837" t="n"/>
      <c r="C655" s="838" t="n"/>
    </row>
    <row r="656">
      <c r="B656" s="837" t="n"/>
      <c r="C656" s="838" t="n"/>
    </row>
    <row r="657">
      <c r="B657" s="837" t="n"/>
      <c r="C657" s="838" t="n"/>
    </row>
    <row r="658">
      <c r="B658" s="837" t="n"/>
      <c r="C658" s="838" t="n"/>
    </row>
    <row r="659">
      <c r="B659" s="837" t="n"/>
      <c r="C659" s="838" t="n"/>
    </row>
    <row r="660">
      <c r="B660" s="837" t="n"/>
      <c r="C660" s="838" t="n"/>
    </row>
    <row r="661">
      <c r="B661" s="837" t="n"/>
      <c r="C661" s="838" t="n"/>
    </row>
    <row r="662">
      <c r="B662" s="837" t="n"/>
      <c r="C662" s="838" t="n"/>
    </row>
    <row r="663">
      <c r="B663" s="837" t="n"/>
      <c r="C663" s="838" t="n"/>
    </row>
    <row r="664">
      <c r="B664" s="837" t="n"/>
      <c r="C664" s="838" t="n"/>
    </row>
    <row r="665">
      <c r="B665" s="837" t="n"/>
      <c r="C665" s="838" t="n"/>
    </row>
    <row r="666">
      <c r="B666" s="837" t="n"/>
      <c r="C666" s="838" t="n"/>
    </row>
    <row r="667">
      <c r="B667" s="837" t="n"/>
      <c r="C667" s="838" t="n"/>
    </row>
    <row r="668">
      <c r="B668" s="837" t="n"/>
      <c r="C668" s="838" t="n"/>
    </row>
    <row r="669">
      <c r="B669" s="837" t="n"/>
      <c r="C669" s="838" t="n"/>
    </row>
    <row r="670">
      <c r="B670" s="837" t="n"/>
      <c r="C670" s="838" t="n"/>
    </row>
    <row r="671">
      <c r="B671" s="837" t="n"/>
      <c r="C671" s="838" t="n"/>
    </row>
    <row r="672">
      <c r="B672" s="837" t="n"/>
      <c r="C672" s="838" t="n"/>
    </row>
    <row r="673">
      <c r="B673" s="837" t="n"/>
      <c r="C673" s="838" t="n"/>
    </row>
    <row r="674">
      <c r="B674" s="837" t="n"/>
      <c r="C674" s="838" t="n"/>
    </row>
    <row r="675">
      <c r="B675" s="837" t="n"/>
      <c r="C675" s="838" t="n"/>
    </row>
    <row r="676">
      <c r="B676" s="837" t="n"/>
      <c r="C676" s="838" t="n"/>
    </row>
    <row r="677">
      <c r="B677" s="837" t="n"/>
      <c r="C677" s="838" t="n"/>
    </row>
    <row r="678">
      <c r="B678" s="837" t="n"/>
      <c r="C678" s="838" t="n"/>
    </row>
    <row r="679">
      <c r="B679" s="837" t="n"/>
      <c r="C679" s="838" t="n"/>
    </row>
    <row r="680">
      <c r="B680" s="837" t="n"/>
      <c r="C680" s="838" t="n"/>
    </row>
    <row r="681">
      <c r="B681" s="837" t="n"/>
      <c r="C681" s="838" t="n"/>
    </row>
    <row r="682">
      <c r="B682" s="837" t="n"/>
      <c r="C682" s="838" t="n"/>
    </row>
    <row r="683">
      <c r="B683" s="837" t="n"/>
      <c r="C683" s="838" t="n"/>
    </row>
    <row r="684">
      <c r="B684" s="837" t="n"/>
      <c r="C684" s="838" t="n"/>
    </row>
    <row r="685">
      <c r="B685" s="837" t="n"/>
      <c r="C685" s="838" t="n"/>
    </row>
    <row r="686">
      <c r="B686" s="837" t="n"/>
      <c r="C686" s="838" t="n"/>
    </row>
    <row r="687">
      <c r="B687" s="837" t="n"/>
      <c r="C687" s="838" t="n"/>
    </row>
    <row r="688">
      <c r="B688" s="837" t="n"/>
      <c r="C688" s="838" t="n"/>
    </row>
    <row r="689">
      <c r="B689" s="837" t="n"/>
      <c r="C689" s="838" t="n"/>
    </row>
    <row r="690">
      <c r="B690" s="837" t="n"/>
      <c r="C690" s="838" t="n"/>
    </row>
    <row r="691">
      <c r="B691" s="837" t="n"/>
      <c r="C691" s="838" t="n"/>
    </row>
    <row r="692">
      <c r="B692" s="837" t="n"/>
      <c r="C692" s="838" t="n"/>
    </row>
    <row r="693">
      <c r="B693" s="837" t="n"/>
      <c r="C693" s="838" t="n"/>
    </row>
    <row r="694">
      <c r="B694" s="837" t="n"/>
      <c r="C694" s="838" t="n"/>
    </row>
    <row r="695">
      <c r="B695" s="837" t="n"/>
      <c r="C695" s="838" t="n"/>
    </row>
    <row r="696">
      <c r="B696" s="837" t="n"/>
      <c r="C696" s="838" t="n"/>
    </row>
    <row r="697">
      <c r="B697" s="837" t="n"/>
      <c r="C697" s="838" t="n"/>
    </row>
    <row r="698">
      <c r="B698" s="837" t="n"/>
      <c r="C698" s="838" t="n"/>
    </row>
    <row r="699">
      <c r="B699" s="837" t="n"/>
      <c r="C699" s="838" t="n"/>
    </row>
    <row r="700">
      <c r="B700" s="837" t="n"/>
      <c r="C700" s="838" t="n"/>
    </row>
    <row r="701">
      <c r="B701" s="837" t="n"/>
      <c r="C701" s="838" t="n"/>
    </row>
    <row r="702">
      <c r="B702" s="837" t="n"/>
      <c r="C702" s="838" t="n"/>
    </row>
    <row r="703">
      <c r="B703" s="837" t="n"/>
      <c r="C703" s="838" t="n"/>
    </row>
    <row r="704">
      <c r="B704" s="837" t="n"/>
      <c r="C704" s="838" t="n"/>
    </row>
    <row r="705">
      <c r="B705" s="837" t="n"/>
      <c r="C705" s="838" t="n"/>
    </row>
    <row r="706">
      <c r="B706" s="837" t="n"/>
      <c r="C706" s="838" t="n"/>
    </row>
    <row r="707">
      <c r="B707" s="837" t="n"/>
      <c r="C707" s="838" t="n"/>
    </row>
    <row r="708">
      <c r="B708" s="837" t="n"/>
      <c r="C708" s="838" t="n"/>
    </row>
    <row r="709">
      <c r="B709" s="837" t="n"/>
      <c r="C709" s="838" t="n"/>
    </row>
    <row r="710">
      <c r="B710" s="837" t="n"/>
      <c r="C710" s="838" t="n"/>
    </row>
    <row r="711">
      <c r="B711" s="837" t="n"/>
      <c r="C711" s="838" t="n"/>
    </row>
    <row r="712">
      <c r="B712" s="837" t="n"/>
      <c r="C712" s="838" t="n"/>
    </row>
    <row r="713">
      <c r="B713" s="837" t="n"/>
      <c r="C713" s="838" t="n"/>
    </row>
    <row r="714">
      <c r="B714" s="837" t="n"/>
      <c r="C714" s="838" t="n"/>
    </row>
    <row r="715">
      <c r="B715" s="837" t="n"/>
      <c r="C715" s="838" t="n"/>
    </row>
    <row r="716">
      <c r="B716" s="837" t="n"/>
      <c r="C716" s="838" t="n"/>
    </row>
    <row r="717">
      <c r="B717" s="837" t="n"/>
      <c r="C717" s="838" t="n"/>
    </row>
    <row r="718">
      <c r="B718" s="837" t="n"/>
      <c r="C718" s="838" t="n"/>
    </row>
    <row r="719">
      <c r="B719" s="837" t="n"/>
      <c r="C719" s="838" t="n"/>
    </row>
    <row r="720">
      <c r="B720" s="837" t="n"/>
      <c r="C720" s="838" t="n"/>
    </row>
    <row r="721">
      <c r="B721" s="837" t="n"/>
      <c r="C721" s="838" t="n"/>
    </row>
    <row r="722">
      <c r="B722" s="837" t="n"/>
      <c r="C722" s="838" t="n"/>
    </row>
    <row r="723">
      <c r="B723" s="837" t="n"/>
      <c r="C723" s="838" t="n"/>
    </row>
    <row r="724">
      <c r="B724" s="837" t="n"/>
      <c r="C724" s="838" t="n"/>
    </row>
    <row r="725">
      <c r="B725" s="837" t="n"/>
      <c r="C725" s="838" t="n"/>
    </row>
    <row r="726">
      <c r="B726" s="837" t="n"/>
      <c r="C726" s="838" t="n"/>
    </row>
    <row r="727">
      <c r="B727" s="837" t="n"/>
      <c r="C727" s="838" t="n"/>
    </row>
    <row r="728">
      <c r="B728" s="837" t="n"/>
      <c r="C728" s="838" t="n"/>
    </row>
    <row r="729">
      <c r="B729" s="837" t="n"/>
      <c r="C729" s="838" t="n"/>
    </row>
    <row r="730">
      <c r="B730" s="837" t="n"/>
      <c r="C730" s="838" t="n"/>
    </row>
    <row r="731">
      <c r="B731" s="837" t="n"/>
      <c r="C731" s="838" t="n"/>
    </row>
    <row r="732">
      <c r="B732" s="837" t="n"/>
      <c r="C732" s="838" t="n"/>
    </row>
    <row r="733">
      <c r="B733" s="837" t="n"/>
      <c r="C733" s="838" t="n"/>
    </row>
    <row r="734">
      <c r="B734" s="837" t="n"/>
      <c r="C734" s="838" t="n"/>
    </row>
    <row r="735">
      <c r="B735" s="837" t="n"/>
      <c r="C735" s="838" t="n"/>
    </row>
    <row r="736">
      <c r="B736" s="837" t="n"/>
      <c r="C736" s="838" t="n"/>
    </row>
    <row r="737">
      <c r="B737" s="837" t="n"/>
      <c r="C737" s="838" t="n"/>
    </row>
    <row r="738">
      <c r="B738" s="837" t="n"/>
      <c r="C738" s="838" t="n"/>
    </row>
    <row r="739">
      <c r="B739" s="837" t="n"/>
      <c r="C739" s="838" t="n"/>
    </row>
    <row r="740">
      <c r="B740" s="837" t="n"/>
      <c r="C740" s="838" t="n"/>
    </row>
    <row r="741">
      <c r="B741" s="837" t="n"/>
      <c r="C741" s="838" t="n"/>
    </row>
    <row r="742">
      <c r="B742" s="837" t="n"/>
      <c r="C742" s="838" t="n"/>
    </row>
    <row r="743">
      <c r="B743" s="837" t="n"/>
      <c r="C743" s="838" t="n"/>
    </row>
    <row r="744">
      <c r="B744" s="837" t="n"/>
      <c r="C744" s="838" t="n"/>
    </row>
    <row r="745">
      <c r="B745" s="837" t="n"/>
      <c r="C745" s="838" t="n"/>
    </row>
    <row r="746">
      <c r="B746" s="837" t="n"/>
      <c r="C746" s="838" t="n"/>
    </row>
    <row r="747">
      <c r="B747" s="837" t="n"/>
      <c r="C747" s="838" t="n"/>
    </row>
    <row r="748">
      <c r="B748" s="837" t="n"/>
      <c r="C748" s="838" t="n"/>
    </row>
    <row r="749">
      <c r="B749" s="837" t="n"/>
      <c r="C749" s="838" t="n"/>
    </row>
    <row r="750">
      <c r="B750" s="837" t="n"/>
      <c r="C750" s="838" t="n"/>
    </row>
    <row r="751">
      <c r="B751" s="837" t="n"/>
      <c r="C751" s="838" t="n"/>
    </row>
    <row r="752">
      <c r="B752" s="837" t="n"/>
      <c r="C752" s="838" t="n"/>
    </row>
    <row r="753">
      <c r="B753" s="837" t="n"/>
      <c r="C753" s="838" t="n"/>
    </row>
    <row r="754">
      <c r="B754" s="837" t="n"/>
      <c r="C754" s="838" t="n"/>
    </row>
    <row r="755">
      <c r="B755" s="837" t="n"/>
      <c r="C755" s="838" t="n"/>
    </row>
    <row r="756">
      <c r="B756" s="837" t="n"/>
      <c r="C756" s="838" t="n"/>
    </row>
    <row r="757">
      <c r="B757" s="837" t="n"/>
      <c r="C757" s="838" t="n"/>
    </row>
    <row r="758">
      <c r="B758" s="837" t="n"/>
      <c r="C758" s="838" t="n"/>
    </row>
    <row r="759">
      <c r="B759" s="837" t="n"/>
      <c r="C759" s="838" t="n"/>
    </row>
    <row r="760">
      <c r="B760" s="837" t="n"/>
      <c r="C760" s="838" t="n"/>
    </row>
    <row r="761">
      <c r="B761" s="837" t="n"/>
      <c r="C761" s="838" t="n"/>
    </row>
    <row r="762">
      <c r="B762" s="837" t="n"/>
      <c r="C762" s="838" t="n"/>
    </row>
  </sheetData>
  <hyperlinks>
    <hyperlink xmlns:r="http://schemas.openxmlformats.org/officeDocument/2006/relationships" ref="B1" r:id="rId1"/>
  </hyperlink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>
  <sheetPr>
    <tabColor rgb="00002060"/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24" customWidth="1" style="223" min="1" max="1"/>
  </cols>
  <sheetData>
    <row r="1">
      <c r="A1" s="596" t="inlineStr">
        <is>
          <t>References &gt;</t>
        </is>
      </c>
      <c r="B1" s="597">
        <f>'Cover Page'!A1</f>
        <v/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7" customWidth="1" style="222" min="1" max="1"/>
    <col width="26" customWidth="1" style="222" min="2" max="2"/>
    <col width="14.4" customWidth="1" style="222" min="3" max="3"/>
    <col width="24" customWidth="1" style="222" min="4" max="4"/>
    <col width="22" customWidth="1" style="222" min="5" max="5"/>
    <col width="62" customWidth="1" style="222" min="6" max="6"/>
    <col width="40" customWidth="1" style="222" min="7" max="7"/>
    <col width="30" customWidth="1" style="222" min="8" max="8"/>
    <col width="52" customWidth="1" style="222" min="9" max="9"/>
    <col width="14.4" customWidth="1" style="222" min="10" max="10"/>
  </cols>
  <sheetData>
    <row r="1">
      <c r="A1" s="671">
        <f>B2</f>
        <v/>
      </c>
      <c r="B1" s="597">
        <f>'Cover Page'!A1</f>
        <v/>
      </c>
    </row>
    <row r="2" ht="15" customHeight="1" s="223">
      <c r="B2" s="843" t="inlineStr">
        <is>
          <t>Sources</t>
        </is>
      </c>
      <c r="C2" s="746" t="n"/>
      <c r="D2" s="746" t="n"/>
      <c r="E2" s="746" t="n"/>
      <c r="F2" s="746" t="n"/>
      <c r="G2" s="746" t="n"/>
      <c r="H2" s="746" t="n"/>
      <c r="I2" s="746" t="n"/>
      <c r="J2" s="746" t="n"/>
    </row>
    <row r="3" ht="15" customHeight="1" s="223">
      <c r="B3" s="710" t="inlineStr">
        <is>
          <t>Every figure traces to an original SEC filing or Xerox IR document. Quotes are kept under 15 words.</t>
        </is>
      </c>
      <c r="C3" s="831" t="n"/>
      <c r="D3" s="831" t="n"/>
      <c r="E3" s="831" t="n"/>
      <c r="F3" s="831" t="n"/>
      <c r="G3" s="831" t="n"/>
      <c r="H3" s="831" t="n"/>
      <c r="I3" s="831" t="n"/>
      <c r="J3" s="831" t="n"/>
    </row>
    <row r="4" s="223">
      <c r="A4" s="582" t="inlineStr">
        <is>
          <t>x</t>
        </is>
      </c>
      <c r="B4" s="607" t="inlineStr">
        <is>
          <t>Source Documents</t>
        </is>
      </c>
      <c r="C4" s="644" t="n"/>
      <c r="D4" s="644" t="n"/>
      <c r="E4" s="644" t="n"/>
      <c r="F4" s="644" t="n"/>
      <c r="G4" s="644" t="n"/>
      <c r="H4" s="644" t="n"/>
      <c r="I4" s="644" t="n"/>
      <c r="J4" s="644" t="n"/>
    </row>
    <row r="5" ht="15" customHeight="1" s="223">
      <c r="B5" s="844" t="inlineStr">
        <is>
          <t>Period(s) supplied</t>
        </is>
      </c>
      <c r="C5" s="613" t="inlineStr">
        <is>
          <t>Form</t>
        </is>
      </c>
      <c r="D5" s="613" t="inlineStr">
        <is>
          <t>Filed / Period end</t>
        </is>
      </c>
      <c r="E5" s="613" t="inlineStr">
        <is>
          <t>Accession no.</t>
        </is>
      </c>
      <c r="F5" s="613" t="inlineStr">
        <is>
          <t>URL</t>
        </is>
      </c>
      <c r="G5" s="613" t="inlineStr">
        <is>
          <t>Statement / page</t>
        </is>
      </c>
      <c r="H5" s="613" t="inlineStr">
        <is>
          <t>Quote (&lt;15 words)</t>
        </is>
      </c>
      <c r="I5" s="613" t="inlineStr">
        <is>
          <t>Notes (differencing / sign / scale / restatement)</t>
        </is>
      </c>
      <c r="J5" s="613" t="inlineStr">
        <is>
          <t>Tabs fed</t>
        </is>
      </c>
    </row>
    <row r="6" ht="32.8" customHeight="1" s="223">
      <c r="B6" s="845" t="inlineStr">
        <is>
          <t>1Q'21 (three-month YTD)</t>
        </is>
      </c>
      <c r="C6" s="845" t="inlineStr">
        <is>
          <t>10-Q</t>
        </is>
      </c>
      <c r="D6" s="845" t="inlineStr">
        <is>
          <t>Filed 2021-04-30; period end 2021-03-31</t>
        </is>
      </c>
      <c r="E6" s="845" t="inlineStr">
        <is>
          <t>0001770450-21-000025</t>
        </is>
      </c>
      <c r="F6" s="845" t="inlineStr">
        <is>
          <t>https://www.sec.gov/Archives/edgar/data/1770450/000177045021000025/xrx-20210331.htm</t>
        </is>
      </c>
      <c r="G6" s="845" t="inlineStr">
        <is>
          <t>Condensed Consolidated Statements of Cash Flows (XBRL R6.htm); Statements of Income (Loss); Balance Sheets (XBRL R4/R5.htm)</t>
        </is>
      </c>
      <c r="H6" s="845" t="inlineStr">
        <is>
          <t>Net cash ... operating activities ... 117</t>
        </is>
      </c>
      <c r="I6" s="845" t="inlineStr">
        <is>
          <t>Q1 as reported. $ millions. Retirement lines as originally captioned (pension only).</t>
        </is>
      </c>
      <c r="J6" s="845" t="inlineStr">
        <is>
          <t>IS, CFS, BS</t>
        </is>
      </c>
    </row>
    <row r="7" ht="32.8" customHeight="1" s="223">
      <c r="B7" s="845" t="inlineStr">
        <is>
          <t>2Q'21 (six-month YTD)</t>
        </is>
      </c>
      <c r="C7" s="845" t="inlineStr">
        <is>
          <t>10-Q</t>
        </is>
      </c>
      <c r="D7" s="845" t="inlineStr">
        <is>
          <t>Filed 2021-08-04; period end 2021-06-30</t>
        </is>
      </c>
      <c r="E7" s="845" t="inlineStr">
        <is>
          <t>0001770450-21-000036</t>
        </is>
      </c>
      <c r="F7" s="845" t="inlineStr">
        <is>
          <t>https://www.sec.gov/Archives/edgar/data/1770450/000177045021000036/xrx-20210630.htm</t>
        </is>
      </c>
      <c r="G7" s="845" t="inlineStr">
        <is>
          <t>Condensed Consolidated Statements of Cash Flows (XBRL R6.htm); Statements of Income (Loss); Balance Sheets (XBRL R4/R5.htm)</t>
        </is>
      </c>
      <c r="H7" s="845" t="inlineStr">
        <is>
          <t>Net cash ... operating activities ... 331</t>
        </is>
      </c>
      <c r="I7" s="845" t="inlineStr">
        <is>
          <t>Q2 = H1 YTD - Q1. $ millions. Retirement lines as originally captioned (pension only).</t>
        </is>
      </c>
      <c r="J7" s="845" t="inlineStr">
        <is>
          <t>IS, CFS, BS</t>
        </is>
      </c>
    </row>
    <row r="8" ht="32.8" customHeight="1" s="223">
      <c r="B8" s="845" t="inlineStr">
        <is>
          <t>3Q'21 (nine-month YTD)</t>
        </is>
      </c>
      <c r="C8" s="845" t="inlineStr">
        <is>
          <t>10-Q</t>
        </is>
      </c>
      <c r="D8" s="845" t="inlineStr">
        <is>
          <t>Filed 2021-11-03; period end 2021-09-30</t>
        </is>
      </c>
      <c r="E8" s="845" t="inlineStr">
        <is>
          <t>0001770450-21-000050</t>
        </is>
      </c>
      <c r="F8" s="845" t="inlineStr">
        <is>
          <t>https://www.sec.gov/Archives/edgar/data/1770450/000177045021000050/xrx-20210930.htm</t>
        </is>
      </c>
      <c r="G8" s="845" t="inlineStr">
        <is>
          <t>Condensed Consolidated Statements of Cash Flows (XBRL R6.htm); Statements of Income (Loss); Balance Sheets (XBRL R4/R5.htm)</t>
        </is>
      </c>
      <c r="H8" s="845" t="inlineStr">
        <is>
          <t>Net cash ... operating activities ... 431</t>
        </is>
      </c>
      <c r="I8" s="845" t="inlineStr">
        <is>
          <t>Q3 = 9M YTD - H1. $ millions. Retirement lines as originally captioned (pension only).</t>
        </is>
      </c>
      <c r="J8" s="845" t="inlineStr">
        <is>
          <t>IS, CFS, BS</t>
        </is>
      </c>
    </row>
    <row r="9" ht="32.8" customHeight="1" s="223">
      <c r="B9" s="845" t="inlineStr">
        <is>
          <t>FY2021 annual column; 4Q'21 plug</t>
        </is>
      </c>
      <c r="C9" s="845" t="inlineStr">
        <is>
          <t>10-K</t>
        </is>
      </c>
      <c r="D9" s="845" t="inlineStr">
        <is>
          <t>Filed 2022-02-23; period end 2021-12-31</t>
        </is>
      </c>
      <c r="E9" s="845" t="inlineStr">
        <is>
          <t>0001770450-22-000010</t>
        </is>
      </c>
      <c r="F9" s="845" t="inlineStr">
        <is>
          <t>https://www.sec.gov/Archives/edgar/data/1770450/000177045022000010/xrx-20211231.htm</t>
        </is>
      </c>
      <c r="G9" s="845" t="inlineStr">
        <is>
          <t>Condensed Consolidated Statements of Cash Flows (XBRL R7.htm); Statements of Income (Loss); Balance Sheets (XBRL R4/R5.htm)</t>
        </is>
      </c>
      <c r="H9" s="845" t="inlineStr">
        <is>
          <t>Net cash ... operating activities ... 629</t>
        </is>
      </c>
      <c r="I9" s="845" t="inlineStr">
        <is>
          <t>FY figures hardcoded; 4Q'21 = FY - 9M. $ millions. Deferred taxes combined with tax assets/liabilities.</t>
        </is>
      </c>
      <c r="J9" s="845" t="inlineStr">
        <is>
          <t>IS, CFS, BS</t>
        </is>
      </c>
    </row>
    <row r="10" ht="32.8" customHeight="1" s="223">
      <c r="B10" s="845" t="inlineStr">
        <is>
          <t>1Q'22 (three-month YTD)</t>
        </is>
      </c>
      <c r="C10" s="845" t="inlineStr">
        <is>
          <t>10-Q</t>
        </is>
      </c>
      <c r="D10" s="845" t="inlineStr">
        <is>
          <t>Filed 2022-05-03; period end 2022-03-31</t>
        </is>
      </c>
      <c r="E10" s="845" t="inlineStr">
        <is>
          <t>0001770450-22-000020</t>
        </is>
      </c>
      <c r="F10" s="845" t="inlineStr">
        <is>
          <t>https://www.sec.gov/Archives/edgar/data/1770450/000177045022000020/xrx-20220331.htm</t>
        </is>
      </c>
      <c r="G10" s="845" t="inlineStr">
        <is>
          <t>Condensed Consolidated Statements of Cash Flows (XBRL R6.htm); Statements of Income (Loss); Balance Sheets (XBRL R4/R5.htm)</t>
        </is>
      </c>
      <c r="H10" s="845" t="inlineStr">
        <is>
          <t>Net cash ... operating activities ... 66</t>
        </is>
      </c>
      <c r="I10" s="845" t="inlineStr">
        <is>
          <t>Q1 as reported. $ millions.</t>
        </is>
      </c>
      <c r="J10" s="845" t="inlineStr">
        <is>
          <t>IS, CFS, BS</t>
        </is>
      </c>
    </row>
    <row r="11" ht="32.8" customHeight="1" s="223">
      <c r="B11" s="845" t="inlineStr">
        <is>
          <t>2Q'22 (six-month YTD)</t>
        </is>
      </c>
      <c r="C11" s="845" t="inlineStr">
        <is>
          <t>10-Q</t>
        </is>
      </c>
      <c r="D11" s="845" t="inlineStr">
        <is>
          <t>Filed 2022-08-03; period end 2022-06-30</t>
        </is>
      </c>
      <c r="E11" s="845" t="inlineStr">
        <is>
          <t>0001770450-22-000030</t>
        </is>
      </c>
      <c r="F11" s="845" t="inlineStr">
        <is>
          <t>https://www.sec.gov/Archives/edgar/data/1770450/000177045022000030/xrx-20220630.htm</t>
        </is>
      </c>
      <c r="G11" s="845" t="inlineStr">
        <is>
          <t>Condensed Consolidated Statements of Cash Flows (XBRL R6.htm); Statements of Income (Loss); Balance Sheets (XBRL R4/R5.htm)</t>
        </is>
      </c>
      <c r="H11" s="845" t="inlineStr">
        <is>
          <t>Net cash ... operating activities ... -19</t>
        </is>
      </c>
      <c r="I11" s="845" t="inlineStr">
        <is>
          <t>Q2 = H1 YTD - Q1. $ millions.</t>
        </is>
      </c>
      <c r="J11" s="845" t="inlineStr">
        <is>
          <t>IS, CFS, BS</t>
        </is>
      </c>
    </row>
    <row r="12" ht="32.8" customHeight="1" s="223">
      <c r="B12" s="845" t="inlineStr">
        <is>
          <t>3Q'22 (nine-month YTD)</t>
        </is>
      </c>
      <c r="C12" s="845" t="inlineStr">
        <is>
          <t>10-Q</t>
        </is>
      </c>
      <c r="D12" s="845" t="inlineStr">
        <is>
          <t>Filed 2022-11-02; period end 2022-09-30</t>
        </is>
      </c>
      <c r="E12" s="845" t="inlineStr">
        <is>
          <t>0001770450-22-000041</t>
        </is>
      </c>
      <c r="F12" s="845" t="inlineStr">
        <is>
          <t>https://www.sec.gov/Archives/edgar/data/1770450/000177045022000041/xrx-20220930.htm</t>
        </is>
      </c>
      <c r="G12" s="845" t="inlineStr">
        <is>
          <t>Condensed Consolidated Statements of Cash Flows (XBRL R6.htm); Statements of Income (Loss); Balance Sheets (XBRL R4/R5.htm)</t>
        </is>
      </c>
      <c r="H12" s="845" t="inlineStr">
        <is>
          <t>Net cash ... operating activities ... -27</t>
        </is>
      </c>
      <c r="I12" s="845" t="inlineStr">
        <is>
          <t>Q3 = 9M YTD - H1. $ millions.</t>
        </is>
      </c>
      <c r="J12" s="845" t="inlineStr">
        <is>
          <t>IS, CFS, BS</t>
        </is>
      </c>
    </row>
    <row r="13" ht="32.8" customHeight="1" s="223">
      <c r="B13" s="845" t="inlineStr">
        <is>
          <t>FY2022 annual column; 4Q'22 plug</t>
        </is>
      </c>
      <c r="C13" s="845" t="inlineStr">
        <is>
          <t>10-K</t>
        </is>
      </c>
      <c r="D13" s="845" t="inlineStr">
        <is>
          <t>Filed 2023-02-23; period end 2022-12-31</t>
        </is>
      </c>
      <c r="E13" s="845" t="inlineStr">
        <is>
          <t>0001770450-23-000011</t>
        </is>
      </c>
      <c r="F13" s="845" t="inlineStr">
        <is>
          <t>https://www.sec.gov/Archives/edgar/data/1770450/000177045023000011/xrx-20221231.htm</t>
        </is>
      </c>
      <c r="G13" s="845" t="inlineStr">
        <is>
          <t>Condensed Consolidated Statements of Cash Flows (XBRL R7.htm); Statements of Income (Loss); Balance Sheets (XBRL R4/R5.htm)</t>
        </is>
      </c>
      <c r="H13" s="845" t="inlineStr">
        <is>
          <t>Net cash ... operating activities ... 159</t>
        </is>
      </c>
      <c r="I13" s="845" t="inlineStr">
        <is>
          <t>FY figures hardcoded; 4Q'22 = FY - 9M. $ millions. Deferred taxes combined with tax assets/liabilities.</t>
        </is>
      </c>
      <c r="J13" s="845" t="inlineStr">
        <is>
          <t>IS, CFS, BS</t>
        </is>
      </c>
    </row>
    <row r="14" ht="32.8" customHeight="1" s="223">
      <c r="B14" s="845" t="inlineStr">
        <is>
          <t>1Q'23 (three-month YTD)</t>
        </is>
      </c>
      <c r="C14" s="845" t="inlineStr">
        <is>
          <t>10-Q</t>
        </is>
      </c>
      <c r="D14" s="845" t="inlineStr">
        <is>
          <t>Filed 2023-05-01; period end 2023-03-31</t>
        </is>
      </c>
      <c r="E14" s="845" t="inlineStr">
        <is>
          <t>0001770450-23-000032</t>
        </is>
      </c>
      <c r="F14" s="845" t="inlineStr">
        <is>
          <t>https://www.sec.gov/Archives/edgar/data/1770450/000177045023000032/xrx-20230331.htm</t>
        </is>
      </c>
      <c r="G14" s="845" t="inlineStr">
        <is>
          <t>Condensed Consolidated Statements of Cash Flows (XBRL R6.htm); Statements of Income (Loss); Balance Sheets (XBRL R4/R5.htm)</t>
        </is>
      </c>
      <c r="H14" s="845" t="inlineStr">
        <is>
          <t>Net cash ... operating activities ... 78</t>
        </is>
      </c>
      <c r="I14" s="845" t="inlineStr">
        <is>
          <t>Q1 as reported. $ millions.</t>
        </is>
      </c>
      <c r="J14" s="845" t="inlineStr">
        <is>
          <t>IS, CFS, BS</t>
        </is>
      </c>
    </row>
    <row r="15" ht="32.8" customHeight="1" s="223">
      <c r="B15" s="845" t="inlineStr">
        <is>
          <t>2Q'23 (six-month YTD)</t>
        </is>
      </c>
      <c r="C15" s="845" t="inlineStr">
        <is>
          <t>10-Q</t>
        </is>
      </c>
      <c r="D15" s="845" t="inlineStr">
        <is>
          <t>Filed 2023-08-02; period end 2023-06-30</t>
        </is>
      </c>
      <c r="E15" s="845" t="inlineStr">
        <is>
          <t>0001770450-23-000042</t>
        </is>
      </c>
      <c r="F15" s="845" t="inlineStr">
        <is>
          <t>https://www.sec.gov/Archives/edgar/data/1770450/000177045023000042/xrx-20230630.htm</t>
        </is>
      </c>
      <c r="G15" s="845" t="inlineStr">
        <is>
          <t>Condensed Consolidated Statements of Cash Flows (XBRL R6.htm); Statements of Income (Loss); Balance Sheets (XBRL R4/R5.htm)</t>
        </is>
      </c>
      <c r="H15" s="845" t="inlineStr">
        <is>
          <t>Net cash ... operating activities ... 173</t>
        </is>
      </c>
      <c r="I15" s="845" t="inlineStr">
        <is>
          <t>Q2 = H1 YTD - Q1. $ millions.</t>
        </is>
      </c>
      <c r="J15" s="845" t="inlineStr">
        <is>
          <t>IS, CFS, BS</t>
        </is>
      </c>
    </row>
    <row r="16" ht="32.8" customHeight="1" s="223">
      <c r="B16" s="845" t="inlineStr">
        <is>
          <t>3Q'23 (nine-month YTD)</t>
        </is>
      </c>
      <c r="C16" s="845" t="inlineStr">
        <is>
          <t>10-Q</t>
        </is>
      </c>
      <c r="D16" s="845" t="inlineStr">
        <is>
          <t>Filed 2023-10-30; period end 2023-09-30</t>
        </is>
      </c>
      <c r="E16" s="845" t="inlineStr">
        <is>
          <t>0001770450-23-000050</t>
        </is>
      </c>
      <c r="F16" s="845" t="inlineStr">
        <is>
          <t>https://www.sec.gov/Archives/edgar/data/1770450/000177045023000050/xrx-20230930.htm</t>
        </is>
      </c>
      <c r="G16" s="845" t="inlineStr">
        <is>
          <t>Condensed Consolidated Statements of Cash Flows (XBRL R6.htm); Statements of Income (Loss); Balance Sheets (XBRL R4/R5.htm)</t>
        </is>
      </c>
      <c r="H16" s="845" t="inlineStr">
        <is>
          <t>Net cash ... operating activities ... 297</t>
        </is>
      </c>
      <c r="I16" s="845" t="inlineStr">
        <is>
          <t>Q3 = 9M YTD - H1. $ millions.</t>
        </is>
      </c>
      <c r="J16" s="845" t="inlineStr">
        <is>
          <t>IS, CFS, BS</t>
        </is>
      </c>
    </row>
    <row r="17" ht="32.8" customHeight="1" s="223">
      <c r="B17" s="845" t="inlineStr">
        <is>
          <t>FY2023 annual column; 4Q'23 plug</t>
        </is>
      </c>
      <c r="C17" s="845" t="inlineStr">
        <is>
          <t>10-K</t>
        </is>
      </c>
      <c r="D17" s="845" t="inlineStr">
        <is>
          <t>Filed 2024-02-23; period end 2023-12-31</t>
        </is>
      </c>
      <c r="E17" s="845" t="inlineStr">
        <is>
          <t>0001770450-24-000012</t>
        </is>
      </c>
      <c r="F17" s="845" t="inlineStr">
        <is>
          <t>https://www.sec.gov/Archives/edgar/data/1770450/000177045024000012/xrx-20231231.htm</t>
        </is>
      </c>
      <c r="G17" s="845" t="inlineStr">
        <is>
          <t>Condensed Consolidated Statements of Cash Flows (XBRL R7.htm); Statements of Income (Loss); Balance Sheets (XBRL R4/R5.htm)</t>
        </is>
      </c>
      <c r="H17" s="845" t="inlineStr">
        <is>
          <t>Net cash ... operating activities ... 686</t>
        </is>
      </c>
      <c r="I17" s="845" t="inlineStr">
        <is>
          <t>FY figures hardcoded; 4Q'23 = FY - 9M. $ millions. Deferred taxes combined with tax assets/liabilities.</t>
        </is>
      </c>
      <c r="J17" s="845" t="inlineStr">
        <is>
          <t>IS, CFS, BS</t>
        </is>
      </c>
    </row>
    <row r="18" ht="32.8" customHeight="1" s="223">
      <c r="B18" s="845" t="inlineStr">
        <is>
          <t>1Q'24 (three-month YTD)</t>
        </is>
      </c>
      <c r="C18" s="845" t="inlineStr">
        <is>
          <t>10-Q</t>
        </is>
      </c>
      <c r="D18" s="845" t="inlineStr">
        <is>
          <t>Filed 2024-05-01; period end 2024-03-31</t>
        </is>
      </c>
      <c r="E18" s="845" t="inlineStr">
        <is>
          <t>0001770450-24-000031</t>
        </is>
      </c>
      <c r="F18" s="845" t="inlineStr">
        <is>
          <t>https://www.sec.gov/Archives/edgar/data/1770450/000177045024000031/xrx-20240331.htm</t>
        </is>
      </c>
      <c r="G18" s="845" t="inlineStr">
        <is>
          <t>Condensed Consolidated Statements of Cash Flows (XBRL R6.htm); Statements of Income (Loss); Balance Sheets (XBRL R4/R5.htm)</t>
        </is>
      </c>
      <c r="H18" s="845" t="inlineStr">
        <is>
          <t>Net cash ... operating activities ... -79</t>
        </is>
      </c>
      <c r="I18" s="845" t="inlineStr">
        <is>
          <t>Q1 as reported. $ millions.</t>
        </is>
      </c>
      <c r="J18" s="845" t="inlineStr">
        <is>
          <t>IS, CFS, BS</t>
        </is>
      </c>
    </row>
    <row r="19" ht="32.8" customHeight="1" s="223">
      <c r="B19" s="845" t="inlineStr">
        <is>
          <t>2Q'24 (six-month YTD)</t>
        </is>
      </c>
      <c r="C19" s="845" t="inlineStr">
        <is>
          <t>10-Q</t>
        </is>
      </c>
      <c r="D19" s="845" t="inlineStr">
        <is>
          <t>Filed 2024-08-01; period end 2024-06-30</t>
        </is>
      </c>
      <c r="E19" s="845" t="inlineStr">
        <is>
          <t>0001770450-24-000042</t>
        </is>
      </c>
      <c r="F19" s="845" t="inlineStr">
        <is>
          <t>https://www.sec.gov/Archives/edgar/data/1770450/000177045024000042/xrx-20240630.htm</t>
        </is>
      </c>
      <c r="G19" s="845" t="inlineStr">
        <is>
          <t>Condensed Consolidated Statements of Cash Flows (XBRL R6.htm); Statements of Income (Loss); Balance Sheets (XBRL R4/R5.htm)</t>
        </is>
      </c>
      <c r="H19" s="845" t="inlineStr">
        <is>
          <t>Net cash ... operating activities ... 44</t>
        </is>
      </c>
      <c r="I19" s="845" t="inlineStr">
        <is>
          <t>Q2 = H1 YTD - Q1. $ millions.</t>
        </is>
      </c>
      <c r="J19" s="845" t="inlineStr">
        <is>
          <t>IS, CFS, BS</t>
        </is>
      </c>
    </row>
    <row r="20" ht="32.8" customHeight="1" s="223">
      <c r="B20" s="845" t="inlineStr">
        <is>
          <t>3Q'24 (nine-month YTD)</t>
        </is>
      </c>
      <c r="C20" s="845" t="inlineStr">
        <is>
          <t>10-Q</t>
        </is>
      </c>
      <c r="D20" s="845" t="inlineStr">
        <is>
          <t>Filed 2024-11-04; period end 2024-09-30</t>
        </is>
      </c>
      <c r="E20" s="845" t="inlineStr">
        <is>
          <t>0001770450-24-000050</t>
        </is>
      </c>
      <c r="F20" s="845" t="inlineStr">
        <is>
          <t>https://www.sec.gov/Archives/edgar/data/1770450/000177045024000050/xrx-20240930.htm</t>
        </is>
      </c>
      <c r="G20" s="845" t="inlineStr">
        <is>
          <t>Condensed Consolidated Statements of Cash Flows (XBRL R6.htm); Statements of Income (Loss); Balance Sheets (XBRL R4/R5.htm)</t>
        </is>
      </c>
      <c r="H20" s="845" t="inlineStr">
        <is>
          <t>Net cash ... operating activities ... 160</t>
        </is>
      </c>
      <c r="I20" s="845" t="inlineStr">
        <is>
          <t>Q3 = 9M YTD - H1. $ millions.</t>
        </is>
      </c>
      <c r="J20" s="845" t="inlineStr">
        <is>
          <t>IS, CFS, BS</t>
        </is>
      </c>
    </row>
    <row r="21" ht="32.8" customHeight="1" s="223">
      <c r="B21" s="845" t="inlineStr">
        <is>
          <t>FY2024 annual column; 4Q'24 plug</t>
        </is>
      </c>
      <c r="C21" s="845" t="inlineStr">
        <is>
          <t>10-K</t>
        </is>
      </c>
      <c r="D21" s="845" t="inlineStr">
        <is>
          <t>Filed 2025-02-24; period end 2024-12-31</t>
        </is>
      </c>
      <c r="E21" s="845" t="inlineStr">
        <is>
          <t>0001770450-25-000010</t>
        </is>
      </c>
      <c r="F21" s="845" t="inlineStr">
        <is>
          <t>https://www.sec.gov/Archives/edgar/data/1770450/000177045025000010/xrx-20241231.htm</t>
        </is>
      </c>
      <c r="G21" s="845" t="inlineStr">
        <is>
          <t>Condensed Consolidated Statements of Cash Flows (XBRL R7.htm); Statements of Income (Loss); Balance Sheets (XBRL R4/R5.htm)</t>
        </is>
      </c>
      <c r="H21" s="845" t="inlineStr">
        <is>
          <t>Net cash ... operating activities ... 511</t>
        </is>
      </c>
      <c r="I21" s="845" t="inlineStr">
        <is>
          <t>FY figures hardcoded; 4Q'24 = FY - 9M. $ millions. Deferred taxes combined with tax assets/liabilities.</t>
        </is>
      </c>
      <c r="J21" s="845" t="inlineStr">
        <is>
          <t>IS, CFS, BS</t>
        </is>
      </c>
    </row>
    <row r="22" ht="32.8" customHeight="1" s="223">
      <c r="B22" s="845" t="inlineStr">
        <is>
          <t>1Q'25 (three-month YTD)</t>
        </is>
      </c>
      <c r="C22" s="845" t="inlineStr">
        <is>
          <t>10-Q</t>
        </is>
      </c>
      <c r="D22" s="845" t="inlineStr">
        <is>
          <t>Filed 2025-05-12; period end 2025-03-31</t>
        </is>
      </c>
      <c r="E22" s="845" t="inlineStr">
        <is>
          <t>0001770450-25-000026</t>
        </is>
      </c>
      <c r="F22" s="845" t="inlineStr">
        <is>
          <t>https://www.sec.gov/Archives/edgar/data/1770450/000177045025000026/xrx-20250331.htm</t>
        </is>
      </c>
      <c r="G22" s="845" t="inlineStr">
        <is>
          <t>Condensed Consolidated Statements of Cash Flows (XBRL R6.htm); Statements of Income (Loss); Balance Sheets (XBRL R4/R5.htm)</t>
        </is>
      </c>
      <c r="H22" s="845" t="inlineStr">
        <is>
          <t>Net cash ... operating activities ... -89</t>
        </is>
      </c>
      <c r="I22" s="845" t="inlineStr">
        <is>
          <t>Q1 as reported. $ millions.</t>
        </is>
      </c>
      <c r="J22" s="845" t="inlineStr">
        <is>
          <t>IS, CFS, BS</t>
        </is>
      </c>
    </row>
    <row r="23" ht="32.8" customHeight="1" s="223">
      <c r="B23" s="845" t="inlineStr">
        <is>
          <t>2Q'25 (six-month YTD)</t>
        </is>
      </c>
      <c r="C23" s="845" t="inlineStr">
        <is>
          <t>10-Q</t>
        </is>
      </c>
      <c r="D23" s="845" t="inlineStr">
        <is>
          <t>Filed 2025-08-07; period end 2025-06-30</t>
        </is>
      </c>
      <c r="E23" s="845" t="inlineStr">
        <is>
          <t>0001628280-25-038980</t>
        </is>
      </c>
      <c r="F23" s="845" t="inlineStr">
        <is>
          <t>https://www.sec.gov/Archives/edgar/data/1770450/000162828025038980/xrx-20250630.htm</t>
        </is>
      </c>
      <c r="G23" s="845" t="inlineStr">
        <is>
          <t>Condensed Consolidated Statements of Cash Flows (XBRL R6.htm); Statements of Income (Loss); Balance Sheets (XBRL R4/R5.htm)</t>
        </is>
      </c>
      <c r="H23" s="845" t="inlineStr">
        <is>
          <t>Net cash ... operating activities ... -100</t>
        </is>
      </c>
      <c r="I23" s="845" t="inlineStr">
        <is>
          <t>Q2 = H1 YTD - Q1. $ millions.</t>
        </is>
      </c>
      <c r="J23" s="845" t="inlineStr">
        <is>
          <t>IS, CFS, BS</t>
        </is>
      </c>
    </row>
    <row r="24" ht="32.8" customHeight="1" s="223">
      <c r="B24" s="845" t="inlineStr">
        <is>
          <t>3Q'25 (nine-month YTD)</t>
        </is>
      </c>
      <c r="C24" s="845" t="inlineStr">
        <is>
          <t>10-Q</t>
        </is>
      </c>
      <c r="D24" s="845" t="inlineStr">
        <is>
          <t>Filed 2025-11-10; period end 2025-09-30</t>
        </is>
      </c>
      <c r="E24" s="845" t="inlineStr">
        <is>
          <t>0001770450-25-000037</t>
        </is>
      </c>
      <c r="F24" s="845" t="inlineStr">
        <is>
          <t>https://www.sec.gov/Archives/edgar/data/1770450/000177045025000037/xrx-20250930.htm</t>
        </is>
      </c>
      <c r="G24" s="845" t="inlineStr">
        <is>
          <t>Condensed Consolidated Statements of Cash Flows (XBRL R6.htm); Statements of Income (Loss); Balance Sheets (XBRL R4/R5.htm)</t>
        </is>
      </c>
      <c r="H24" s="845" t="inlineStr">
        <is>
          <t>Net cash ... operating activities ... 16</t>
        </is>
      </c>
      <c r="I24" s="845" t="inlineStr">
        <is>
          <t>Q3 = 9M YTD - H1. $ millions. Includes Lexmark from July 1, 2025.</t>
        </is>
      </c>
      <c r="J24" s="845" t="inlineStr">
        <is>
          <t>IS, CFS, BS</t>
        </is>
      </c>
    </row>
    <row r="25" ht="32.8" customHeight="1" s="223">
      <c r="B25" s="845" t="inlineStr">
        <is>
          <t>FY2025 annual column; 4Q'25 plug</t>
        </is>
      </c>
      <c r="C25" s="845" t="inlineStr">
        <is>
          <t>10-K</t>
        </is>
      </c>
      <c r="D25" s="845" t="inlineStr">
        <is>
          <t>Filed 2026-03-17; period end 2025-12-31</t>
        </is>
      </c>
      <c r="E25" s="845" t="inlineStr">
        <is>
          <t>0001770450-26-000009</t>
        </is>
      </c>
      <c r="F25" s="845" t="inlineStr">
        <is>
          <t>https://www.sec.gov/Archives/edgar/data/1770450/000177045026000009/xrx-20251231.htm</t>
        </is>
      </c>
      <c r="G25" s="845" t="inlineStr">
        <is>
          <t>Condensed Consolidated Statements of Cash Flows (XBRL R7.htm); Statements of Income (Loss); Balance Sheets (XBRL R4/R5.htm)</t>
        </is>
      </c>
      <c r="H25" s="845" t="inlineStr">
        <is>
          <t>Net cash ... operating activities ... 224</t>
        </is>
      </c>
      <c r="I25" s="845" t="inlineStr">
        <is>
          <t>FY figures hardcoded; 4Q'25 = FY - 9M. $ millions. Deferred taxes combined with tax assets/liabilities.</t>
        </is>
      </c>
      <c r="J25" s="845" t="inlineStr">
        <is>
          <t>IS, CFS, BS</t>
        </is>
      </c>
    </row>
    <row r="26" ht="32.8" customHeight="1" s="223">
      <c r="B26" s="845" t="inlineStr">
        <is>
          <t>1Q'26 (three-month YTD)</t>
        </is>
      </c>
      <c r="C26" s="845" t="inlineStr">
        <is>
          <t>10-Q</t>
        </is>
      </c>
      <c r="D26" s="845" t="inlineStr">
        <is>
          <t>Filed 2026-05-07; period end 2026-03-31</t>
        </is>
      </c>
      <c r="E26" s="845" t="inlineStr">
        <is>
          <t>0001770450-26-000030</t>
        </is>
      </c>
      <c r="F26" s="845" t="inlineStr">
        <is>
          <t>https://www.sec.gov/Archives/edgar/data/1770450/000177045026000030/xrx-20260331.htm</t>
        </is>
      </c>
      <c r="G26" s="845" t="inlineStr">
        <is>
          <t>Condensed Consolidated Statements of Cash Flows (XBRL R6.htm); Statements of Income (Loss); Balance Sheets (XBRL R4/R5.htm)</t>
        </is>
      </c>
      <c r="H26" s="845" t="inlineStr">
        <is>
          <t>Net cash ... operating activities ... -144</t>
        </is>
      </c>
      <c r="I26" s="845" t="inlineStr">
        <is>
          <t>Q1 as reported. $ millions.</t>
        </is>
      </c>
      <c r="J26" s="845" t="inlineStr">
        <is>
          <t>IS, CFS, BS</t>
        </is>
      </c>
    </row>
    <row r="27" ht="32.8" customHeight="1" s="223">
      <c r="B27" s="845" t="inlineStr">
        <is>
          <t>2Q'26 (six-month YTD)</t>
        </is>
      </c>
      <c r="C27" s="845" t="inlineStr">
        <is>
          <t>10-Q</t>
        </is>
      </c>
      <c r="D27" s="845" t="inlineStr">
        <is>
          <t>Filed 2026-08-06; period end 2026-06-30</t>
        </is>
      </c>
      <c r="E27" s="845" t="inlineStr">
        <is>
          <t>0001770450-26-000040</t>
        </is>
      </c>
      <c r="F27" s="845" t="inlineStr">
        <is>
          <t>https://www.sec.gov/Archives/edgar/data/1770450/000177045026000040/xrx-20260630.htm</t>
        </is>
      </c>
      <c r="G27" s="845" t="inlineStr">
        <is>
          <t>Condensed Consolidated Statements of Cash Flows (XBRL R6.htm); Statements of Income (Loss); Balance Sheets (XBRL R4/R5.htm)</t>
        </is>
      </c>
      <c r="H27" s="845" t="inlineStr">
        <is>
          <t>Net cash ... operating activities ... -107</t>
        </is>
      </c>
      <c r="I27" s="845" t="inlineStr">
        <is>
          <t>Q2 = H1 YTD - Q1. $ millions.</t>
        </is>
      </c>
      <c r="J27" s="845" t="inlineStr">
        <is>
          <t>IS, CFS, BS</t>
        </is>
      </c>
    </row>
    <row r="28" ht="32.8" customHeight="1" s="223">
      <c r="B28" s="845" t="inlineStr">
        <is>
          <t>4Q EPS and 4Q tie-out rows, FY2021 to FY2025</t>
        </is>
      </c>
      <c r="C28" s="845" t="inlineStr">
        <is>
          <t>8-K Ex. 99.1</t>
        </is>
      </c>
      <c r="D28" s="845" t="inlineStr">
        <is>
          <t>Filed 2022-01-25, 2023-01-26, 2024-01-25, 2025-01-28, 2026-01-29</t>
        </is>
      </c>
      <c r="E28" s="845" t="inlineStr">
        <is>
          <t>See uploaded files</t>
        </is>
      </c>
      <c r="F28" s="845" t="inlineStr">
        <is>
          <t>EDGAR 8-K filings (CIK 1770450)</t>
        </is>
      </c>
      <c r="G28" s="845" t="inlineStr">
        <is>
          <t>Condensed Consolidated Statements of Income (Loss)</t>
        </is>
      </c>
      <c r="H28" s="845" t="n"/>
      <c r="I28" s="845" t="inlineStr">
        <is>
          <t>Q4 reported revenue, net income and diluted EPS</t>
        </is>
      </c>
      <c r="J28" s="845" t="inlineStr">
        <is>
          <t>IS</t>
        </is>
      </c>
    </row>
    <row r="29" ht="22.35" customHeight="1" s="223">
      <c r="B29" s="845" t="inlineStr">
        <is>
          <t>Adj. EBITDA FY2023, 1Q'24 to 4Q'24</t>
        </is>
      </c>
      <c r="C29" s="845" t="inlineStr">
        <is>
          <t>Earnings slides</t>
        </is>
      </c>
      <c r="D29" s="845" t="inlineStr">
        <is>
          <t>Xerox IR, 2025-07-31</t>
        </is>
      </c>
      <c r="E29" s="845" t="inlineStr">
        <is>
          <t>n/a</t>
        </is>
      </c>
      <c r="F29" s="845" t="inlineStr">
        <is>
          <t>investors.xerox.com</t>
        </is>
      </c>
      <c r="G29" s="845" t="inlineStr">
        <is>
          <t>Adjusted EBITDA and Margin Reconciliation</t>
        </is>
      </c>
      <c r="H29" s="845" t="n"/>
      <c r="I29" s="845" t="inlineStr">
        <is>
          <t>Company-reported Adjusted EBITDA and special items</t>
        </is>
      </c>
      <c r="J29" s="845" t="inlineStr">
        <is>
          <t>IS</t>
        </is>
      </c>
    </row>
    <row r="30" ht="22.35" customHeight="1" s="223">
      <c r="B30" s="845" t="inlineStr">
        <is>
          <t>Adj. EBITDA FY2024, FY2025, 1Q'25 to 2Q'26</t>
        </is>
      </c>
      <c r="C30" s="845" t="inlineStr">
        <is>
          <t>Earnings slides</t>
        </is>
      </c>
      <c r="D30" s="845" t="inlineStr">
        <is>
          <t>Xerox IR, 2026-07-30</t>
        </is>
      </c>
      <c r="E30" s="845" t="inlineStr">
        <is>
          <t>n/a</t>
        </is>
      </c>
      <c r="F30" s="845" t="inlineStr">
        <is>
          <t>investors.xerox.com</t>
        </is>
      </c>
      <c r="G30" s="845" t="inlineStr">
        <is>
          <t>Adjusted EBITDA and Margin Reconciliation</t>
        </is>
      </c>
      <c r="H30" s="845" t="n"/>
      <c r="I30" s="845" t="inlineStr">
        <is>
          <t>Includes $105M IEEPA benefit in 2Q'26</t>
        </is>
      </c>
      <c r="J30" s="845" t="inlineStr">
        <is>
          <t>IS</t>
        </is>
      </c>
    </row>
    <row r="31"/>
    <row r="32">
      <c r="A32" s="594" t="inlineStr">
        <is>
          <t>x</t>
        </is>
      </c>
      <c r="B32" s="846" t="inlineStr">
        <is>
          <t>Capital Structure / Maturity Schedule tabs (built 16 Oct 2026 via HL cap-structure skill)</t>
        </is>
      </c>
      <c r="C32" s="847" t="n"/>
      <c r="D32" s="847" t="n"/>
      <c r="E32" s="847" t="n"/>
      <c r="F32" s="847" t="n"/>
      <c r="G32" s="847" t="n"/>
      <c r="H32" s="847" t="n"/>
      <c r="I32" s="847" t="n"/>
      <c r="J32" s="847" t="n"/>
    </row>
    <row r="33">
      <c r="B33" s="845" t="inlineStr">
        <is>
          <t>2Q'26 debt stack, ABL, cash</t>
        </is>
      </c>
      <c r="C33" s="845" t="inlineStr">
        <is>
          <t>10-Q</t>
        </is>
      </c>
      <c r="D33" s="845" t="inlineStr">
        <is>
          <t>Filed 2026-08-06; period end 2026-06-30</t>
        </is>
      </c>
      <c r="E33" s="845" t="inlineStr">
        <is>
          <t>0001770450-26-000040</t>
        </is>
      </c>
      <c r="F33" s="845" t="inlineStr">
        <is>
          <t>https://www.sec.gov/Archives/edgar/data/1770450/000177045026000040/xrx-20260630.htm</t>
        </is>
      </c>
      <c r="G33" s="845" t="inlineStr">
        <is>
          <t>Note - Debt; Liquidity; Balance Sheet</t>
        </is>
      </c>
      <c r="H33" s="845" t="inlineStr">
        <is>
          <t>ABL lender commitments of $425</t>
        </is>
      </c>
      <c r="I33" s="845" t="inlineStr">
        <is>
          <t>ABL undrawn; availability $388 before ~$112 LCs (6-Aug-26)</t>
        </is>
      </c>
      <c r="J33" s="845" t="inlineStr">
        <is>
          <t>Capital Structure</t>
        </is>
      </c>
    </row>
    <row r="34">
      <c r="B34" s="845" t="inlineStr">
        <is>
          <t>1Q'26 JV financing, principal, 2028 buyback</t>
        </is>
      </c>
      <c r="C34" s="845" t="inlineStr">
        <is>
          <t>10-Q</t>
        </is>
      </c>
      <c r="D34" s="845" t="inlineStr">
        <is>
          <t>Filed 2026-05-07; period end 2026-03-31</t>
        </is>
      </c>
      <c r="E34" s="845" t="inlineStr">
        <is>
          <t>0001770450-26-000030</t>
        </is>
      </c>
      <c r="F34" s="845" t="inlineStr">
        <is>
          <t>https://www.sec.gov/Archives/edgar/data/1770450/000177045026000030/xrx-20260331.htm</t>
        </is>
      </c>
      <c r="G34" s="845" t="inlineStr">
        <is>
          <t>Note - Debt; VIE (IPCo)</t>
        </is>
      </c>
      <c r="H34" s="845" t="inlineStr">
        <is>
          <t>Term SOFR, floor 3.000%, plus margin 8.125%</t>
        </is>
      </c>
      <c r="I34" s="845" t="inlineStr">
        <is>
          <t>$405 TL + $45 Class A Units = $450 indebtedness</t>
        </is>
      </c>
      <c r="J34" s="845" t="inlineStr">
        <is>
          <t>Capital Structure</t>
        </is>
      </c>
    </row>
    <row r="35">
      <c r="B35" s="845" t="inlineStr">
        <is>
          <t>Tranche principal at 2Q'26</t>
        </is>
      </c>
      <c r="C35" s="845" t="inlineStr">
        <is>
          <t>Earnings slides</t>
        </is>
      </c>
      <c r="D35" s="845" t="inlineStr">
        <is>
          <t>Xerox IR, 2026-07-30</t>
        </is>
      </c>
      <c r="E35" s="845" t="inlineStr">
        <is>
          <t>n/a</t>
        </is>
      </c>
      <c r="F35" s="845" t="inlineStr">
        <is>
          <t>https://investors.xerox.com/static-files/b7e7fa5f-f76d-4673-ba78-520392c48dc3</t>
        </is>
      </c>
      <c r="G35" s="845" t="inlineStr">
        <is>
          <t>Debt / maturity profile</t>
        </is>
      </c>
      <c r="H35" s="845" t="n"/>
      <c r="I35" s="845" t="inlineStr">
        <is>
          <t>TLB $705; 2028 notes $556; unsecured total $2,308</t>
        </is>
      </c>
      <c r="J35" s="845" t="inlineStr">
        <is>
          <t>Capital Structure</t>
        </is>
      </c>
    </row>
    <row r="36">
      <c r="B36" s="845" t="inlineStr">
        <is>
          <t>TLB terms, legacy notes</t>
        </is>
      </c>
      <c r="C36" s="845" t="inlineStr">
        <is>
          <t>10-K</t>
        </is>
      </c>
      <c r="D36" s="845" t="inlineStr">
        <is>
          <t>Filed 2026-03-17; period end 2025-12-31</t>
        </is>
      </c>
      <c r="E36" s="845" t="inlineStr">
        <is>
          <t>0001770450-26-000009</t>
        </is>
      </c>
      <c r="F36" s="845" t="inlineStr">
        <is>
          <t>https://www.sec.gov/Archives/edgar/data/1770450/000177045026000009/xrx-20251231.htm</t>
        </is>
      </c>
      <c r="G36" s="845" t="inlineStr">
        <is>
          <t>Note - Debt</t>
        </is>
      </c>
      <c r="H36" s="845" t="n"/>
      <c r="I36" s="845" t="inlineStr">
        <is>
          <t>TLB S+400, 0.50% floor, due 17-Nov-29</t>
        </is>
      </c>
      <c r="J36" s="845" t="inlineStr">
        <is>
          <t>Capital Structure</t>
        </is>
      </c>
    </row>
    <row r="37">
      <c r="B37" s="845" t="inlineStr">
        <is>
          <t>Ratings</t>
        </is>
      </c>
      <c r="C37" s="845" t="inlineStr">
        <is>
          <t>Press</t>
        </is>
      </c>
      <c r="D37" s="845" t="inlineStr">
        <is>
          <t>Moody's Mar-2026; S&amp;P 11/16-Jun-2026</t>
        </is>
      </c>
      <c r="E37" s="845" t="inlineStr">
        <is>
          <t>n/a</t>
        </is>
      </c>
      <c r="F37" s="845" t="inlineStr">
        <is>
          <t>https://www.action-intell.com/2026/06/18/sp-restores-xerox-credit-rating-to-ccc-while-maintaining-negative-outlook/</t>
        </is>
      </c>
      <c r="G37" s="845" t="inlineStr">
        <is>
          <t>Rating actions</t>
        </is>
      </c>
      <c r="H37" s="845" t="n"/>
      <c r="I37" s="845" t="inlineStr">
        <is>
          <t>Moody's Caa2 CFR; S&amp;P CCC+ issuer</t>
        </is>
      </c>
      <c r="J37" s="845" t="inlineStr">
        <is>
          <t>Capital Structure</t>
        </is>
      </c>
    </row>
    <row r="38">
      <c r="B38" s="845" t="inlineStr">
        <is>
          <t>Bond prices (indicative)</t>
        </is>
      </c>
      <c r="C38" s="845" t="inlineStr">
        <is>
          <t>TRACE quotes</t>
        </is>
      </c>
      <c r="D38" s="845" t="inlineStr">
        <is>
          <t>Oct 5-7, 2026</t>
        </is>
      </c>
      <c r="E38" s="845" t="inlineStr">
        <is>
          <t>n/a</t>
        </is>
      </c>
      <c r="F38" s="845" t="inlineStr">
        <is>
          <t>https://sqxbonds.com/bonds/US98421MAC01</t>
        </is>
      </c>
      <c r="G38" s="845" t="inlineStr">
        <is>
          <t>2028 / 2029 notes</t>
        </is>
      </c>
      <c r="H38" s="845" t="n"/>
      <c r="I38" s="845" t="inlineStr">
        <is>
          <t>Third-party quotes; refresh on Bloomberg</t>
        </is>
      </c>
      <c r="J38" s="845" t="inlineStr">
        <is>
          <t>Capital Structure</t>
        </is>
      </c>
    </row>
    <row r="39">
      <c r="B39" s="845" t="inlineStr">
        <is>
          <t>SOFR</t>
        </is>
      </c>
      <c r="C39" s="845" t="inlineStr">
        <is>
          <t>Market data</t>
        </is>
      </c>
      <c r="D39" s="845" t="inlineStr">
        <is>
          <t>2026-10-13</t>
        </is>
      </c>
      <c r="E39" s="845" t="inlineStr">
        <is>
          <t>n/a</t>
        </is>
      </c>
      <c r="F39" s="845" t="inlineStr">
        <is>
          <t>https://www.sofrrate.com/sofr-rate/2026-10</t>
        </is>
      </c>
      <c r="G39" s="845" t="inlineStr">
        <is>
          <t>SOFR table</t>
        </is>
      </c>
      <c r="H39" s="845" t="n"/>
      <c r="I39" s="845" t="inlineStr">
        <is>
          <t>3.87%; confirm vs NY Fed</t>
        </is>
      </c>
      <c r="J39" s="845" t="inlineStr">
        <is>
          <t>Capital Structure</t>
        </is>
      </c>
    </row>
  </sheetData>
  <hyperlinks>
    <hyperlink xmlns:r="http://schemas.openxmlformats.org/officeDocument/2006/relationships" ref="B1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2026-10-16T18:10:53Z</dcterms:created>
  <dcterms:modified xmlns:dcterms="http://purl.org/dc/terms/" xmlns:xsi="http://www.w3.org/2001/XMLSchema-instance" xsi:type="dcterms:W3CDTF">2026-10-16T20:23:27Z</dcterms:modified>
  <cp:revision>0</cp:revision>
</cp:coreProperties>
</file>